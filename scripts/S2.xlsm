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iss\Nextcloud\Manuscrit-relectures\Applications\case-study-SeriousGame-Manuscrit\Without\Initialisation-données S1\"/>
    </mc:Choice>
  </mc:AlternateContent>
  <xr:revisionPtr revIDLastSave="0" documentId="13_ncr:1_{66E3E1E1-8257-4779-BCAE-3AF1DBAF7FF9}" xr6:coauthVersionLast="47" xr6:coauthVersionMax="47" xr10:uidLastSave="{00000000-0000-0000-0000-000000000000}"/>
  <bookViews>
    <workbookView xWindow="-120" yWindow="-120" windowWidth="20730" windowHeight="11160" tabRatio="599" activeTab="1" xr2:uid="{00000000-000D-0000-FFFF-FFFF00000000}"/>
  </bookViews>
  <sheets>
    <sheet name="MJ_Initialisation" sheetId="21" r:id="rId1"/>
    <sheet name="France" sheetId="1" r:id="rId2"/>
    <sheet name="Espagne" sheetId="24" r:id="rId3"/>
    <sheet name="Chili" sheetId="25" r:id="rId4"/>
    <sheet name="Australie" sheetId="23" r:id="rId5"/>
    <sheet name="CBN_CDC" sheetId="6" r:id="rId6"/>
    <sheet name="Factory" sheetId="14" r:id="rId7"/>
    <sheet name="PA_CDC" sheetId="15" r:id="rId8"/>
  </sheets>
  <definedNames>
    <definedName name="_xlnm._FilterDatabase" localSheetId="7" hidden="1">PA_CDC!$A$4:$AJ$37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" l="1"/>
  <c r="M12" i="1"/>
  <c r="O1" i="21"/>
  <c r="J42" i="1"/>
  <c r="I18" i="6"/>
  <c r="J18" i="6"/>
  <c r="I32" i="6"/>
  <c r="J32" i="6"/>
  <c r="AB7" i="21"/>
  <c r="AB8" i="21"/>
  <c r="AB9" i="21"/>
  <c r="AB10" i="21"/>
  <c r="AB11" i="21"/>
  <c r="AB12" i="21"/>
  <c r="AB13" i="21"/>
  <c r="AB6" i="21"/>
  <c r="G1" i="21"/>
  <c r="F1" i="21"/>
  <c r="L1" i="21"/>
  <c r="P1" i="21"/>
  <c r="H1" i="21"/>
  <c r="I1" i="21"/>
  <c r="J1" i="21"/>
  <c r="K1" i="21"/>
  <c r="M1" i="21"/>
  <c r="N1" i="21"/>
  <c r="Q1" i="21"/>
  <c r="R1" i="21"/>
  <c r="S1" i="21"/>
  <c r="T1" i="21"/>
  <c r="U1" i="21"/>
  <c r="V1" i="21"/>
  <c r="W1" i="21"/>
  <c r="X1" i="21"/>
  <c r="Y1" i="21"/>
  <c r="I6" i="15"/>
  <c r="J6" i="15"/>
  <c r="AB15" i="21" l="1"/>
  <c r="AB14" i="21"/>
  <c r="B2" i="15"/>
  <c r="B2" i="14"/>
  <c r="B3" i="6"/>
  <c r="B2" i="23"/>
  <c r="B2" i="25"/>
  <c r="B2" i="24"/>
  <c r="B2" i="1"/>
  <c r="D1" i="21"/>
  <c r="J48" i="6" l="1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J49" i="6"/>
  <c r="K49" i="6"/>
  <c r="K55" i="6" s="1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I7" i="1" l="1"/>
  <c r="J12" i="1" s="1"/>
  <c r="I40" i="15" l="1"/>
  <c r="I41" i="15" s="1"/>
  <c r="J40" i="15"/>
  <c r="J41" i="15" s="1"/>
  <c r="AF60" i="15"/>
  <c r="AF30" i="15"/>
  <c r="J97" i="15"/>
  <c r="J99" i="15" s="1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B97" i="15"/>
  <c r="AC97" i="15"/>
  <c r="AD97" i="15"/>
  <c r="AE97" i="15"/>
  <c r="AF97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I98" i="15"/>
  <c r="I97" i="15"/>
  <c r="I99" i="15" s="1"/>
  <c r="I48" i="6" s="1"/>
  <c r="J83" i="15"/>
  <c r="J85" i="15" s="1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I84" i="15"/>
  <c r="I83" i="15"/>
  <c r="I85" i="15" s="1"/>
  <c r="J78" i="15"/>
  <c r="J80" i="15" s="1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I79" i="15"/>
  <c r="I78" i="15"/>
  <c r="I80" i="15" s="1"/>
  <c r="I36" i="6" s="1"/>
  <c r="J59" i="15"/>
  <c r="J61" i="15" s="1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I60" i="15"/>
  <c r="I59" i="15"/>
  <c r="I61" i="15" s="1"/>
  <c r="J54" i="15"/>
  <c r="J56" i="15" s="1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I55" i="15"/>
  <c r="I54" i="15"/>
  <c r="I56" i="15" s="1"/>
  <c r="J49" i="15"/>
  <c r="J51" i="15" s="1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I50" i="15"/>
  <c r="I49" i="15"/>
  <c r="I51" i="15" s="1"/>
  <c r="I22" i="6" s="1"/>
  <c r="J30" i="15"/>
  <c r="J32" i="15" s="1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I31" i="15"/>
  <c r="I30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I26" i="15"/>
  <c r="I25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I21" i="15"/>
  <c r="I20" i="15"/>
  <c r="I22" i="15" s="1"/>
  <c r="J15" i="15"/>
  <c r="J17" i="15" s="1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I16" i="15"/>
  <c r="I15" i="15"/>
  <c r="I17" i="15" s="1"/>
  <c r="J93" i="15"/>
  <c r="J94" i="15" s="1"/>
  <c r="I93" i="15"/>
  <c r="I94" i="15" s="1"/>
  <c r="I54" i="6"/>
  <c r="J69" i="15"/>
  <c r="J70" i="15" s="1"/>
  <c r="I69" i="15"/>
  <c r="I70" i="15" s="1"/>
  <c r="I44" i="6"/>
  <c r="I38" i="6" s="1"/>
  <c r="I25" i="6"/>
  <c r="J7" i="15"/>
  <c r="I7" i="15"/>
  <c r="I10" i="6"/>
  <c r="K34" i="14"/>
  <c r="K36" i="14" s="1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J35" i="14"/>
  <c r="J34" i="14"/>
  <c r="J36" i="14" s="1"/>
  <c r="K26" i="14"/>
  <c r="K28" i="14" s="1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J27" i="14"/>
  <c r="J26" i="14"/>
  <c r="J28" i="14" s="1"/>
  <c r="K18" i="14"/>
  <c r="K20" i="14" s="1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J19" i="14"/>
  <c r="J18" i="14"/>
  <c r="J20" i="14" s="1"/>
  <c r="K10" i="14"/>
  <c r="K12" i="14" s="1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J11" i="14"/>
  <c r="J10" i="14"/>
  <c r="J12" i="14" s="1"/>
  <c r="AF17" i="14"/>
  <c r="AG17" i="14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L31" i="6"/>
  <c r="M31" i="6"/>
  <c r="L17" i="14" s="1"/>
  <c r="N31" i="6"/>
  <c r="M17" i="14" s="1"/>
  <c r="O31" i="6"/>
  <c r="N17" i="14" s="1"/>
  <c r="P31" i="6"/>
  <c r="O17" i="14" s="1"/>
  <c r="Q31" i="6"/>
  <c r="P17" i="14" s="1"/>
  <c r="R31" i="6"/>
  <c r="Q17" i="14" s="1"/>
  <c r="S31" i="6"/>
  <c r="R17" i="14" s="1"/>
  <c r="T31" i="6"/>
  <c r="S17" i="14" s="1"/>
  <c r="U31" i="6"/>
  <c r="T17" i="14" s="1"/>
  <c r="V31" i="6"/>
  <c r="U17" i="14" s="1"/>
  <c r="W31" i="6"/>
  <c r="V17" i="14" s="1"/>
  <c r="X31" i="6"/>
  <c r="W17" i="14" s="1"/>
  <c r="Y31" i="6"/>
  <c r="X17" i="14" s="1"/>
  <c r="Z31" i="6"/>
  <c r="Y17" i="14" s="1"/>
  <c r="AA31" i="6"/>
  <c r="Z17" i="14" s="1"/>
  <c r="AB31" i="6"/>
  <c r="AA17" i="14" s="1"/>
  <c r="AC31" i="6"/>
  <c r="AB17" i="14" s="1"/>
  <c r="AD31" i="6"/>
  <c r="AC17" i="14" s="1"/>
  <c r="AE31" i="6"/>
  <c r="AD17" i="14" s="1"/>
  <c r="AF31" i="6"/>
  <c r="AE17" i="14" s="1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H50" i="6"/>
  <c r="H39" i="6"/>
  <c r="H71" i="15" s="1"/>
  <c r="H26" i="6"/>
  <c r="H42" i="15" s="1"/>
  <c r="H11" i="6"/>
  <c r="H8" i="15" s="1"/>
  <c r="K53" i="6"/>
  <c r="J54" i="6"/>
  <c r="K43" i="6"/>
  <c r="J44" i="6"/>
  <c r="K31" i="6"/>
  <c r="K17" i="6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J18" i="23"/>
  <c r="J15" i="23" s="1"/>
  <c r="J8" i="23"/>
  <c r="J5" i="23" s="1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0" i="23"/>
  <c r="K21" i="23"/>
  <c r="L21" i="23"/>
  <c r="J21" i="23"/>
  <c r="J16" i="23" s="1"/>
  <c r="K11" i="23"/>
  <c r="L11" i="23"/>
  <c r="J11" i="23"/>
  <c r="J6" i="23" s="1"/>
  <c r="M20" i="25"/>
  <c r="N20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AA20" i="25"/>
  <c r="AB20" i="25"/>
  <c r="AC20" i="25"/>
  <c r="AD20" i="25"/>
  <c r="AE20" i="25"/>
  <c r="AF20" i="25"/>
  <c r="AG20" i="25"/>
  <c r="L20" i="25"/>
  <c r="M10" i="25"/>
  <c r="N10" i="25"/>
  <c r="O10" i="25"/>
  <c r="P10" i="25"/>
  <c r="Q10" i="25"/>
  <c r="R10" i="25"/>
  <c r="S10" i="25"/>
  <c r="T10" i="25"/>
  <c r="U10" i="25"/>
  <c r="V10" i="25"/>
  <c r="W10" i="25"/>
  <c r="X10" i="25"/>
  <c r="Y10" i="25"/>
  <c r="Z10" i="25"/>
  <c r="AA10" i="25"/>
  <c r="AB10" i="25"/>
  <c r="AC10" i="25"/>
  <c r="AD10" i="25"/>
  <c r="AE10" i="25"/>
  <c r="AF10" i="25"/>
  <c r="AG10" i="25"/>
  <c r="L10" i="25"/>
  <c r="K21" i="25"/>
  <c r="J21" i="25"/>
  <c r="K11" i="25"/>
  <c r="J11" i="25"/>
  <c r="J6" i="25" s="1"/>
  <c r="K18" i="25"/>
  <c r="L18" i="25"/>
  <c r="M18" i="25"/>
  <c r="N18" i="25"/>
  <c r="O18" i="25"/>
  <c r="P18" i="25"/>
  <c r="Q18" i="25"/>
  <c r="R18" i="25"/>
  <c r="S18" i="25"/>
  <c r="T18" i="25"/>
  <c r="U18" i="25"/>
  <c r="V18" i="25"/>
  <c r="W18" i="25"/>
  <c r="X18" i="25"/>
  <c r="Y18" i="25"/>
  <c r="Z18" i="25"/>
  <c r="AA18" i="25"/>
  <c r="AB18" i="25"/>
  <c r="AC18" i="25"/>
  <c r="AD18" i="25"/>
  <c r="AE18" i="25"/>
  <c r="AF18" i="25"/>
  <c r="AG18" i="25"/>
  <c r="K8" i="25"/>
  <c r="L8" i="25"/>
  <c r="M8" i="25"/>
  <c r="N8" i="25"/>
  <c r="O8" i="25"/>
  <c r="P8" i="25"/>
  <c r="Q8" i="25"/>
  <c r="R8" i="25"/>
  <c r="S8" i="25"/>
  <c r="T8" i="25"/>
  <c r="U8" i="25"/>
  <c r="V8" i="25"/>
  <c r="W8" i="25"/>
  <c r="X8" i="25"/>
  <c r="Y8" i="25"/>
  <c r="Z8" i="25"/>
  <c r="AA8" i="25"/>
  <c r="AB8" i="25"/>
  <c r="AC8" i="25"/>
  <c r="AD8" i="25"/>
  <c r="AE8" i="25"/>
  <c r="AF8" i="25"/>
  <c r="AG8" i="25"/>
  <c r="J18" i="25"/>
  <c r="J15" i="25" s="1"/>
  <c r="J8" i="25"/>
  <c r="J5" i="25" s="1"/>
  <c r="I17" i="23"/>
  <c r="I7" i="23"/>
  <c r="I17" i="25"/>
  <c r="I7" i="25"/>
  <c r="I17" i="24"/>
  <c r="I7" i="24"/>
  <c r="I37" i="1"/>
  <c r="I27" i="1"/>
  <c r="I17" i="1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K20" i="24"/>
  <c r="K10" i="24"/>
  <c r="J11" i="24"/>
  <c r="J12" i="24" s="1"/>
  <c r="J21" i="24"/>
  <c r="J16" i="24" s="1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J18" i="24"/>
  <c r="J15" i="24" s="1"/>
  <c r="J8" i="24"/>
  <c r="J5" i="24" s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J40" i="1"/>
  <c r="J36" i="1" s="1"/>
  <c r="J30" i="1"/>
  <c r="J26" i="1" s="1"/>
  <c r="J28" i="1"/>
  <c r="J25" i="1" s="1"/>
  <c r="J20" i="1"/>
  <c r="J16" i="1" s="1"/>
  <c r="J10" i="1"/>
  <c r="J6" i="1" s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J38" i="1"/>
  <c r="J35" i="1" s="1"/>
  <c r="J18" i="1"/>
  <c r="J8" i="1"/>
  <c r="J5" i="1" l="1"/>
  <c r="J7" i="1" s="1"/>
  <c r="J22" i="1"/>
  <c r="J15" i="1"/>
  <c r="J17" i="1" s="1"/>
  <c r="J7" i="23"/>
  <c r="J17" i="24"/>
  <c r="J7" i="25"/>
  <c r="J27" i="1"/>
  <c r="J17" i="23"/>
  <c r="I49" i="6"/>
  <c r="I50" i="6" s="1"/>
  <c r="J37" i="1"/>
  <c r="H95" i="15"/>
  <c r="J6" i="24"/>
  <c r="J7" i="24" s="1"/>
  <c r="J16" i="25"/>
  <c r="J17" i="25" s="1"/>
  <c r="J13" i="14"/>
  <c r="I24" i="6"/>
  <c r="I37" i="6"/>
  <c r="I39" i="6" s="1"/>
  <c r="I23" i="6"/>
  <c r="L39" i="15"/>
  <c r="L41" i="15" s="1"/>
  <c r="I10" i="15"/>
  <c r="I12" i="15" s="1"/>
  <c r="I11" i="15"/>
  <c r="K17" i="14"/>
  <c r="K37" i="14"/>
  <c r="J37" i="14"/>
  <c r="K29" i="14"/>
  <c r="J29" i="14"/>
  <c r="J21" i="14"/>
  <c r="J17" i="14"/>
  <c r="K13" i="14" l="1"/>
  <c r="I26" i="6"/>
  <c r="J6" i="14"/>
  <c r="L5" i="15"/>
  <c r="L7" i="15" s="1"/>
  <c r="K21" i="14"/>
  <c r="I13" i="15"/>
  <c r="J12" i="23"/>
  <c r="J13" i="23" s="1"/>
  <c r="J22" i="23"/>
  <c r="J23" i="23" s="1"/>
  <c r="J22" i="25"/>
  <c r="J12" i="25"/>
  <c r="J13" i="25" s="1"/>
  <c r="K12" i="25" s="1"/>
  <c r="J22" i="24"/>
  <c r="J23" i="24" s="1"/>
  <c r="K22" i="24" s="1"/>
  <c r="J32" i="1"/>
  <c r="I27" i="6"/>
  <c r="I12" i="6"/>
  <c r="J11" i="6"/>
  <c r="L68" i="15"/>
  <c r="L70" i="15" s="1"/>
  <c r="K68" i="15"/>
  <c r="L92" i="15"/>
  <c r="L94" i="15" s="1"/>
  <c r="K92" i="15"/>
  <c r="K94" i="15" s="1"/>
  <c r="K39" i="15"/>
  <c r="K41" i="15" s="1"/>
  <c r="J22" i="14"/>
  <c r="K22" i="14" s="1"/>
  <c r="J13" i="24" l="1"/>
  <c r="K12" i="24" s="1"/>
  <c r="I19" i="15" s="1"/>
  <c r="J23" i="25"/>
  <c r="K22" i="25" s="1"/>
  <c r="K23" i="25" s="1"/>
  <c r="L22" i="25" s="1"/>
  <c r="I40" i="6"/>
  <c r="I51" i="6"/>
  <c r="K70" i="15"/>
  <c r="J33" i="1"/>
  <c r="K32" i="1" s="1"/>
  <c r="K12" i="23"/>
  <c r="K22" i="23"/>
  <c r="K13" i="25"/>
  <c r="L12" i="25" s="1"/>
  <c r="J43" i="1"/>
  <c r="K42" i="1" s="1"/>
  <c r="I53" i="15"/>
  <c r="I28" i="6"/>
  <c r="K23" i="24"/>
  <c r="L22" i="24" s="1"/>
  <c r="J23" i="1"/>
  <c r="K22" i="1" s="1"/>
  <c r="J13" i="1"/>
  <c r="K48" i="1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I74" i="15"/>
  <c r="I45" i="15"/>
  <c r="I3" i="6" l="1"/>
  <c r="I55" i="6"/>
  <c r="K13" i="24"/>
  <c r="L12" i="24" s="1"/>
  <c r="I13" i="6"/>
  <c r="K23" i="23"/>
  <c r="L22" i="23" s="1"/>
  <c r="L23" i="23" s="1"/>
  <c r="M22" i="23" s="1"/>
  <c r="K13" i="23"/>
  <c r="L12" i="23" s="1"/>
  <c r="K43" i="1"/>
  <c r="L42" i="1" s="1"/>
  <c r="J77" i="15"/>
  <c r="K33" i="1"/>
  <c r="L32" i="1" s="1"/>
  <c r="J40" i="6"/>
  <c r="J51" i="6"/>
  <c r="J3" i="6" s="1"/>
  <c r="K12" i="1"/>
  <c r="I82" i="15"/>
  <c r="I41" i="6"/>
  <c r="I1" i="6" s="1"/>
  <c r="L23" i="25"/>
  <c r="M22" i="25" s="1"/>
  <c r="I14" i="6"/>
  <c r="I24" i="15"/>
  <c r="L13" i="25"/>
  <c r="M12" i="25" s="1"/>
  <c r="L23" i="24"/>
  <c r="M22" i="24" s="1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J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L13" i="23" l="1"/>
  <c r="M12" i="23" s="1"/>
  <c r="I29" i="15" s="1"/>
  <c r="J12" i="6"/>
  <c r="K23" i="1"/>
  <c r="L22" i="1" s="1"/>
  <c r="L43" i="1"/>
  <c r="M42" i="1" s="1"/>
  <c r="K77" i="15"/>
  <c r="J48" i="15"/>
  <c r="K51" i="6"/>
  <c r="K40" i="6"/>
  <c r="L33" i="1"/>
  <c r="J27" i="6"/>
  <c r="I29" i="6"/>
  <c r="I2" i="6" s="1"/>
  <c r="I58" i="15"/>
  <c r="M23" i="23"/>
  <c r="N22" i="23" s="1"/>
  <c r="M13" i="25"/>
  <c r="N12" i="25" s="1"/>
  <c r="J28" i="6"/>
  <c r="J53" i="15"/>
  <c r="M23" i="24"/>
  <c r="N22" i="24" s="1"/>
  <c r="J13" i="6"/>
  <c r="J19" i="15"/>
  <c r="L13" i="24"/>
  <c r="M12" i="24" s="1"/>
  <c r="K3" i="6" l="1"/>
  <c r="M13" i="23"/>
  <c r="N12" i="23" s="1"/>
  <c r="I15" i="6"/>
  <c r="I4" i="6" s="1"/>
  <c r="L23" i="1"/>
  <c r="M22" i="1" s="1"/>
  <c r="L51" i="6"/>
  <c r="M43" i="1"/>
  <c r="N42" i="1" s="1"/>
  <c r="M32" i="1"/>
  <c r="J41" i="6"/>
  <c r="J1" i="6" s="1"/>
  <c r="J82" i="15"/>
  <c r="M23" i="25"/>
  <c r="N22" i="25" s="1"/>
  <c r="N13" i="25"/>
  <c r="O12" i="25" s="1"/>
  <c r="J14" i="6"/>
  <c r="J24" i="15"/>
  <c r="N23" i="24"/>
  <c r="O22" i="24" s="1"/>
  <c r="K28" i="6"/>
  <c r="K53" i="15"/>
  <c r="M13" i="24"/>
  <c r="N12" i="24" s="1"/>
  <c r="K27" i="6"/>
  <c r="K48" i="15"/>
  <c r="L3" i="6" l="1"/>
  <c r="I11" i="6"/>
  <c r="M23" i="1"/>
  <c r="N22" i="1" s="1"/>
  <c r="L40" i="6"/>
  <c r="N43" i="1"/>
  <c r="O42" i="1" s="1"/>
  <c r="M51" i="6"/>
  <c r="M3" i="6" s="1"/>
  <c r="L77" i="15"/>
  <c r="M33" i="1"/>
  <c r="J29" i="6"/>
  <c r="J2" i="6" s="1"/>
  <c r="J58" i="15"/>
  <c r="N23" i="23"/>
  <c r="O22" i="23" s="1"/>
  <c r="J15" i="6"/>
  <c r="J4" i="6" s="1"/>
  <c r="J29" i="15"/>
  <c r="N13" i="23"/>
  <c r="O12" i="23" s="1"/>
  <c r="N23" i="25"/>
  <c r="O22" i="25" s="1"/>
  <c r="O13" i="25"/>
  <c r="P12" i="25" s="1"/>
  <c r="K24" i="15"/>
  <c r="K14" i="6"/>
  <c r="L28" i="6"/>
  <c r="L53" i="15"/>
  <c r="N13" i="24"/>
  <c r="O12" i="24" s="1"/>
  <c r="K13" i="6"/>
  <c r="K19" i="15"/>
  <c r="L27" i="6"/>
  <c r="L48" i="15"/>
  <c r="N23" i="1" l="1"/>
  <c r="O22" i="1" s="1"/>
  <c r="N51" i="6"/>
  <c r="N3" i="6" s="1"/>
  <c r="O43" i="1"/>
  <c r="N32" i="1"/>
  <c r="O23" i="23"/>
  <c r="P22" i="23" s="1"/>
  <c r="O13" i="23"/>
  <c r="P12" i="23" s="1"/>
  <c r="O23" i="25"/>
  <c r="P22" i="25" s="1"/>
  <c r="K82" i="15"/>
  <c r="K41" i="6"/>
  <c r="L14" i="6"/>
  <c r="L24" i="15"/>
  <c r="M53" i="15"/>
  <c r="M28" i="6"/>
  <c r="O23" i="24"/>
  <c r="P22" i="24" s="1"/>
  <c r="O13" i="24"/>
  <c r="P12" i="24" s="1"/>
  <c r="L13" i="6"/>
  <c r="L19" i="15"/>
  <c r="M48" i="15"/>
  <c r="M27" i="6"/>
  <c r="K1" i="6" l="1"/>
  <c r="O23" i="1"/>
  <c r="P22" i="1" s="1"/>
  <c r="M77" i="15"/>
  <c r="P42" i="1"/>
  <c r="N33" i="1"/>
  <c r="M40" i="6"/>
  <c r="P23" i="23"/>
  <c r="Q22" i="23" s="1"/>
  <c r="K58" i="15"/>
  <c r="K29" i="6"/>
  <c r="K29" i="15"/>
  <c r="K15" i="6"/>
  <c r="P23" i="25"/>
  <c r="Q22" i="25" s="1"/>
  <c r="L82" i="15"/>
  <c r="L41" i="6"/>
  <c r="M14" i="6"/>
  <c r="M24" i="15"/>
  <c r="P13" i="25"/>
  <c r="Q12" i="25" s="1"/>
  <c r="P23" i="24"/>
  <c r="Q22" i="24" s="1"/>
  <c r="M13" i="6"/>
  <c r="M19" i="15"/>
  <c r="P13" i="24"/>
  <c r="Q12" i="24" s="1"/>
  <c r="N27" i="6"/>
  <c r="N48" i="15"/>
  <c r="L1" i="6" l="1"/>
  <c r="K2" i="6"/>
  <c r="P23" i="1"/>
  <c r="Q22" i="1" s="1"/>
  <c r="P43" i="1"/>
  <c r="Q42" i="1" s="1"/>
  <c r="O51" i="6"/>
  <c r="O3" i="6" s="1"/>
  <c r="O32" i="1"/>
  <c r="Q23" i="23"/>
  <c r="R22" i="23" s="1"/>
  <c r="L58" i="15"/>
  <c r="L29" i="6"/>
  <c r="L29" i="15"/>
  <c r="L15" i="6"/>
  <c r="P13" i="23"/>
  <c r="Q12" i="23" s="1"/>
  <c r="Q23" i="25"/>
  <c r="R22" i="25" s="1"/>
  <c r="M41" i="6"/>
  <c r="M82" i="15"/>
  <c r="Q13" i="25"/>
  <c r="R12" i="25" s="1"/>
  <c r="Q23" i="24"/>
  <c r="R22" i="24" s="1"/>
  <c r="N53" i="15"/>
  <c r="N28" i="6"/>
  <c r="N13" i="6"/>
  <c r="N19" i="15"/>
  <c r="O27" i="6"/>
  <c r="O48" i="15"/>
  <c r="M1" i="6" l="1"/>
  <c r="L2" i="6"/>
  <c r="N77" i="15"/>
  <c r="Q43" i="1"/>
  <c r="R42" i="1" s="1"/>
  <c r="P51" i="6"/>
  <c r="P3" i="6" s="1"/>
  <c r="N40" i="6"/>
  <c r="O33" i="1"/>
  <c r="R23" i="23"/>
  <c r="S22" i="23" s="1"/>
  <c r="M58" i="15"/>
  <c r="M29" i="6"/>
  <c r="R23" i="25"/>
  <c r="S22" i="25" s="1"/>
  <c r="N82" i="15"/>
  <c r="N41" i="6"/>
  <c r="R13" i="25"/>
  <c r="S12" i="25" s="1"/>
  <c r="N14" i="6"/>
  <c r="N24" i="15"/>
  <c r="O53" i="15"/>
  <c r="O28" i="6"/>
  <c r="R23" i="24"/>
  <c r="S22" i="24" s="1"/>
  <c r="O13" i="6"/>
  <c r="O19" i="15"/>
  <c r="Q13" i="24"/>
  <c r="R12" i="24" s="1"/>
  <c r="P27" i="6"/>
  <c r="P48" i="15"/>
  <c r="Q23" i="1"/>
  <c r="R22" i="1" s="1"/>
  <c r="M2" i="6" l="1"/>
  <c r="N1" i="6"/>
  <c r="Q51" i="6"/>
  <c r="Q3" i="6" s="1"/>
  <c r="R43" i="1"/>
  <c r="P32" i="1"/>
  <c r="S23" i="23"/>
  <c r="T22" i="23" s="1"/>
  <c r="N29" i="6"/>
  <c r="N58" i="15"/>
  <c r="M15" i="6"/>
  <c r="M29" i="15"/>
  <c r="Q13" i="23"/>
  <c r="R12" i="23" s="1"/>
  <c r="S23" i="25"/>
  <c r="T22" i="25" s="1"/>
  <c r="O41" i="6"/>
  <c r="O82" i="15"/>
  <c r="S13" i="25"/>
  <c r="T12" i="25" s="1"/>
  <c r="O14" i="6"/>
  <c r="O24" i="15"/>
  <c r="S23" i="24"/>
  <c r="T22" i="24" s="1"/>
  <c r="P28" i="6"/>
  <c r="P53" i="15"/>
  <c r="R13" i="24"/>
  <c r="S12" i="24" s="1"/>
  <c r="R23" i="1"/>
  <c r="S22" i="1" s="1"/>
  <c r="N2" i="6" l="1"/>
  <c r="O77" i="15"/>
  <c r="O40" i="6"/>
  <c r="O1" i="6" s="1"/>
  <c r="S42" i="1"/>
  <c r="P33" i="1"/>
  <c r="T23" i="23"/>
  <c r="U22" i="23" s="1"/>
  <c r="O29" i="6"/>
  <c r="O58" i="15"/>
  <c r="R13" i="23"/>
  <c r="S12" i="23" s="1"/>
  <c r="T23" i="25"/>
  <c r="U22" i="25" s="1"/>
  <c r="P41" i="6"/>
  <c r="P82" i="15"/>
  <c r="T13" i="25"/>
  <c r="U12" i="25" s="1"/>
  <c r="P14" i="6"/>
  <c r="P24" i="15"/>
  <c r="T23" i="24"/>
  <c r="U22" i="24" s="1"/>
  <c r="Q28" i="6"/>
  <c r="Q53" i="15"/>
  <c r="P13" i="6"/>
  <c r="P19" i="15"/>
  <c r="S13" i="24"/>
  <c r="T12" i="24" s="1"/>
  <c r="S23" i="1"/>
  <c r="T22" i="1" s="1"/>
  <c r="Q48" i="15"/>
  <c r="Q27" i="6"/>
  <c r="O2" i="6" l="1"/>
  <c r="R51" i="6"/>
  <c r="R3" i="6" s="1"/>
  <c r="S43" i="1"/>
  <c r="Q32" i="1"/>
  <c r="U23" i="23"/>
  <c r="V22" i="23" s="1"/>
  <c r="P29" i="6"/>
  <c r="P58" i="15"/>
  <c r="S13" i="23"/>
  <c r="T12" i="23" s="1"/>
  <c r="N29" i="15"/>
  <c r="N15" i="6"/>
  <c r="U23" i="25"/>
  <c r="V22" i="25" s="1"/>
  <c r="Q41" i="6"/>
  <c r="Q82" i="15"/>
  <c r="Q24" i="15"/>
  <c r="Q14" i="6"/>
  <c r="U23" i="24"/>
  <c r="V22" i="24" s="1"/>
  <c r="R53" i="15"/>
  <c r="R28" i="6"/>
  <c r="Q19" i="15"/>
  <c r="Q13" i="6"/>
  <c r="T13" i="24"/>
  <c r="U12" i="24" s="1"/>
  <c r="T23" i="1"/>
  <c r="U22" i="1" s="1"/>
  <c r="R27" i="6"/>
  <c r="R48" i="15"/>
  <c r="P2" i="6" l="1"/>
  <c r="P77" i="15"/>
  <c r="T42" i="1"/>
  <c r="Q33" i="1"/>
  <c r="P40" i="6"/>
  <c r="P1" i="6" s="1"/>
  <c r="V23" i="23"/>
  <c r="W22" i="23" s="1"/>
  <c r="Q58" i="15"/>
  <c r="Q29" i="6"/>
  <c r="O15" i="6"/>
  <c r="O29" i="15"/>
  <c r="V23" i="25"/>
  <c r="W22" i="25" s="1"/>
  <c r="R82" i="15"/>
  <c r="R41" i="6"/>
  <c r="R24" i="15"/>
  <c r="R14" i="6"/>
  <c r="U13" i="25"/>
  <c r="V12" i="25" s="1"/>
  <c r="V23" i="24"/>
  <c r="W22" i="24" s="1"/>
  <c r="S53" i="15"/>
  <c r="S28" i="6"/>
  <c r="R13" i="6"/>
  <c r="R19" i="15"/>
  <c r="U13" i="24"/>
  <c r="V12" i="24" s="1"/>
  <c r="S27" i="6"/>
  <c r="S48" i="15"/>
  <c r="I96" i="15"/>
  <c r="J96" i="15"/>
  <c r="I77" i="15"/>
  <c r="Q2" i="6" l="1"/>
  <c r="T43" i="1"/>
  <c r="U42" i="1" s="1"/>
  <c r="S51" i="6"/>
  <c r="S3" i="6" s="1"/>
  <c r="R32" i="1"/>
  <c r="W23" i="23"/>
  <c r="X22" i="23" s="1"/>
  <c r="R29" i="6"/>
  <c r="R58" i="15"/>
  <c r="P15" i="6"/>
  <c r="P29" i="15"/>
  <c r="T13" i="23"/>
  <c r="U12" i="23" s="1"/>
  <c r="W23" i="25"/>
  <c r="X22" i="25" s="1"/>
  <c r="S41" i="6"/>
  <c r="S82" i="15"/>
  <c r="W23" i="24"/>
  <c r="X22" i="24" s="1"/>
  <c r="T53" i="15"/>
  <c r="T28" i="6"/>
  <c r="S13" i="6"/>
  <c r="S19" i="15"/>
  <c r="V13" i="24"/>
  <c r="W12" i="24" s="1"/>
  <c r="T48" i="15"/>
  <c r="T27" i="6"/>
  <c r="U23" i="1"/>
  <c r="V22" i="1" s="1"/>
  <c r="I101" i="15"/>
  <c r="J101" i="15" s="1"/>
  <c r="J48" i="1"/>
  <c r="I100" i="15"/>
  <c r="J100" i="15" s="1"/>
  <c r="K47" i="1"/>
  <c r="J47" i="1"/>
  <c r="R2" i="6" l="1"/>
  <c r="Q40" i="6"/>
  <c r="Q1" i="6" s="1"/>
  <c r="U43" i="1"/>
  <c r="V42" i="1" s="1"/>
  <c r="R33" i="1"/>
  <c r="S32" i="1" s="1"/>
  <c r="T51" i="6"/>
  <c r="T3" i="6" s="1"/>
  <c r="Q77" i="15"/>
  <c r="X23" i="23"/>
  <c r="Y22" i="23" s="1"/>
  <c r="S29" i="6"/>
  <c r="S58" i="15"/>
  <c r="X23" i="25"/>
  <c r="Y22" i="25" s="1"/>
  <c r="T82" i="15"/>
  <c r="T41" i="6"/>
  <c r="S14" i="6"/>
  <c r="S24" i="15"/>
  <c r="V13" i="25"/>
  <c r="W12" i="25" s="1"/>
  <c r="U28" i="6"/>
  <c r="U53" i="15"/>
  <c r="W13" i="24"/>
  <c r="X12" i="24" s="1"/>
  <c r="T19" i="15"/>
  <c r="T13" i="6"/>
  <c r="I81" i="15"/>
  <c r="J81" i="15" s="1"/>
  <c r="AE73" i="15"/>
  <c r="S2" i="6" l="1"/>
  <c r="R77" i="15"/>
  <c r="U51" i="6"/>
  <c r="U3" i="6" s="1"/>
  <c r="V43" i="1"/>
  <c r="R40" i="6"/>
  <c r="R1" i="6" s="1"/>
  <c r="S33" i="1"/>
  <c r="Y23" i="23"/>
  <c r="Z22" i="23" s="1"/>
  <c r="T29" i="6"/>
  <c r="T58" i="15"/>
  <c r="Q15" i="6"/>
  <c r="Q29" i="15"/>
  <c r="U13" i="23"/>
  <c r="V12" i="23" s="1"/>
  <c r="Y23" i="25"/>
  <c r="Z22" i="25" s="1"/>
  <c r="U82" i="15"/>
  <c r="U41" i="6"/>
  <c r="W13" i="25"/>
  <c r="X12" i="25" s="1"/>
  <c r="V53" i="15"/>
  <c r="V28" i="6"/>
  <c r="X23" i="24"/>
  <c r="Y22" i="24" s="1"/>
  <c r="X13" i="24"/>
  <c r="Y12" i="24" s="1"/>
  <c r="U19" i="15"/>
  <c r="U13" i="6"/>
  <c r="U27" i="6"/>
  <c r="U48" i="15"/>
  <c r="V23" i="1"/>
  <c r="W22" i="1" s="1"/>
  <c r="T2" i="6" l="1"/>
  <c r="W42" i="1"/>
  <c r="T32" i="1"/>
  <c r="Z23" i="23"/>
  <c r="AA22" i="23" s="1"/>
  <c r="U58" i="15"/>
  <c r="U29" i="6"/>
  <c r="Z23" i="25"/>
  <c r="AA22" i="25" s="1"/>
  <c r="V41" i="6"/>
  <c r="V82" i="15"/>
  <c r="X13" i="25"/>
  <c r="Y12" i="25" s="1"/>
  <c r="T14" i="6"/>
  <c r="T24" i="15"/>
  <c r="Y23" i="24"/>
  <c r="Z22" i="24" s="1"/>
  <c r="V13" i="6"/>
  <c r="V19" i="15"/>
  <c r="W23" i="1"/>
  <c r="X22" i="1" s="1"/>
  <c r="AF73" i="15"/>
  <c r="U2" i="6" l="1"/>
  <c r="V51" i="6"/>
  <c r="V3" i="6" s="1"/>
  <c r="W43" i="1"/>
  <c r="X42" i="1" s="1"/>
  <c r="S77" i="15"/>
  <c r="S40" i="6"/>
  <c r="S1" i="6" s="1"/>
  <c r="T33" i="1"/>
  <c r="AA23" i="23"/>
  <c r="AB22" i="23" s="1"/>
  <c r="V58" i="15"/>
  <c r="V29" i="6"/>
  <c r="R15" i="6"/>
  <c r="R29" i="15"/>
  <c r="V13" i="23"/>
  <c r="W12" i="23" s="1"/>
  <c r="AA23" i="25"/>
  <c r="AB22" i="25" s="1"/>
  <c r="W41" i="6"/>
  <c r="W82" i="15"/>
  <c r="Y13" i="25"/>
  <c r="Z12" i="25" s="1"/>
  <c r="U14" i="6"/>
  <c r="U24" i="15"/>
  <c r="Z23" i="24"/>
  <c r="AA22" i="24" s="1"/>
  <c r="W28" i="6"/>
  <c r="W53" i="15"/>
  <c r="W13" i="6"/>
  <c r="W19" i="15"/>
  <c r="Y13" i="24"/>
  <c r="Z12" i="24" s="1"/>
  <c r="X23" i="1"/>
  <c r="Y22" i="1" s="1"/>
  <c r="V27" i="6"/>
  <c r="V48" i="15"/>
  <c r="V2" i="6" l="1"/>
  <c r="W51" i="6"/>
  <c r="W3" i="6" s="1"/>
  <c r="X43" i="1"/>
  <c r="U32" i="1"/>
  <c r="AB23" i="23"/>
  <c r="AC22" i="23" s="1"/>
  <c r="W29" i="6"/>
  <c r="W58" i="15"/>
  <c r="W13" i="23"/>
  <c r="X12" i="23" s="1"/>
  <c r="AB23" i="25"/>
  <c r="AC22" i="25" s="1"/>
  <c r="X41" i="6"/>
  <c r="X82" i="15"/>
  <c r="Z13" i="25"/>
  <c r="AA12" i="25" s="1"/>
  <c r="V14" i="6"/>
  <c r="V24" i="15"/>
  <c r="AA23" i="24"/>
  <c r="AB22" i="24" s="1"/>
  <c r="X28" i="6"/>
  <c r="X53" i="15"/>
  <c r="Z13" i="24"/>
  <c r="AA12" i="24" s="1"/>
  <c r="W27" i="6"/>
  <c r="W48" i="15"/>
  <c r="W2" i="6" l="1"/>
  <c r="U33" i="1"/>
  <c r="V32" i="1" s="1"/>
  <c r="Y42" i="1"/>
  <c r="T40" i="6"/>
  <c r="T1" i="6" s="1"/>
  <c r="T77" i="15"/>
  <c r="AC23" i="23"/>
  <c r="AD22" i="23" s="1"/>
  <c r="X29" i="6"/>
  <c r="X58" i="15"/>
  <c r="S15" i="6"/>
  <c r="S29" i="15"/>
  <c r="X13" i="23"/>
  <c r="Y12" i="23" s="1"/>
  <c r="AC23" i="25"/>
  <c r="AD22" i="25" s="1"/>
  <c r="Y82" i="15"/>
  <c r="Y41" i="6"/>
  <c r="AA13" i="25"/>
  <c r="AB12" i="25" s="1"/>
  <c r="W24" i="15"/>
  <c r="W14" i="6"/>
  <c r="AB23" i="24"/>
  <c r="AC22" i="24" s="1"/>
  <c r="Y53" i="15"/>
  <c r="Y28" i="6"/>
  <c r="AA13" i="24"/>
  <c r="AB12" i="24" s="1"/>
  <c r="X19" i="15"/>
  <c r="X13" i="6"/>
  <c r="X48" i="15"/>
  <c r="X27" i="6"/>
  <c r="Y23" i="1"/>
  <c r="Z22" i="1" s="1"/>
  <c r="X2" i="6" l="1"/>
  <c r="Y43" i="1"/>
  <c r="Z42" i="1" s="1"/>
  <c r="X51" i="6"/>
  <c r="X3" i="6" s="1"/>
  <c r="U77" i="15"/>
  <c r="U40" i="6"/>
  <c r="U1" i="6" s="1"/>
  <c r="V33" i="1"/>
  <c r="Y29" i="6"/>
  <c r="Y58" i="15"/>
  <c r="T29" i="15"/>
  <c r="T15" i="6"/>
  <c r="AD23" i="25"/>
  <c r="AE22" i="25" s="1"/>
  <c r="Z41" i="6"/>
  <c r="Z82" i="15"/>
  <c r="X14" i="6"/>
  <c r="X24" i="15"/>
  <c r="AC23" i="24"/>
  <c r="AD22" i="24" s="1"/>
  <c r="Z53" i="15"/>
  <c r="Z28" i="6"/>
  <c r="AB13" i="24"/>
  <c r="AC12" i="24" s="1"/>
  <c r="Y13" i="6"/>
  <c r="Y19" i="15"/>
  <c r="Y51" i="6" l="1"/>
  <c r="Y3" i="6" s="1"/>
  <c r="Z43" i="1"/>
  <c r="W32" i="1"/>
  <c r="Z58" i="15"/>
  <c r="Z29" i="6"/>
  <c r="AD23" i="23"/>
  <c r="AE22" i="23" s="1"/>
  <c r="U15" i="6"/>
  <c r="U29" i="15"/>
  <c r="Y13" i="23"/>
  <c r="Z12" i="23" s="1"/>
  <c r="AE23" i="25"/>
  <c r="AF22" i="25" s="1"/>
  <c r="AA82" i="15"/>
  <c r="AA41" i="6"/>
  <c r="Y14" i="6"/>
  <c r="Y24" i="15"/>
  <c r="AB13" i="25"/>
  <c r="AC12" i="25" s="1"/>
  <c r="AD23" i="24"/>
  <c r="AE22" i="24" s="1"/>
  <c r="AA28" i="6"/>
  <c r="AA53" i="15"/>
  <c r="Z19" i="15"/>
  <c r="Z13" i="6"/>
  <c r="Y27" i="6"/>
  <c r="Y2" i="6" s="1"/>
  <c r="Y48" i="15"/>
  <c r="Z23" i="1"/>
  <c r="AA22" i="1" s="1"/>
  <c r="W33" i="1" l="1"/>
  <c r="X32" i="1" s="1"/>
  <c r="AA42" i="1"/>
  <c r="V40" i="6"/>
  <c r="V1" i="6" s="1"/>
  <c r="V77" i="15"/>
  <c r="Z13" i="23"/>
  <c r="AA12" i="23" s="1"/>
  <c r="AF23" i="25"/>
  <c r="AG22" i="25" s="1"/>
  <c r="AB41" i="6"/>
  <c r="AB82" i="15"/>
  <c r="AE23" i="24"/>
  <c r="AF22" i="24" s="1"/>
  <c r="AB28" i="6"/>
  <c r="AB53" i="15"/>
  <c r="AA13" i="6"/>
  <c r="AA19" i="15"/>
  <c r="AC13" i="24"/>
  <c r="AD12" i="24" s="1"/>
  <c r="AA23" i="1"/>
  <c r="AB22" i="1" s="1"/>
  <c r="Z51" i="6" l="1"/>
  <c r="Z3" i="6" s="1"/>
  <c r="AA43" i="1"/>
  <c r="W77" i="15"/>
  <c r="W40" i="6"/>
  <c r="W1" i="6" s="1"/>
  <c r="X33" i="1"/>
  <c r="AA58" i="15"/>
  <c r="AA29" i="6"/>
  <c r="AE23" i="23"/>
  <c r="AF22" i="23" s="1"/>
  <c r="V29" i="15"/>
  <c r="V15" i="6"/>
  <c r="AG23" i="25"/>
  <c r="AC82" i="15"/>
  <c r="AC41" i="6"/>
  <c r="Z24" i="15"/>
  <c r="Z14" i="6"/>
  <c r="AC13" i="25"/>
  <c r="AD12" i="25" s="1"/>
  <c r="AF23" i="24"/>
  <c r="AG22" i="24" s="1"/>
  <c r="AC53" i="15"/>
  <c r="AC28" i="6"/>
  <c r="Z27" i="6"/>
  <c r="Z2" i="6" s="1"/>
  <c r="Z48" i="15"/>
  <c r="AB23" i="1"/>
  <c r="AC22" i="1" s="1"/>
  <c r="AB42" i="1" l="1"/>
  <c r="Y32" i="1"/>
  <c r="AF23" i="23"/>
  <c r="AG22" i="23" s="1"/>
  <c r="W15" i="6"/>
  <c r="W29" i="15"/>
  <c r="AA13" i="23"/>
  <c r="AB12" i="23" s="1"/>
  <c r="AD82" i="15"/>
  <c r="AD41" i="6"/>
  <c r="AG23" i="24"/>
  <c r="AD28" i="6"/>
  <c r="AD53" i="15"/>
  <c r="AB13" i="6"/>
  <c r="AB19" i="15"/>
  <c r="AD13" i="24"/>
  <c r="AE12" i="24" s="1"/>
  <c r="AA27" i="6"/>
  <c r="AA2" i="6" s="1"/>
  <c r="AA48" i="15"/>
  <c r="AB43" i="1" l="1"/>
  <c r="AC42" i="1" s="1"/>
  <c r="AA51" i="6"/>
  <c r="AA3" i="6" s="1"/>
  <c r="X40" i="6"/>
  <c r="X1" i="6" s="1"/>
  <c r="X77" i="15"/>
  <c r="Y33" i="1"/>
  <c r="AE41" i="6"/>
  <c r="AE82" i="15"/>
  <c r="AB29" i="6"/>
  <c r="AB58" i="15"/>
  <c r="AB13" i="23"/>
  <c r="AC12" i="23" s="1"/>
  <c r="AA14" i="6"/>
  <c r="AA24" i="15"/>
  <c r="AD13" i="25"/>
  <c r="AE12" i="25" s="1"/>
  <c r="AE53" i="15"/>
  <c r="AE28" i="6"/>
  <c r="AB27" i="6"/>
  <c r="AB48" i="15"/>
  <c r="AC23" i="1"/>
  <c r="AD22" i="1" s="1"/>
  <c r="AB2" i="6" l="1"/>
  <c r="AB51" i="6"/>
  <c r="AB3" i="6" s="1"/>
  <c r="AC43" i="1"/>
  <c r="Z32" i="1"/>
  <c r="AF41" i="6"/>
  <c r="AF82" i="15"/>
  <c r="AF53" i="15"/>
  <c r="AF28" i="6"/>
  <c r="AC29" i="6"/>
  <c r="AC58" i="15"/>
  <c r="AG23" i="23"/>
  <c r="AC13" i="23"/>
  <c r="AD12" i="23" s="1"/>
  <c r="X15" i="6"/>
  <c r="X29" i="15"/>
  <c r="AE13" i="25"/>
  <c r="AF12" i="25" s="1"/>
  <c r="AC13" i="6"/>
  <c r="AC19" i="15"/>
  <c r="AE13" i="24"/>
  <c r="AF12" i="24" s="1"/>
  <c r="Z33" i="1" l="1"/>
  <c r="AA32" i="1" s="1"/>
  <c r="AD42" i="1"/>
  <c r="Y40" i="6"/>
  <c r="Y1" i="6" s="1"/>
  <c r="Y77" i="15"/>
  <c r="Y29" i="15"/>
  <c r="Y15" i="6"/>
  <c r="AF13" i="25"/>
  <c r="AG12" i="25" s="1"/>
  <c r="AB24" i="15"/>
  <c r="AB14" i="6"/>
  <c r="AC27" i="6"/>
  <c r="AC2" i="6" s="1"/>
  <c r="AC48" i="15"/>
  <c r="AD23" i="1"/>
  <c r="AE22" i="1" s="1"/>
  <c r="AC51" i="6" l="1"/>
  <c r="AC3" i="6" s="1"/>
  <c r="AD43" i="1"/>
  <c r="Z77" i="15"/>
  <c r="Z40" i="6"/>
  <c r="Z1" i="6" s="1"/>
  <c r="AA33" i="1"/>
  <c r="AD58" i="15"/>
  <c r="AD29" i="6"/>
  <c r="Z15" i="6"/>
  <c r="Z29" i="15"/>
  <c r="AD13" i="23"/>
  <c r="AE12" i="23" s="1"/>
  <c r="AG13" i="25"/>
  <c r="AC14" i="6"/>
  <c r="AC24" i="15"/>
  <c r="AD13" i="6"/>
  <c r="AD19" i="15"/>
  <c r="AF13" i="24"/>
  <c r="AG12" i="24" s="1"/>
  <c r="AE23" i="1"/>
  <c r="AF22" i="1" s="1"/>
  <c r="AE42" i="1" l="1"/>
  <c r="AB32" i="1"/>
  <c r="AD24" i="15"/>
  <c r="AD14" i="6"/>
  <c r="AG13" i="24"/>
  <c r="AD48" i="15"/>
  <c r="AD27" i="6"/>
  <c r="AB33" i="1" l="1"/>
  <c r="AC32" i="1" s="1"/>
  <c r="AD51" i="6"/>
  <c r="AE43" i="1"/>
  <c r="AA40" i="6"/>
  <c r="AA1" i="6" s="1"/>
  <c r="AA77" i="15"/>
  <c r="AE58" i="15"/>
  <c r="AE29" i="6"/>
  <c r="AE24" i="15"/>
  <c r="AE14" i="6"/>
  <c r="AA29" i="15"/>
  <c r="AA15" i="6"/>
  <c r="AE13" i="23"/>
  <c r="AF12" i="23" s="1"/>
  <c r="AE13" i="6"/>
  <c r="AE19" i="15"/>
  <c r="AE27" i="6"/>
  <c r="AE48" i="15"/>
  <c r="AF23" i="1"/>
  <c r="AG22" i="1" s="1"/>
  <c r="AC33" i="1" l="1"/>
  <c r="AD32" i="1" s="1"/>
  <c r="AF42" i="1"/>
  <c r="AB40" i="6"/>
  <c r="AB1" i="6" s="1"/>
  <c r="AB77" i="15"/>
  <c r="AF14" i="6"/>
  <c r="AF24" i="15"/>
  <c r="AF13" i="6"/>
  <c r="AF19" i="15"/>
  <c r="AG23" i="1"/>
  <c r="AD33" i="1" l="1"/>
  <c r="AE32" i="1" s="1"/>
  <c r="AE51" i="6"/>
  <c r="AF43" i="1"/>
  <c r="AC40" i="6"/>
  <c r="AC1" i="6" s="1"/>
  <c r="AC77" i="15"/>
  <c r="AF29" i="6"/>
  <c r="AF58" i="15"/>
  <c r="AB15" i="6"/>
  <c r="AB29" i="15"/>
  <c r="AF13" i="23"/>
  <c r="AG12" i="23" s="1"/>
  <c r="AF48" i="15"/>
  <c r="AF27" i="6"/>
  <c r="AE33" i="1" l="1"/>
  <c r="AF32" i="1" s="1"/>
  <c r="AG42" i="1"/>
  <c r="AD40" i="6"/>
  <c r="AD77" i="15"/>
  <c r="AG13" i="23"/>
  <c r="AF51" i="6" l="1"/>
  <c r="AG43" i="1"/>
  <c r="AE77" i="15"/>
  <c r="AE40" i="6"/>
  <c r="AF33" i="1"/>
  <c r="AC15" i="6"/>
  <c r="AC29" i="15"/>
  <c r="AG32" i="1" l="1"/>
  <c r="AD15" i="6"/>
  <c r="AD29" i="15"/>
  <c r="AG33" i="1" l="1"/>
  <c r="AF40" i="6"/>
  <c r="AF77" i="15"/>
  <c r="AF65" i="15" l="1"/>
  <c r="AE15" i="6"/>
  <c r="AE29" i="15"/>
  <c r="AD89" i="15"/>
  <c r="AF29" i="15" l="1"/>
  <c r="AF15" i="6"/>
  <c r="Y73" i="15"/>
  <c r="I32" i="15"/>
  <c r="AF102" i="15" l="1"/>
  <c r="I9" i="6"/>
  <c r="AE89" i="15"/>
  <c r="N26" i="23"/>
  <c r="N25" i="23"/>
  <c r="I62" i="15"/>
  <c r="J62" i="15" s="1"/>
  <c r="M26" i="23"/>
  <c r="I33" i="15"/>
  <c r="J33" i="15" s="1"/>
  <c r="M25" i="23"/>
  <c r="K73" i="15"/>
  <c r="S73" i="15"/>
  <c r="L73" i="15"/>
  <c r="T73" i="15"/>
  <c r="R73" i="15"/>
  <c r="M73" i="15"/>
  <c r="U73" i="15"/>
  <c r="J22" i="15"/>
  <c r="I27" i="15"/>
  <c r="N73" i="15"/>
  <c r="V73" i="15"/>
  <c r="J27" i="15"/>
  <c r="O73" i="15"/>
  <c r="W73" i="15"/>
  <c r="P73" i="15"/>
  <c r="X73" i="15"/>
  <c r="I48" i="15"/>
  <c r="J14" i="15"/>
  <c r="Q73" i="15"/>
  <c r="Z73" i="15"/>
  <c r="I8" i="6" l="1"/>
  <c r="AF89" i="15"/>
  <c r="L25" i="25"/>
  <c r="M25" i="25"/>
  <c r="L25" i="24"/>
  <c r="L26" i="24"/>
  <c r="K26" i="24"/>
  <c r="I23" i="15"/>
  <c r="P10" i="15"/>
  <c r="Q10" i="15"/>
  <c r="N44" i="15"/>
  <c r="R44" i="15"/>
  <c r="T44" i="15"/>
  <c r="U44" i="15"/>
  <c r="K44" i="15"/>
  <c r="S44" i="15"/>
  <c r="V44" i="15"/>
  <c r="N10" i="15"/>
  <c r="I43" i="15"/>
  <c r="O10" i="15"/>
  <c r="I57" i="15"/>
  <c r="T10" i="15"/>
  <c r="W10" i="15"/>
  <c r="M10" i="15"/>
  <c r="I72" i="15"/>
  <c r="I28" i="15"/>
  <c r="I14" i="15"/>
  <c r="L44" i="15"/>
  <c r="Q44" i="15"/>
  <c r="K10" i="15"/>
  <c r="L10" i="15"/>
  <c r="S10" i="15"/>
  <c r="O44" i="15"/>
  <c r="W44" i="15"/>
  <c r="I73" i="15"/>
  <c r="I75" i="15" s="1"/>
  <c r="I76" i="15" s="1"/>
  <c r="R10" i="15"/>
  <c r="M44" i="15"/>
  <c r="U10" i="15"/>
  <c r="X10" i="15"/>
  <c r="J44" i="15"/>
  <c r="J46" i="15" s="1"/>
  <c r="J73" i="15"/>
  <c r="J75" i="15" s="1"/>
  <c r="V10" i="15"/>
  <c r="X44" i="15"/>
  <c r="J10" i="15"/>
  <c r="J12" i="15" s="1"/>
  <c r="J13" i="15" s="1"/>
  <c r="J34" i="15"/>
  <c r="I44" i="15"/>
  <c r="I46" i="15" s="1"/>
  <c r="I47" i="15" s="1"/>
  <c r="P44" i="15"/>
  <c r="AA73" i="15"/>
  <c r="I9" i="15" l="1"/>
  <c r="I18" i="15"/>
  <c r="J18" i="15" s="1"/>
  <c r="J45" i="1"/>
  <c r="I6" i="6"/>
  <c r="I7" i="6"/>
  <c r="J76" i="15"/>
  <c r="J47" i="15"/>
  <c r="K25" i="24"/>
  <c r="I52" i="15"/>
  <c r="J52" i="15" s="1"/>
  <c r="J46" i="1"/>
  <c r="J63" i="15"/>
  <c r="K46" i="1"/>
  <c r="K45" i="1"/>
  <c r="J87" i="15"/>
  <c r="M26" i="25"/>
  <c r="I87" i="15"/>
  <c r="I88" i="15" s="1"/>
  <c r="L26" i="25"/>
  <c r="I34" i="15"/>
  <c r="I35" i="15" s="1"/>
  <c r="J23" i="15"/>
  <c r="J57" i="15"/>
  <c r="AD44" i="15"/>
  <c r="I86" i="15"/>
  <c r="J72" i="15" s="1"/>
  <c r="I63" i="15"/>
  <c r="I64" i="15" s="1"/>
  <c r="Y44" i="15"/>
  <c r="Y10" i="15"/>
  <c r="J28" i="15"/>
  <c r="AB73" i="15"/>
  <c r="J88" i="15" l="1"/>
  <c r="J43" i="15"/>
  <c r="I66" i="15"/>
  <c r="J35" i="15"/>
  <c r="J64" i="15"/>
  <c r="J9" i="15"/>
  <c r="K43" i="15"/>
  <c r="J66" i="15"/>
  <c r="I90" i="15"/>
  <c r="J86" i="15"/>
  <c r="J90" i="15" s="1"/>
  <c r="I37" i="15"/>
  <c r="Z10" i="15"/>
  <c r="Z44" i="15"/>
  <c r="AC73" i="15"/>
  <c r="K13" i="1"/>
  <c r="L12" i="1" s="1"/>
  <c r="J37" i="15" l="1"/>
  <c r="I45" i="6"/>
  <c r="I89" i="15"/>
  <c r="K12" i="6"/>
  <c r="K96" i="15"/>
  <c r="K72" i="15"/>
  <c r="AE44" i="15"/>
  <c r="AF44" i="15"/>
  <c r="AA44" i="15"/>
  <c r="AE10" i="15"/>
  <c r="AF10" i="15"/>
  <c r="AA10" i="15"/>
  <c r="K46" i="15"/>
  <c r="K51" i="15" s="1"/>
  <c r="K14" i="15"/>
  <c r="K11" i="6" l="1"/>
  <c r="K4" i="6"/>
  <c r="I46" i="6"/>
  <c r="J45" i="6" s="1"/>
  <c r="K99" i="15"/>
  <c r="K75" i="15"/>
  <c r="K76" i="15" s="1"/>
  <c r="K61" i="15"/>
  <c r="K56" i="15"/>
  <c r="K47" i="15"/>
  <c r="K9" i="15"/>
  <c r="L96" i="15"/>
  <c r="J89" i="15"/>
  <c r="K89" i="15"/>
  <c r="AC44" i="15"/>
  <c r="AB44" i="15"/>
  <c r="AD10" i="15"/>
  <c r="AD73" i="15"/>
  <c r="AC10" i="15"/>
  <c r="AB10" i="15"/>
  <c r="L13" i="1"/>
  <c r="J46" i="6" l="1"/>
  <c r="K45" i="6" s="1"/>
  <c r="K101" i="15"/>
  <c r="K100" i="15"/>
  <c r="L48" i="1"/>
  <c r="K85" i="15"/>
  <c r="K80" i="15"/>
  <c r="L12" i="6"/>
  <c r="L4" i="6" s="1"/>
  <c r="K62" i="15"/>
  <c r="O26" i="23"/>
  <c r="K57" i="15"/>
  <c r="M26" i="24"/>
  <c r="M96" i="15"/>
  <c r="L14" i="15"/>
  <c r="I102" i="15"/>
  <c r="L89" i="15"/>
  <c r="N12" i="1"/>
  <c r="K46" i="6" l="1"/>
  <c r="I56" i="6"/>
  <c r="J55" i="6" s="1"/>
  <c r="J25" i="14"/>
  <c r="J30" i="14" s="1"/>
  <c r="L47" i="1"/>
  <c r="L99" i="15"/>
  <c r="K81" i="15"/>
  <c r="K87" i="15"/>
  <c r="K88" i="15" s="1"/>
  <c r="K86" i="15"/>
  <c r="N26" i="25"/>
  <c r="M12" i="6"/>
  <c r="M4" i="6" s="1"/>
  <c r="N96" i="15"/>
  <c r="M14" i="15"/>
  <c r="M89" i="15"/>
  <c r="J102" i="15"/>
  <c r="N13" i="1"/>
  <c r="O12" i="1" s="1"/>
  <c r="L45" i="6" l="1"/>
  <c r="K25" i="14" s="1"/>
  <c r="K30" i="14" s="1"/>
  <c r="J56" i="6"/>
  <c r="L100" i="15"/>
  <c r="L101" i="15"/>
  <c r="M48" i="1"/>
  <c r="K90" i="15"/>
  <c r="N12" i="6"/>
  <c r="N4" i="6" s="1"/>
  <c r="O96" i="15"/>
  <c r="N14" i="15"/>
  <c r="N89" i="15"/>
  <c r="K102" i="15"/>
  <c r="O13" i="1"/>
  <c r="P12" i="1" s="1"/>
  <c r="L46" i="6" l="1"/>
  <c r="M45" i="6" s="1"/>
  <c r="L25" i="14" s="1"/>
  <c r="K56" i="6"/>
  <c r="L55" i="6" s="1"/>
  <c r="J33" i="14"/>
  <c r="J38" i="14" s="1"/>
  <c r="O12" i="6"/>
  <c r="O4" i="6" s="1"/>
  <c r="O14" i="15"/>
  <c r="P96" i="15"/>
  <c r="O89" i="15"/>
  <c r="L102" i="15"/>
  <c r="P13" i="1"/>
  <c r="Q12" i="1" s="1"/>
  <c r="L56" i="6" l="1"/>
  <c r="M55" i="6" s="1"/>
  <c r="K33" i="14"/>
  <c r="K38" i="14" s="1"/>
  <c r="P12" i="6"/>
  <c r="P4" i="6" s="1"/>
  <c r="P14" i="15"/>
  <c r="Q96" i="15"/>
  <c r="P89" i="15"/>
  <c r="M102" i="15"/>
  <c r="Q13" i="1"/>
  <c r="R12" i="1" s="1"/>
  <c r="M56" i="6" l="1"/>
  <c r="N55" i="6" s="1"/>
  <c r="L33" i="14"/>
  <c r="Q12" i="6"/>
  <c r="Q4" i="6" s="1"/>
  <c r="R96" i="15"/>
  <c r="Q14" i="15"/>
  <c r="N102" i="15"/>
  <c r="Q89" i="15"/>
  <c r="R13" i="1"/>
  <c r="S12" i="1" s="1"/>
  <c r="M33" i="14" l="1"/>
  <c r="N56" i="6"/>
  <c r="O55" i="6" s="1"/>
  <c r="R12" i="6"/>
  <c r="R4" i="6" s="1"/>
  <c r="S96" i="15"/>
  <c r="R14" i="15"/>
  <c r="O102" i="15"/>
  <c r="R89" i="15"/>
  <c r="S13" i="1"/>
  <c r="T12" i="1" s="1"/>
  <c r="N33" i="14" l="1"/>
  <c r="S12" i="6"/>
  <c r="S4" i="6" s="1"/>
  <c r="T96" i="15"/>
  <c r="S14" i="15"/>
  <c r="P102" i="15"/>
  <c r="S89" i="15"/>
  <c r="O56" i="6"/>
  <c r="P55" i="6" s="1"/>
  <c r="T13" i="1"/>
  <c r="U12" i="1" s="1"/>
  <c r="O33" i="14" l="1"/>
  <c r="T12" i="6"/>
  <c r="T4" i="6" s="1"/>
  <c r="T14" i="15"/>
  <c r="U96" i="15"/>
  <c r="T89" i="15"/>
  <c r="Q102" i="15"/>
  <c r="U13" i="1"/>
  <c r="V12" i="1" s="1"/>
  <c r="U12" i="6" l="1"/>
  <c r="U4" i="6" s="1"/>
  <c r="V96" i="15"/>
  <c r="U14" i="15"/>
  <c r="U89" i="15"/>
  <c r="R102" i="15"/>
  <c r="P56" i="6"/>
  <c r="Q55" i="6" s="1"/>
  <c r="V13" i="1"/>
  <c r="W12" i="1" s="1"/>
  <c r="P33" i="14" l="1"/>
  <c r="V12" i="6"/>
  <c r="V4" i="6" s="1"/>
  <c r="W96" i="15"/>
  <c r="V14" i="15"/>
  <c r="W89" i="15"/>
  <c r="S102" i="15"/>
  <c r="V89" i="15"/>
  <c r="W13" i="1"/>
  <c r="X12" i="1" s="1"/>
  <c r="W12" i="6" l="1"/>
  <c r="W4" i="6" s="1"/>
  <c r="W14" i="15"/>
  <c r="X96" i="15"/>
  <c r="T102" i="15"/>
  <c r="Q56" i="6"/>
  <c r="R55" i="6" s="1"/>
  <c r="X13" i="1"/>
  <c r="Y12" i="1" s="1"/>
  <c r="Q33" i="14" l="1"/>
  <c r="X12" i="6"/>
  <c r="X4" i="6" s="1"/>
  <c r="Y96" i="15"/>
  <c r="X14" i="15"/>
  <c r="U102" i="15"/>
  <c r="R56" i="6"/>
  <c r="S55" i="6" s="1"/>
  <c r="X89" i="15"/>
  <c r="Y13" i="1"/>
  <c r="Z12" i="1" s="1"/>
  <c r="R33" i="14" l="1"/>
  <c r="Y12" i="6"/>
  <c r="Y4" i="6" s="1"/>
  <c r="Y14" i="15"/>
  <c r="Z96" i="15"/>
  <c r="V102" i="15"/>
  <c r="Y89" i="15"/>
  <c r="W102" i="15"/>
  <c r="Z13" i="1"/>
  <c r="AA12" i="1" s="1"/>
  <c r="Z12" i="6" l="1"/>
  <c r="Z4" i="6" s="1"/>
  <c r="AA96" i="15"/>
  <c r="Z14" i="15"/>
  <c r="Z89" i="15"/>
  <c r="X102" i="15"/>
  <c r="S56" i="6"/>
  <c r="T55" i="6" s="1"/>
  <c r="AA13" i="1"/>
  <c r="AB12" i="1" s="1"/>
  <c r="S33" i="14" l="1"/>
  <c r="AA12" i="6"/>
  <c r="AA4" i="6" s="1"/>
  <c r="AB96" i="15"/>
  <c r="AA14" i="15"/>
  <c r="AA89" i="15"/>
  <c r="AC89" i="15"/>
  <c r="AB13" i="1"/>
  <c r="AC12" i="1" s="1"/>
  <c r="AB12" i="6" l="1"/>
  <c r="AB4" i="6" s="1"/>
  <c r="AC96" i="15"/>
  <c r="AB14" i="15"/>
  <c r="AB89" i="15"/>
  <c r="Y102" i="15"/>
  <c r="T56" i="6"/>
  <c r="U55" i="6" s="1"/>
  <c r="AC13" i="1"/>
  <c r="AD12" i="1" s="1"/>
  <c r="T33" i="14" l="1"/>
  <c r="AC12" i="6"/>
  <c r="AC4" i="6" s="1"/>
  <c r="AE3" i="6" s="1"/>
  <c r="AD96" i="15"/>
  <c r="AC14" i="15"/>
  <c r="U56" i="6"/>
  <c r="V55" i="6" s="1"/>
  <c r="Z102" i="15"/>
  <c r="AD13" i="1"/>
  <c r="AE12" i="1" s="1"/>
  <c r="U33" i="14" l="1"/>
  <c r="AD12" i="6"/>
  <c r="AE96" i="15"/>
  <c r="AD14" i="15"/>
  <c r="V56" i="6"/>
  <c r="W55" i="6" s="1"/>
  <c r="AA102" i="15"/>
  <c r="AB102" i="15"/>
  <c r="AE13" i="1"/>
  <c r="AF12" i="1" s="1"/>
  <c r="V33" i="14" l="1"/>
  <c r="AE12" i="6"/>
  <c r="AE14" i="15"/>
  <c r="AF96" i="15"/>
  <c r="AF13" i="1"/>
  <c r="AG12" i="1" s="1"/>
  <c r="AF12" i="6" l="1"/>
  <c r="AF14" i="15"/>
  <c r="AC102" i="15"/>
  <c r="W56" i="6"/>
  <c r="X55" i="6" s="1"/>
  <c r="AD102" i="15"/>
  <c r="AG13" i="1"/>
  <c r="W33" i="14" l="1"/>
  <c r="AE102" i="15"/>
  <c r="X56" i="6" l="1"/>
  <c r="Y55" i="6" s="1"/>
  <c r="X33" i="14" l="1"/>
  <c r="Y56" i="6"/>
  <c r="Z55" i="6" s="1"/>
  <c r="AE36" i="15" l="1"/>
  <c r="AF36" i="15"/>
  <c r="Y33" i="14"/>
  <c r="Z56" i="6"/>
  <c r="AA55" i="6" s="1"/>
  <c r="Z33" i="14" l="1"/>
  <c r="AA56" i="6"/>
  <c r="AB55" i="6" s="1"/>
  <c r="AA33" i="14" l="1"/>
  <c r="AB56" i="6"/>
  <c r="AC55" i="6" s="1"/>
  <c r="AB33" i="14" l="1"/>
  <c r="AC56" i="6"/>
  <c r="AD55" i="6" s="1"/>
  <c r="AC33" i="14" l="1"/>
  <c r="AD56" i="6"/>
  <c r="AE55" i="6" s="1"/>
  <c r="AD33" i="14" l="1"/>
  <c r="AE56" i="6"/>
  <c r="AF55" i="6" s="1"/>
  <c r="AE33" i="14" l="1"/>
  <c r="AF56" i="6"/>
  <c r="AF33" i="14" s="1"/>
  <c r="AG33" i="14" l="1"/>
  <c r="I36" i="15" l="1"/>
  <c r="I33" i="6" l="1"/>
  <c r="I65" i="15"/>
  <c r="I34" i="6" l="1"/>
  <c r="J36" i="15"/>
  <c r="L36" i="15" l="1"/>
  <c r="K36" i="15"/>
  <c r="J33" i="6" l="1"/>
  <c r="L46" i="1"/>
  <c r="K63" i="15"/>
  <c r="K64" i="15" s="1"/>
  <c r="K52" i="15"/>
  <c r="M36" i="15"/>
  <c r="J65" i="15"/>
  <c r="J34" i="6" l="1"/>
  <c r="K33" i="6" s="1"/>
  <c r="L43" i="15"/>
  <c r="K66" i="15"/>
  <c r="N36" i="15"/>
  <c r="K65" i="15"/>
  <c r="K34" i="6" l="1"/>
  <c r="L33" i="6" s="1"/>
  <c r="L46" i="15"/>
  <c r="L47" i="15" s="1"/>
  <c r="O36" i="15"/>
  <c r="L65" i="15"/>
  <c r="L56" i="15" l="1"/>
  <c r="L61" i="15"/>
  <c r="L51" i="15"/>
  <c r="P36" i="15"/>
  <c r="M65" i="15"/>
  <c r="L34" i="6"/>
  <c r="M33" i="6" s="1"/>
  <c r="L62" i="15" l="1"/>
  <c r="L57" i="15"/>
  <c r="N26" i="24"/>
  <c r="P26" i="23"/>
  <c r="Q36" i="15"/>
  <c r="N65" i="15"/>
  <c r="O65" i="15" l="1"/>
  <c r="R36" i="15"/>
  <c r="M34" i="6"/>
  <c r="N33" i="6" s="1"/>
  <c r="P65" i="15" l="1"/>
  <c r="S36" i="15"/>
  <c r="T36" i="15" l="1"/>
  <c r="Q65" i="15"/>
  <c r="N34" i="6"/>
  <c r="O33" i="6" s="1"/>
  <c r="K6" i="14" l="1"/>
  <c r="R65" i="15"/>
  <c r="U36" i="15"/>
  <c r="S65" i="15" l="1"/>
  <c r="V36" i="15"/>
  <c r="O34" i="6"/>
  <c r="P33" i="6" s="1"/>
  <c r="W36" i="15" l="1"/>
  <c r="T65" i="15"/>
  <c r="U65" i="15" l="1"/>
  <c r="X36" i="15"/>
  <c r="P34" i="6"/>
  <c r="Q33" i="6" s="1"/>
  <c r="Y36" i="15" l="1"/>
  <c r="V65" i="15"/>
  <c r="AE65" i="15" l="1"/>
  <c r="Z36" i="15"/>
  <c r="W65" i="15"/>
  <c r="Q34" i="6"/>
  <c r="R33" i="6" s="1"/>
  <c r="AA36" i="15" l="1"/>
  <c r="X65" i="15"/>
  <c r="Y65" i="15" l="1"/>
  <c r="AB36" i="15"/>
  <c r="R34" i="6"/>
  <c r="S33" i="6" s="1"/>
  <c r="AC36" i="15" l="1"/>
  <c r="Z65" i="15"/>
  <c r="AA65" i="15" l="1"/>
  <c r="AD36" i="15"/>
  <c r="S34" i="6"/>
  <c r="T33" i="6" s="1"/>
  <c r="T34" i="6" l="1"/>
  <c r="U33" i="6" s="1"/>
  <c r="AD65" i="15"/>
  <c r="AB65" i="15"/>
  <c r="AC65" i="15" l="1"/>
  <c r="U34" i="6" l="1"/>
  <c r="V33" i="6" s="1"/>
  <c r="V34" i="6" l="1"/>
  <c r="W33" i="6" s="1"/>
  <c r="M46" i="6" l="1"/>
  <c r="N45" i="6" s="1"/>
  <c r="M25" i="14" l="1"/>
  <c r="W34" i="6"/>
  <c r="X33" i="6" s="1"/>
  <c r="N46" i="6" l="1"/>
  <c r="O45" i="6" s="1"/>
  <c r="N25" i="14" l="1"/>
  <c r="X34" i="6"/>
  <c r="Y33" i="6" s="1"/>
  <c r="O46" i="6" l="1"/>
  <c r="P45" i="6" s="1"/>
  <c r="O25" i="14" l="1"/>
  <c r="Y34" i="6"/>
  <c r="Z33" i="6" s="1"/>
  <c r="P46" i="6" l="1"/>
  <c r="Q45" i="6" s="1"/>
  <c r="P25" i="14" l="1"/>
  <c r="Z34" i="6"/>
  <c r="AA33" i="6" s="1"/>
  <c r="Q46" i="6" l="1"/>
  <c r="R45" i="6" s="1"/>
  <c r="Q25" i="14" l="1"/>
  <c r="AA34" i="6"/>
  <c r="AB33" i="6" s="1"/>
  <c r="R46" i="6" l="1"/>
  <c r="S45" i="6" s="1"/>
  <c r="R25" i="14" l="1"/>
  <c r="AB34" i="6"/>
  <c r="AC33" i="6" s="1"/>
  <c r="S46" i="6" l="1"/>
  <c r="T45" i="6" s="1"/>
  <c r="AC34" i="6"/>
  <c r="AD33" i="6" s="1"/>
  <c r="S25" i="14" l="1"/>
  <c r="T46" i="6"/>
  <c r="U45" i="6" s="1"/>
  <c r="T25" i="14" l="1"/>
  <c r="AD34" i="6"/>
  <c r="AE33" i="6" s="1"/>
  <c r="U46" i="6" l="1"/>
  <c r="V45" i="6" s="1"/>
  <c r="U25" i="14" l="1"/>
  <c r="AE34" i="6"/>
  <c r="AF33" i="6" s="1"/>
  <c r="V46" i="6" l="1"/>
  <c r="W45" i="6" s="1"/>
  <c r="V25" i="14" l="1"/>
  <c r="AF9" i="14"/>
  <c r="AF34" i="6"/>
  <c r="W46" i="6" l="1"/>
  <c r="X45" i="6" s="1"/>
  <c r="W25" i="14" l="1"/>
  <c r="AG9" i="14"/>
  <c r="X46" i="6" l="1"/>
  <c r="Y45" i="6" s="1"/>
  <c r="X25" i="14" l="1"/>
  <c r="Y46" i="6" l="1"/>
  <c r="Z45" i="6" s="1"/>
  <c r="Y25" i="14" l="1"/>
  <c r="Z46" i="6"/>
  <c r="AA45" i="6" s="1"/>
  <c r="Z25" i="14" l="1"/>
  <c r="AA46" i="6"/>
  <c r="AB45" i="6" s="1"/>
  <c r="AA25" i="14" l="1"/>
  <c r="AB46" i="6" l="1"/>
  <c r="AC45" i="6" s="1"/>
  <c r="AB25" i="14" l="1"/>
  <c r="AC46" i="6"/>
  <c r="AD45" i="6" s="1"/>
  <c r="AC25" i="14" l="1"/>
  <c r="AD46" i="6" l="1"/>
  <c r="AE45" i="6" s="1"/>
  <c r="AD25" i="14" l="1"/>
  <c r="AE46" i="6"/>
  <c r="AF45" i="6" s="1"/>
  <c r="AE25" i="14" l="1"/>
  <c r="AF46" i="6" l="1"/>
  <c r="AF25" i="14" s="1"/>
  <c r="M46" i="1" l="1"/>
  <c r="L63" i="15"/>
  <c r="L64" i="15" s="1"/>
  <c r="L52" i="15"/>
  <c r="AG25" i="14"/>
  <c r="M43" i="15" l="1"/>
  <c r="L66" i="15"/>
  <c r="L72" i="15" l="1"/>
  <c r="L75" i="15" l="1"/>
  <c r="L76" i="15" s="1"/>
  <c r="L85" i="15" l="1"/>
  <c r="L80" i="15"/>
  <c r="L87" i="15" l="1"/>
  <c r="L88" i="15" s="1"/>
  <c r="M47" i="1"/>
  <c r="L86" i="15"/>
  <c r="O26" i="25"/>
  <c r="L81" i="15"/>
  <c r="L90" i="15" l="1"/>
  <c r="M72" i="15"/>
  <c r="K5" i="15" l="1"/>
  <c r="K12" i="15" s="1"/>
  <c r="K22" i="15" s="1"/>
  <c r="I19" i="6"/>
  <c r="K7" i="15" l="1"/>
  <c r="K13" i="15" s="1"/>
  <c r="K32" i="15"/>
  <c r="I20" i="6"/>
  <c r="J19" i="6" s="1"/>
  <c r="K17" i="15"/>
  <c r="L45" i="1" s="1"/>
  <c r="K23" i="15"/>
  <c r="M25" i="24"/>
  <c r="K27" i="15"/>
  <c r="K18" i="15" l="1"/>
  <c r="J20" i="6"/>
  <c r="K33" i="15"/>
  <c r="O25" i="23"/>
  <c r="K28" i="15"/>
  <c r="N25" i="25"/>
  <c r="K34" i="15"/>
  <c r="K35" i="15" s="1"/>
  <c r="K19" i="6" l="1"/>
  <c r="K20" i="6" s="1"/>
  <c r="L19" i="6" s="1"/>
  <c r="L9" i="15"/>
  <c r="L12" i="15" s="1"/>
  <c r="L13" i="15" s="1"/>
  <c r="K37" i="15"/>
  <c r="J9" i="14" l="1"/>
  <c r="J8" i="14" s="1"/>
  <c r="K9" i="14"/>
  <c r="L27" i="15"/>
  <c r="L22" i="15"/>
  <c r="L17" i="15"/>
  <c r="L32" i="15"/>
  <c r="J14" i="14" l="1"/>
  <c r="K14" i="14" s="1"/>
  <c r="M45" i="1"/>
  <c r="L34" i="15"/>
  <c r="L35" i="15" s="1"/>
  <c r="L18" i="15"/>
  <c r="O25" i="25"/>
  <c r="L28" i="15"/>
  <c r="P25" i="23"/>
  <c r="L33" i="15"/>
  <c r="N25" i="24"/>
  <c r="L23" i="15"/>
  <c r="L20" i="6"/>
  <c r="M19" i="6" s="1"/>
  <c r="K8" i="14"/>
  <c r="L37" i="15" l="1"/>
  <c r="L9" i="14"/>
  <c r="M9" i="15"/>
  <c r="L8" i="14" l="1"/>
  <c r="L12" i="14" s="1"/>
  <c r="M20" i="6"/>
  <c r="N19" i="6" s="1"/>
  <c r="M9" i="14" l="1"/>
  <c r="L36" i="14"/>
  <c r="L20" i="14"/>
  <c r="L28" i="14"/>
  <c r="L21" i="14" l="1"/>
  <c r="L22" i="14"/>
  <c r="M39" i="15"/>
  <c r="L38" i="14"/>
  <c r="L37" i="14"/>
  <c r="M92" i="15"/>
  <c r="L29" i="14"/>
  <c r="L30" i="14"/>
  <c r="M68" i="15"/>
  <c r="L13" i="14"/>
  <c r="M5" i="15"/>
  <c r="L14" i="14"/>
  <c r="N20" i="6"/>
  <c r="O19" i="6" s="1"/>
  <c r="N9" i="14" l="1"/>
  <c r="M8" i="14"/>
  <c r="M94" i="15"/>
  <c r="M99" i="15"/>
  <c r="M101" i="15" s="1"/>
  <c r="M12" i="15"/>
  <c r="M7" i="15"/>
  <c r="M46" i="15"/>
  <c r="M41" i="15"/>
  <c r="L6" i="14"/>
  <c r="M70" i="15"/>
  <c r="M75" i="15"/>
  <c r="M28" i="14" l="1"/>
  <c r="M12" i="14"/>
  <c r="M76" i="15"/>
  <c r="M47" i="15"/>
  <c r="M36" i="14"/>
  <c r="M20" i="14"/>
  <c r="M56" i="15"/>
  <c r="M61" i="15"/>
  <c r="M51" i="15"/>
  <c r="M80" i="15"/>
  <c r="M85" i="15"/>
  <c r="M13" i="15"/>
  <c r="O20" i="6"/>
  <c r="P19" i="6" s="1"/>
  <c r="M27" i="15"/>
  <c r="M32" i="15"/>
  <c r="M22" i="15"/>
  <c r="M17" i="15"/>
  <c r="M100" i="15"/>
  <c r="N48" i="1"/>
  <c r="O9" i="14" l="1"/>
  <c r="N45" i="1"/>
  <c r="M34" i="15"/>
  <c r="M35" i="15" s="1"/>
  <c r="M18" i="15"/>
  <c r="M29" i="14"/>
  <c r="N68" i="15"/>
  <c r="M30" i="14"/>
  <c r="Q26" i="23"/>
  <c r="M62" i="15"/>
  <c r="O25" i="24"/>
  <c r="M23" i="15"/>
  <c r="P26" i="25"/>
  <c r="M86" i="15"/>
  <c r="N39" i="15"/>
  <c r="M21" i="14"/>
  <c r="M22" i="14"/>
  <c r="N47" i="1"/>
  <c r="M87" i="15"/>
  <c r="M88" i="15" s="1"/>
  <c r="M81" i="15"/>
  <c r="M37" i="14"/>
  <c r="N92" i="15"/>
  <c r="N99" i="15" s="1"/>
  <c r="M38" i="14"/>
  <c r="O26" i="24"/>
  <c r="M57" i="15"/>
  <c r="Q25" i="23"/>
  <c r="M33" i="15"/>
  <c r="P25" i="25"/>
  <c r="M28" i="15"/>
  <c r="M63" i="15"/>
  <c r="M64" i="15" s="1"/>
  <c r="N46" i="1"/>
  <c r="M52" i="15"/>
  <c r="N5" i="15"/>
  <c r="M13" i="14"/>
  <c r="M14" i="14"/>
  <c r="O48" i="1" l="1"/>
  <c r="N100" i="15"/>
  <c r="M90" i="15"/>
  <c r="N72" i="15"/>
  <c r="N75" i="15" s="1"/>
  <c r="N8" i="14"/>
  <c r="N12" i="14" s="1"/>
  <c r="M37" i="15"/>
  <c r="M6" i="14"/>
  <c r="N7" i="15"/>
  <c r="M66" i="15"/>
  <c r="P20" i="6"/>
  <c r="Q19" i="6" s="1"/>
  <c r="N9" i="15"/>
  <c r="N12" i="15" s="1"/>
  <c r="N43" i="15"/>
  <c r="N46" i="15" s="1"/>
  <c r="N94" i="15"/>
  <c r="N101" i="15"/>
  <c r="N41" i="15"/>
  <c r="N70" i="15"/>
  <c r="N85" i="15" l="1"/>
  <c r="N80" i="15"/>
  <c r="N13" i="15"/>
  <c r="P9" i="14"/>
  <c r="N47" i="15"/>
  <c r="N76" i="15"/>
  <c r="N36" i="14"/>
  <c r="N20" i="14"/>
  <c r="N28" i="14"/>
  <c r="N27" i="15"/>
  <c r="N22" i="15"/>
  <c r="N32" i="15"/>
  <c r="N17" i="15"/>
  <c r="N56" i="15"/>
  <c r="N51" i="15"/>
  <c r="N61" i="15"/>
  <c r="Q20" i="6" l="1"/>
  <c r="Q25" i="25"/>
  <c r="N28" i="15"/>
  <c r="R26" i="23"/>
  <c r="N62" i="15"/>
  <c r="O5" i="15"/>
  <c r="N13" i="14"/>
  <c r="N14" i="14"/>
  <c r="N63" i="15"/>
  <c r="N64" i="15" s="1"/>
  <c r="O46" i="1"/>
  <c r="N52" i="15"/>
  <c r="O68" i="15"/>
  <c r="N29" i="14"/>
  <c r="N30" i="14"/>
  <c r="R25" i="23"/>
  <c r="N33" i="15"/>
  <c r="N21" i="14"/>
  <c r="O39" i="15"/>
  <c r="N22" i="14"/>
  <c r="O47" i="1"/>
  <c r="N87" i="15"/>
  <c r="N88" i="15" s="1"/>
  <c r="N81" i="15"/>
  <c r="P25" i="24"/>
  <c r="N23" i="15"/>
  <c r="P26" i="24"/>
  <c r="N57" i="15"/>
  <c r="N34" i="15"/>
  <c r="N35" i="15" s="1"/>
  <c r="O45" i="1"/>
  <c r="N18" i="15"/>
  <c r="O92" i="15"/>
  <c r="N37" i="14"/>
  <c r="N38" i="14"/>
  <c r="Q26" i="25"/>
  <c r="N86" i="15"/>
  <c r="R19" i="6" l="1"/>
  <c r="Q9" i="14" s="1"/>
  <c r="O7" i="15"/>
  <c r="O43" i="15"/>
  <c r="O46" i="15" s="1"/>
  <c r="N66" i="15"/>
  <c r="O41" i="15"/>
  <c r="O72" i="15"/>
  <c r="O75" i="15" s="1"/>
  <c r="O94" i="15"/>
  <c r="O99" i="15"/>
  <c r="N90" i="15"/>
  <c r="O70" i="15"/>
  <c r="O8" i="14"/>
  <c r="O12" i="14" s="1"/>
  <c r="N37" i="15"/>
  <c r="O9" i="15"/>
  <c r="O12" i="15" s="1"/>
  <c r="N6" i="14"/>
  <c r="R20" i="6" l="1"/>
  <c r="S19" i="6" s="1"/>
  <c r="R9" i="14" s="1"/>
  <c r="P48" i="1"/>
  <c r="O100" i="15"/>
  <c r="O76" i="15"/>
  <c r="O56" i="15"/>
  <c r="O61" i="15"/>
  <c r="O51" i="15"/>
  <c r="O20" i="14"/>
  <c r="O36" i="14"/>
  <c r="O28" i="14"/>
  <c r="O80" i="15"/>
  <c r="O85" i="15"/>
  <c r="O13" i="15"/>
  <c r="O17" i="15"/>
  <c r="O27" i="15"/>
  <c r="O32" i="15"/>
  <c r="O22" i="15"/>
  <c r="O101" i="15"/>
  <c r="O47" i="15"/>
  <c r="O34" i="15" l="1"/>
  <c r="O35" i="15" s="1"/>
  <c r="P45" i="1"/>
  <c r="O18" i="15"/>
  <c r="P92" i="15"/>
  <c r="P94" i="15" s="1"/>
  <c r="O37" i="14"/>
  <c r="O38" i="14"/>
  <c r="O63" i="15"/>
  <c r="O64" i="15" s="1"/>
  <c r="P46" i="1"/>
  <c r="O52" i="15"/>
  <c r="S26" i="23"/>
  <c r="O62" i="15"/>
  <c r="S20" i="6"/>
  <c r="T19" i="6" s="1"/>
  <c r="Q26" i="24"/>
  <c r="O57" i="15"/>
  <c r="O87" i="15"/>
  <c r="O88" i="15" s="1"/>
  <c r="P47" i="1"/>
  <c r="O81" i="15"/>
  <c r="O29" i="14"/>
  <c r="P68" i="15"/>
  <c r="O30" i="14"/>
  <c r="P39" i="15"/>
  <c r="O21" i="14"/>
  <c r="O22" i="14"/>
  <c r="R26" i="25"/>
  <c r="O86" i="15"/>
  <c r="Q25" i="24"/>
  <c r="O23" i="15"/>
  <c r="S25" i="23"/>
  <c r="O33" i="15"/>
  <c r="R25" i="25"/>
  <c r="O28" i="15"/>
  <c r="P5" i="15"/>
  <c r="O13" i="14"/>
  <c r="O14" i="14"/>
  <c r="P70" i="15" l="1"/>
  <c r="S9" i="14"/>
  <c r="O37" i="15"/>
  <c r="P41" i="15"/>
  <c r="P72" i="15"/>
  <c r="O66" i="15"/>
  <c r="P9" i="15"/>
  <c r="P12" i="15" s="1"/>
  <c r="P7" i="15"/>
  <c r="P8" i="14"/>
  <c r="P12" i="14" s="1"/>
  <c r="P99" i="15"/>
  <c r="O6" i="14"/>
  <c r="O90" i="15"/>
  <c r="P43" i="15"/>
  <c r="P46" i="15" s="1"/>
  <c r="P13" i="15" l="1"/>
  <c r="T20" i="6"/>
  <c r="P61" i="15"/>
  <c r="P51" i="15"/>
  <c r="P56" i="15"/>
  <c r="P36" i="14"/>
  <c r="P20" i="14"/>
  <c r="P28" i="14"/>
  <c r="P75" i="15"/>
  <c r="P85" i="15" s="1"/>
  <c r="Q48" i="1"/>
  <c r="P100" i="15"/>
  <c r="P101" i="15"/>
  <c r="P32" i="15"/>
  <c r="P27" i="15"/>
  <c r="P22" i="15"/>
  <c r="P17" i="15"/>
  <c r="P47" i="15"/>
  <c r="U19" i="6" l="1"/>
  <c r="T9" i="14" s="1"/>
  <c r="P76" i="15"/>
  <c r="P80" i="15"/>
  <c r="P87" i="15" s="1"/>
  <c r="P88" i="15" s="1"/>
  <c r="S26" i="25"/>
  <c r="P86" i="15"/>
  <c r="P13" i="14"/>
  <c r="Q5" i="15"/>
  <c r="P14" i="14"/>
  <c r="Q45" i="1"/>
  <c r="P34" i="15"/>
  <c r="P35" i="15" s="1"/>
  <c r="P18" i="15"/>
  <c r="Q39" i="15"/>
  <c r="P21" i="14"/>
  <c r="P22" i="14"/>
  <c r="S25" i="25"/>
  <c r="P28" i="15"/>
  <c r="Q92" i="15"/>
  <c r="Q94" i="15" s="1"/>
  <c r="P37" i="14"/>
  <c r="P38" i="14"/>
  <c r="R26" i="24"/>
  <c r="P57" i="15"/>
  <c r="Q46" i="1"/>
  <c r="P63" i="15"/>
  <c r="P64" i="15" s="1"/>
  <c r="P52" i="15"/>
  <c r="P29" i="14"/>
  <c r="Q68" i="15"/>
  <c r="P30" i="14"/>
  <c r="R25" i="24"/>
  <c r="P23" i="15"/>
  <c r="T25" i="23"/>
  <c r="P33" i="15"/>
  <c r="T26" i="23"/>
  <c r="P62" i="15"/>
  <c r="U20" i="6" l="1"/>
  <c r="V19" i="6" s="1"/>
  <c r="P81" i="15"/>
  <c r="P90" i="15" s="1"/>
  <c r="Q47" i="1"/>
  <c r="Q43" i="15"/>
  <c r="Q46" i="15" s="1"/>
  <c r="P6" i="14"/>
  <c r="Q8" i="14"/>
  <c r="Q12" i="14" s="1"/>
  <c r="Q7" i="15"/>
  <c r="U9" i="14"/>
  <c r="Q9" i="15"/>
  <c r="Q12" i="15" s="1"/>
  <c r="Q99" i="15"/>
  <c r="Q41" i="15"/>
  <c r="P37" i="15"/>
  <c r="P66" i="15"/>
  <c r="Q70" i="15"/>
  <c r="Q72" i="15" l="1"/>
  <c r="Q75" i="15" s="1"/>
  <c r="Q76" i="15" s="1"/>
  <c r="Q47" i="15"/>
  <c r="R48" i="1"/>
  <c r="Q100" i="15"/>
  <c r="Q101" i="15"/>
  <c r="Q13" i="15"/>
  <c r="Q36" i="14"/>
  <c r="Q20" i="14"/>
  <c r="Q28" i="14"/>
  <c r="Q51" i="15"/>
  <c r="Q56" i="15"/>
  <c r="Q61" i="15"/>
  <c r="Q27" i="15"/>
  <c r="Q32" i="15"/>
  <c r="Q22" i="15"/>
  <c r="Q17" i="15"/>
  <c r="V20" i="6"/>
  <c r="W19" i="6" s="1"/>
  <c r="Q85" i="15" l="1"/>
  <c r="Q80" i="15"/>
  <c r="Q81" i="15" s="1"/>
  <c r="U26" i="23"/>
  <c r="Q62" i="15"/>
  <c r="T25" i="25"/>
  <c r="Q28" i="15"/>
  <c r="V9" i="14"/>
  <c r="S26" i="24"/>
  <c r="Q57" i="15"/>
  <c r="R39" i="15"/>
  <c r="Q21" i="14"/>
  <c r="Q22" i="14"/>
  <c r="Q34" i="15"/>
  <c r="Q35" i="15" s="1"/>
  <c r="R45" i="1"/>
  <c r="Q18" i="15"/>
  <c r="Q13" i="14"/>
  <c r="R5" i="15"/>
  <c r="Q14" i="14"/>
  <c r="Q63" i="15"/>
  <c r="Q64" i="15" s="1"/>
  <c r="R46" i="1"/>
  <c r="Q52" i="15"/>
  <c r="Q29" i="14"/>
  <c r="R68" i="15"/>
  <c r="Q30" i="14"/>
  <c r="S25" i="24"/>
  <c r="Q23" i="15"/>
  <c r="U25" i="23"/>
  <c r="Q33" i="15"/>
  <c r="R92" i="15"/>
  <c r="R94" i="15" s="1"/>
  <c r="Q37" i="14"/>
  <c r="Q38" i="14"/>
  <c r="R47" i="1" l="1"/>
  <c r="Q87" i="15"/>
  <c r="Q88" i="15" s="1"/>
  <c r="T26" i="25"/>
  <c r="Q86" i="15"/>
  <c r="Q90" i="15" s="1"/>
  <c r="Q6" i="14"/>
  <c r="R9" i="15"/>
  <c r="R12" i="15" s="1"/>
  <c r="Q37" i="15"/>
  <c r="R41" i="15"/>
  <c r="R43" i="15"/>
  <c r="R46" i="15" s="1"/>
  <c r="R70" i="15"/>
  <c r="R8" i="14"/>
  <c r="R12" i="14" s="1"/>
  <c r="R99" i="15"/>
  <c r="R101" i="15" s="1"/>
  <c r="Q66" i="15"/>
  <c r="W20" i="6"/>
  <c r="X19" i="6" s="1"/>
  <c r="R7" i="15"/>
  <c r="R72" i="15" l="1"/>
  <c r="R75" i="15" s="1"/>
  <c r="R80" i="15" s="1"/>
  <c r="R13" i="15"/>
  <c r="S48" i="1"/>
  <c r="R100" i="15"/>
  <c r="R20" i="14"/>
  <c r="R36" i="14"/>
  <c r="R28" i="14"/>
  <c r="R51" i="15"/>
  <c r="R56" i="15"/>
  <c r="R61" i="15"/>
  <c r="R32" i="15"/>
  <c r="R22" i="15"/>
  <c r="R27" i="15"/>
  <c r="R17" i="15"/>
  <c r="W9" i="14"/>
  <c r="R47" i="15"/>
  <c r="R85" i="15" l="1"/>
  <c r="U26" i="25" s="1"/>
  <c r="R76" i="15"/>
  <c r="R21" i="14"/>
  <c r="S39" i="15"/>
  <c r="R22" i="14"/>
  <c r="R37" i="14"/>
  <c r="S92" i="15"/>
  <c r="S99" i="15" s="1"/>
  <c r="T48" i="1" s="1"/>
  <c r="R38" i="14"/>
  <c r="U25" i="25"/>
  <c r="R28" i="15"/>
  <c r="S47" i="1"/>
  <c r="R81" i="15"/>
  <c r="V26" i="23"/>
  <c r="R62" i="15"/>
  <c r="S5" i="15"/>
  <c r="R13" i="14"/>
  <c r="R14" i="14"/>
  <c r="T26" i="24"/>
  <c r="R57" i="15"/>
  <c r="S45" i="1"/>
  <c r="R34" i="15"/>
  <c r="R35" i="15" s="1"/>
  <c r="R18" i="15"/>
  <c r="T25" i="24"/>
  <c r="R23" i="15"/>
  <c r="V25" i="23"/>
  <c r="R33" i="15"/>
  <c r="R63" i="15"/>
  <c r="R64" i="15" s="1"/>
  <c r="S46" i="1"/>
  <c r="R52" i="15"/>
  <c r="X20" i="6"/>
  <c r="Y19" i="6" s="1"/>
  <c r="R29" i="14"/>
  <c r="S68" i="15"/>
  <c r="R30" i="14"/>
  <c r="R87" i="15" l="1"/>
  <c r="R88" i="15" s="1"/>
  <c r="R86" i="15"/>
  <c r="S72" i="15" s="1"/>
  <c r="S75" i="15" s="1"/>
  <c r="S94" i="15"/>
  <c r="S101" i="15"/>
  <c r="S70" i="15"/>
  <c r="S8" i="14"/>
  <c r="S12" i="14" s="1"/>
  <c r="R6" i="14"/>
  <c r="R37" i="15"/>
  <c r="X9" i="14"/>
  <c r="S41" i="15"/>
  <c r="R66" i="15"/>
  <c r="S9" i="15"/>
  <c r="S12" i="15" s="1"/>
  <c r="S43" i="15"/>
  <c r="S7" i="15"/>
  <c r="S100" i="15"/>
  <c r="R90" i="15" l="1"/>
  <c r="S13" i="15"/>
  <c r="S76" i="15"/>
  <c r="S46" i="15"/>
  <c r="S56" i="15" s="1"/>
  <c r="S80" i="15"/>
  <c r="S85" i="15"/>
  <c r="S17" i="15"/>
  <c r="S22" i="15"/>
  <c r="S32" i="15"/>
  <c r="S27" i="15"/>
  <c r="Y20" i="6"/>
  <c r="Z19" i="6" s="1"/>
  <c r="S20" i="14"/>
  <c r="S36" i="14"/>
  <c r="S28" i="14"/>
  <c r="S47" i="15" l="1"/>
  <c r="U26" i="24"/>
  <c r="S57" i="15"/>
  <c r="Y9" i="14"/>
  <c r="V25" i="25"/>
  <c r="S28" i="15"/>
  <c r="W25" i="23"/>
  <c r="S33" i="15"/>
  <c r="U25" i="24"/>
  <c r="S23" i="15"/>
  <c r="S61" i="15"/>
  <c r="T47" i="1"/>
  <c r="S87" i="15"/>
  <c r="S88" i="15" s="1"/>
  <c r="S81" i="15"/>
  <c r="S34" i="15"/>
  <c r="S35" i="15" s="1"/>
  <c r="T45" i="1"/>
  <c r="S18" i="15"/>
  <c r="S51" i="15"/>
  <c r="S29" i="14"/>
  <c r="T68" i="15"/>
  <c r="S30" i="14"/>
  <c r="T92" i="15"/>
  <c r="S37" i="14"/>
  <c r="S38" i="14"/>
  <c r="S21" i="14"/>
  <c r="T39" i="15"/>
  <c r="S22" i="14"/>
  <c r="S13" i="14"/>
  <c r="T5" i="15"/>
  <c r="S14" i="14"/>
  <c r="V26" i="25"/>
  <c r="S86" i="15"/>
  <c r="S6" i="14" l="1"/>
  <c r="T72" i="15"/>
  <c r="T75" i="15" s="1"/>
  <c r="T70" i="15"/>
  <c r="W26" i="23"/>
  <c r="S62" i="15"/>
  <c r="Z20" i="6"/>
  <c r="AA19" i="6" s="1"/>
  <c r="T94" i="15"/>
  <c r="T99" i="15"/>
  <c r="T101" i="15" s="1"/>
  <c r="T7" i="15"/>
  <c r="T41" i="15"/>
  <c r="T8" i="14"/>
  <c r="T12" i="14" s="1"/>
  <c r="S63" i="15"/>
  <c r="S64" i="15" s="1"/>
  <c r="T46" i="1"/>
  <c r="S52" i="15"/>
  <c r="T9" i="15"/>
  <c r="S90" i="15"/>
  <c r="S37" i="15"/>
  <c r="U48" i="1" l="1"/>
  <c r="T100" i="15"/>
  <c r="T20" i="14"/>
  <c r="T36" i="14"/>
  <c r="T28" i="14"/>
  <c r="T76" i="15"/>
  <c r="S66" i="15"/>
  <c r="T12" i="15"/>
  <c r="T22" i="15" s="1"/>
  <c r="T80" i="15"/>
  <c r="T85" i="15"/>
  <c r="T43" i="15"/>
  <c r="Z9" i="14"/>
  <c r="T32" i="15" l="1"/>
  <c r="T33" i="15" s="1"/>
  <c r="T13" i="15"/>
  <c r="V25" i="24"/>
  <c r="T23" i="15"/>
  <c r="W26" i="25"/>
  <c r="T86" i="15"/>
  <c r="T13" i="14"/>
  <c r="U5" i="15"/>
  <c r="T14" i="14"/>
  <c r="U92" i="15"/>
  <c r="U99" i="15" s="1"/>
  <c r="V48" i="1" s="1"/>
  <c r="T37" i="14"/>
  <c r="T38" i="14"/>
  <c r="T21" i="14"/>
  <c r="U39" i="15"/>
  <c r="T22" i="14"/>
  <c r="AA20" i="6"/>
  <c r="AB19" i="6" s="1"/>
  <c r="T46" i="15"/>
  <c r="T47" i="15" s="1"/>
  <c r="T17" i="15"/>
  <c r="T27" i="15"/>
  <c r="T87" i="15"/>
  <c r="T88" i="15" s="1"/>
  <c r="U47" i="1"/>
  <c r="T81" i="15"/>
  <c r="T29" i="14"/>
  <c r="U68" i="15"/>
  <c r="T30" i="14"/>
  <c r="X25" i="23" l="1"/>
  <c r="U8" i="14"/>
  <c r="U12" i="14" s="1"/>
  <c r="T56" i="15"/>
  <c r="T6" i="14"/>
  <c r="T51" i="15"/>
  <c r="AA9" i="14"/>
  <c r="T90" i="15"/>
  <c r="U7" i="15"/>
  <c r="U100" i="15"/>
  <c r="T61" i="15"/>
  <c r="W25" i="25"/>
  <c r="T28" i="15"/>
  <c r="U94" i="15"/>
  <c r="U101" i="15"/>
  <c r="U41" i="15"/>
  <c r="U72" i="15"/>
  <c r="U70" i="15"/>
  <c r="T34" i="15"/>
  <c r="T35" i="15" s="1"/>
  <c r="U45" i="1"/>
  <c r="T18" i="15"/>
  <c r="U9" i="15" l="1"/>
  <c r="AB20" i="6"/>
  <c r="AC19" i="6" s="1"/>
  <c r="U46" i="1"/>
  <c r="T63" i="15"/>
  <c r="T64" i="15" s="1"/>
  <c r="T52" i="15"/>
  <c r="X26" i="23"/>
  <c r="T62" i="15"/>
  <c r="U75" i="15"/>
  <c r="U76" i="15" s="1"/>
  <c r="V26" i="24"/>
  <c r="T57" i="15"/>
  <c r="U36" i="14"/>
  <c r="U20" i="14"/>
  <c r="U28" i="14"/>
  <c r="T37" i="15"/>
  <c r="U29" i="14" l="1"/>
  <c r="V68" i="15"/>
  <c r="U30" i="14"/>
  <c r="U12" i="15"/>
  <c r="U13" i="15" s="1"/>
  <c r="U21" i="14"/>
  <c r="V39" i="15"/>
  <c r="U22" i="14"/>
  <c r="T66" i="15"/>
  <c r="U80" i="15"/>
  <c r="AB9" i="14"/>
  <c r="U13" i="14"/>
  <c r="V5" i="15"/>
  <c r="U14" i="14"/>
  <c r="U85" i="15"/>
  <c r="U37" i="14"/>
  <c r="V92" i="15"/>
  <c r="U38" i="14"/>
  <c r="U43" i="15"/>
  <c r="U22" i="15" l="1"/>
  <c r="U23" i="15" s="1"/>
  <c r="U32" i="15"/>
  <c r="Y25" i="23" s="1"/>
  <c r="AC20" i="6"/>
  <c r="U27" i="15"/>
  <c r="X25" i="25" s="1"/>
  <c r="V41" i="15"/>
  <c r="X26" i="25"/>
  <c r="U86" i="15"/>
  <c r="U46" i="15"/>
  <c r="U47" i="15" s="1"/>
  <c r="U6" i="14"/>
  <c r="V70" i="15"/>
  <c r="V8" i="14"/>
  <c r="V12" i="14" s="1"/>
  <c r="V7" i="15"/>
  <c r="V94" i="15"/>
  <c r="V99" i="15"/>
  <c r="V47" i="1"/>
  <c r="U87" i="15"/>
  <c r="U88" i="15" s="1"/>
  <c r="U81" i="15"/>
  <c r="U17" i="15"/>
  <c r="AD19" i="6" l="1"/>
  <c r="AC9" i="14" s="1"/>
  <c r="W25" i="24"/>
  <c r="U28" i="15"/>
  <c r="U33" i="15"/>
  <c r="U90" i="15"/>
  <c r="W48" i="1"/>
  <c r="V100" i="15"/>
  <c r="V101" i="15"/>
  <c r="V45" i="1"/>
  <c r="U34" i="15"/>
  <c r="U35" i="15" s="1"/>
  <c r="U18" i="15"/>
  <c r="U56" i="15"/>
  <c r="V72" i="15"/>
  <c r="U51" i="15"/>
  <c r="V20" i="14"/>
  <c r="V36" i="14"/>
  <c r="V28" i="14"/>
  <c r="U61" i="15"/>
  <c r="AD20" i="6" l="1"/>
  <c r="AE19" i="6" s="1"/>
  <c r="AD9" i="14" s="1"/>
  <c r="U37" i="15"/>
  <c r="V21" i="14"/>
  <c r="W39" i="15"/>
  <c r="V22" i="14"/>
  <c r="W92" i="15"/>
  <c r="W94" i="15" s="1"/>
  <c r="V37" i="14"/>
  <c r="V38" i="14"/>
  <c r="W26" i="24"/>
  <c r="U57" i="15"/>
  <c r="Y26" i="23"/>
  <c r="U62" i="15"/>
  <c r="V9" i="15"/>
  <c r="V46" i="1"/>
  <c r="U63" i="15"/>
  <c r="U64" i="15" s="1"/>
  <c r="U52" i="15"/>
  <c r="V75" i="15"/>
  <c r="V76" i="15" s="1"/>
  <c r="V29" i="14"/>
  <c r="W68" i="15"/>
  <c r="V30" i="14"/>
  <c r="V13" i="14"/>
  <c r="W5" i="15"/>
  <c r="V14" i="14"/>
  <c r="AE20" i="6" l="1"/>
  <c r="AF19" i="6" s="1"/>
  <c r="V6" i="14"/>
  <c r="V80" i="15"/>
  <c r="W47" i="1" s="1"/>
  <c r="V85" i="15"/>
  <c r="Y26" i="25" s="1"/>
  <c r="U66" i="15"/>
  <c r="W7" i="15"/>
  <c r="V43" i="15"/>
  <c r="W8" i="14"/>
  <c r="W12" i="14" s="1"/>
  <c r="AE9" i="14"/>
  <c r="W41" i="15"/>
  <c r="W70" i="15"/>
  <c r="V12" i="15"/>
  <c r="V13" i="15" s="1"/>
  <c r="W99" i="15"/>
  <c r="V81" i="15" l="1"/>
  <c r="V86" i="15"/>
  <c r="V87" i="15"/>
  <c r="V88" i="15" s="1"/>
  <c r="V27" i="15"/>
  <c r="X48" i="1"/>
  <c r="W100" i="15"/>
  <c r="W101" i="15"/>
  <c r="AF20" i="6"/>
  <c r="V46" i="15"/>
  <c r="V47" i="15" s="1"/>
  <c r="V17" i="15"/>
  <c r="V32" i="15"/>
  <c r="V22" i="15"/>
  <c r="W36" i="14"/>
  <c r="W20" i="14"/>
  <c r="W28" i="14"/>
  <c r="V90" i="15" l="1"/>
  <c r="W72" i="15"/>
  <c r="W75" i="15" s="1"/>
  <c r="W76" i="15" s="1"/>
  <c r="V56" i="15"/>
  <c r="V57" i="15" s="1"/>
  <c r="V61" i="15"/>
  <c r="Z26" i="23" s="1"/>
  <c r="V51" i="15"/>
  <c r="W46" i="1" s="1"/>
  <c r="Z25" i="23"/>
  <c r="V33" i="15"/>
  <c r="W13" i="14"/>
  <c r="X5" i="15"/>
  <c r="W14" i="14"/>
  <c r="Y25" i="25"/>
  <c r="V28" i="15"/>
  <c r="X92" i="15"/>
  <c r="X94" i="15" s="1"/>
  <c r="W37" i="14"/>
  <c r="W38" i="14"/>
  <c r="W29" i="14"/>
  <c r="X68" i="15"/>
  <c r="W30" i="14"/>
  <c r="V34" i="15"/>
  <c r="V35" i="15" s="1"/>
  <c r="W45" i="1"/>
  <c r="V18" i="15"/>
  <c r="X25" i="24"/>
  <c r="V23" i="15"/>
  <c r="W21" i="14"/>
  <c r="X39" i="15"/>
  <c r="W22" i="14"/>
  <c r="V62" i="15" l="1"/>
  <c r="V63" i="15"/>
  <c r="V64" i="15" s="1"/>
  <c r="V52" i="15"/>
  <c r="X26" i="24"/>
  <c r="X99" i="15"/>
  <c r="Y48" i="1" s="1"/>
  <c r="X41" i="15"/>
  <c r="X8" i="14"/>
  <c r="X12" i="14" s="1"/>
  <c r="X7" i="15"/>
  <c r="W85" i="15"/>
  <c r="W6" i="14"/>
  <c r="X70" i="15"/>
  <c r="W9" i="15"/>
  <c r="V37" i="15"/>
  <c r="W80" i="15"/>
  <c r="W43" i="15" l="1"/>
  <c r="W46" i="15" s="1"/>
  <c r="W47" i="15" s="1"/>
  <c r="V66" i="15"/>
  <c r="X100" i="15"/>
  <c r="X101" i="15"/>
  <c r="Z26" i="25"/>
  <c r="W86" i="15"/>
  <c r="X36" i="14"/>
  <c r="X20" i="14"/>
  <c r="X28" i="14"/>
  <c r="W12" i="15"/>
  <c r="W13" i="15" s="1"/>
  <c r="W87" i="15"/>
  <c r="W88" i="15" s="1"/>
  <c r="X47" i="1"/>
  <c r="W81" i="15"/>
  <c r="W17" i="15" l="1"/>
  <c r="W18" i="15" s="1"/>
  <c r="W32" i="15"/>
  <c r="AA25" i="23" s="1"/>
  <c r="W61" i="15"/>
  <c r="W62" i="15" s="1"/>
  <c r="W56" i="15"/>
  <c r="Y26" i="24" s="1"/>
  <c r="W51" i="15"/>
  <c r="X46" i="1" s="1"/>
  <c r="X29" i="14"/>
  <c r="Y68" i="15"/>
  <c r="X30" i="14"/>
  <c r="X21" i="14"/>
  <c r="Y39" i="15"/>
  <c r="X22" i="14"/>
  <c r="X13" i="14"/>
  <c r="Y5" i="15"/>
  <c r="X14" i="14"/>
  <c r="X72" i="15"/>
  <c r="Y92" i="15"/>
  <c r="X37" i="14"/>
  <c r="X38" i="14"/>
  <c r="W27" i="15"/>
  <c r="W90" i="15"/>
  <c r="W22" i="15"/>
  <c r="X45" i="1" l="1"/>
  <c r="W33" i="15"/>
  <c r="W57" i="15"/>
  <c r="W52" i="15"/>
  <c r="AA26" i="23"/>
  <c r="W63" i="15"/>
  <c r="W64" i="15" s="1"/>
  <c r="Y94" i="15"/>
  <c r="Y99" i="15"/>
  <c r="X6" i="14"/>
  <c r="Y70" i="15"/>
  <c r="Y8" i="14"/>
  <c r="Y12" i="14" s="1"/>
  <c r="Y7" i="15"/>
  <c r="Y25" i="24"/>
  <c r="W23" i="15"/>
  <c r="X75" i="15"/>
  <c r="X76" i="15" s="1"/>
  <c r="W34" i="15"/>
  <c r="W35" i="15" s="1"/>
  <c r="Y41" i="15"/>
  <c r="Z25" i="25"/>
  <c r="W28" i="15"/>
  <c r="W66" i="15" l="1"/>
  <c r="X43" i="15"/>
  <c r="X46" i="15" s="1"/>
  <c r="X47" i="15" s="1"/>
  <c r="X9" i="15"/>
  <c r="X12" i="15" s="1"/>
  <c r="X13" i="15" s="1"/>
  <c r="X80" i="15"/>
  <c r="Z48" i="1"/>
  <c r="Y100" i="15"/>
  <c r="X85" i="15"/>
  <c r="Y36" i="14"/>
  <c r="Y20" i="14"/>
  <c r="Y28" i="14"/>
  <c r="Y101" i="15"/>
  <c r="W37" i="15"/>
  <c r="X51" i="15" l="1"/>
  <c r="Y46" i="1" s="1"/>
  <c r="X56" i="15"/>
  <c r="Z26" i="24" s="1"/>
  <c r="Y21" i="14"/>
  <c r="Z39" i="15"/>
  <c r="Y22" i="14"/>
  <c r="Y29" i="14"/>
  <c r="Z68" i="15"/>
  <c r="Y30" i="14"/>
  <c r="X22" i="15"/>
  <c r="X27" i="15"/>
  <c r="Y47" i="1"/>
  <c r="X87" i="15"/>
  <c r="X88" i="15" s="1"/>
  <c r="X81" i="15"/>
  <c r="Y13" i="14"/>
  <c r="Z5" i="15"/>
  <c r="Y14" i="14"/>
  <c r="AA26" i="25"/>
  <c r="X86" i="15"/>
  <c r="Y37" i="14"/>
  <c r="Z92" i="15"/>
  <c r="Z94" i="15" s="1"/>
  <c r="Y38" i="14"/>
  <c r="X32" i="15"/>
  <c r="X17" i="15"/>
  <c r="X61" i="15"/>
  <c r="Z99" i="15" l="1"/>
  <c r="AA48" i="1" s="1"/>
  <c r="X52" i="15"/>
  <c r="X57" i="15"/>
  <c r="Z25" i="24"/>
  <c r="X23" i="15"/>
  <c r="Y6" i="14"/>
  <c r="Z41" i="15"/>
  <c r="Z7" i="15"/>
  <c r="Y72" i="15"/>
  <c r="Z70" i="15"/>
  <c r="Z8" i="14"/>
  <c r="Z12" i="14" s="1"/>
  <c r="AB26" i="23"/>
  <c r="X62" i="15"/>
  <c r="X63" i="15"/>
  <c r="X64" i="15" s="1"/>
  <c r="AB25" i="23"/>
  <c r="X33" i="15"/>
  <c r="Y45" i="1"/>
  <c r="X34" i="15"/>
  <c r="X35" i="15" s="1"/>
  <c r="X18" i="15"/>
  <c r="X90" i="15"/>
  <c r="AA25" i="25"/>
  <c r="X28" i="15"/>
  <c r="Z101" i="15" l="1"/>
  <c r="Z100" i="15"/>
  <c r="Y43" i="15"/>
  <c r="Y46" i="15" s="1"/>
  <c r="Y47" i="15" s="1"/>
  <c r="Y9" i="15"/>
  <c r="Y75" i="15"/>
  <c r="Y76" i="15" s="1"/>
  <c r="X37" i="15"/>
  <c r="X66" i="15"/>
  <c r="Z36" i="14"/>
  <c r="Z20" i="14"/>
  <c r="Z28" i="14"/>
  <c r="Y12" i="15" l="1"/>
  <c r="Y13" i="15" s="1"/>
  <c r="AA92" i="15"/>
  <c r="Z37" i="14"/>
  <c r="Z38" i="14"/>
  <c r="Y61" i="15"/>
  <c r="Z21" i="14"/>
  <c r="AA39" i="15"/>
  <c r="Z22" i="14"/>
  <c r="Y56" i="15"/>
  <c r="Z29" i="14"/>
  <c r="AA68" i="15"/>
  <c r="Z30" i="14"/>
  <c r="Z13" i="14"/>
  <c r="AA5" i="15"/>
  <c r="Z14" i="14"/>
  <c r="Y80" i="15"/>
  <c r="Y85" i="15"/>
  <c r="Y51" i="15"/>
  <c r="Y32" i="15" l="1"/>
  <c r="Y87" i="15"/>
  <c r="Y88" i="15" s="1"/>
  <c r="Z47" i="1"/>
  <c r="Y81" i="15"/>
  <c r="AA94" i="15"/>
  <c r="AA99" i="15"/>
  <c r="AA101" i="15" s="1"/>
  <c r="AA41" i="15"/>
  <c r="Z6" i="14"/>
  <c r="AC26" i="23"/>
  <c r="Y62" i="15"/>
  <c r="Y17" i="15"/>
  <c r="AA7" i="15"/>
  <c r="Y22" i="15"/>
  <c r="AA26" i="24"/>
  <c r="Y57" i="15"/>
  <c r="AA8" i="14"/>
  <c r="AA12" i="14" s="1"/>
  <c r="Z46" i="1"/>
  <c r="Y63" i="15"/>
  <c r="Y64" i="15" s="1"/>
  <c r="Y52" i="15"/>
  <c r="AB26" i="25"/>
  <c r="Y86" i="15"/>
  <c r="AA70" i="15"/>
  <c r="Y27" i="15"/>
  <c r="Y66" i="15" l="1"/>
  <c r="Z72" i="15"/>
  <c r="Y90" i="15"/>
  <c r="Z45" i="1"/>
  <c r="Y34" i="15"/>
  <c r="Y35" i="15" s="1"/>
  <c r="Y18" i="15"/>
  <c r="AA25" i="24"/>
  <c r="Y23" i="15"/>
  <c r="AC25" i="23"/>
  <c r="Y33" i="15"/>
  <c r="Z43" i="15"/>
  <c r="AB25" i="25"/>
  <c r="Y28" i="15"/>
  <c r="AA36" i="14"/>
  <c r="AA20" i="14"/>
  <c r="AA28" i="14"/>
  <c r="AB48" i="1"/>
  <c r="AA100" i="15"/>
  <c r="AA37" i="14" l="1"/>
  <c r="AB92" i="15"/>
  <c r="AA38" i="14"/>
  <c r="AA13" i="14"/>
  <c r="AB5" i="15"/>
  <c r="AA14" i="14"/>
  <c r="Y37" i="15"/>
  <c r="Z9" i="15"/>
  <c r="Z75" i="15"/>
  <c r="Z76" i="15" s="1"/>
  <c r="Z46" i="15"/>
  <c r="Z47" i="15" s="1"/>
  <c r="AA21" i="14"/>
  <c r="AB39" i="15"/>
  <c r="AA22" i="14"/>
  <c r="AA29" i="14"/>
  <c r="AB68" i="15"/>
  <c r="AA30" i="14"/>
  <c r="Z80" i="15" l="1"/>
  <c r="AA6" i="14"/>
  <c r="AB8" i="14"/>
  <c r="AB12" i="14" s="1"/>
  <c r="AB94" i="15"/>
  <c r="Z85" i="15"/>
  <c r="AB7" i="15"/>
  <c r="Z56" i="15"/>
  <c r="AB70" i="15"/>
  <c r="Z61" i="15"/>
  <c r="AB99" i="15"/>
  <c r="AB41" i="15"/>
  <c r="Z12" i="15"/>
  <c r="Z13" i="15" s="1"/>
  <c r="Z51" i="15"/>
  <c r="Z17" i="15" l="1"/>
  <c r="AA45" i="1" s="1"/>
  <c r="Z32" i="15"/>
  <c r="Z33" i="15" s="1"/>
  <c r="AB26" i="24"/>
  <c r="Z57" i="15"/>
  <c r="Z63" i="15"/>
  <c r="Z64" i="15" s="1"/>
  <c r="AA46" i="1"/>
  <c r="Z52" i="15"/>
  <c r="AB36" i="14"/>
  <c r="AB20" i="14"/>
  <c r="AB28" i="14"/>
  <c r="AC48" i="1"/>
  <c r="AB100" i="15"/>
  <c r="AD26" i="23"/>
  <c r="Z62" i="15"/>
  <c r="Z22" i="15"/>
  <c r="AB101" i="15"/>
  <c r="AC26" i="25"/>
  <c r="Z86" i="15"/>
  <c r="Z27" i="15"/>
  <c r="Z87" i="15"/>
  <c r="Z88" i="15" s="1"/>
  <c r="AA47" i="1"/>
  <c r="Z81" i="15"/>
  <c r="AD25" i="23" l="1"/>
  <c r="Z18" i="15"/>
  <c r="AA43" i="15"/>
  <c r="Z90" i="15"/>
  <c r="AC5" i="15"/>
  <c r="AB13" i="14"/>
  <c r="AB14" i="14"/>
  <c r="AB29" i="14"/>
  <c r="AC68" i="15"/>
  <c r="AB30" i="14"/>
  <c r="AB21" i="14"/>
  <c r="AC39" i="15"/>
  <c r="AB22" i="14"/>
  <c r="AA72" i="15"/>
  <c r="AB25" i="24"/>
  <c r="Z23" i="15"/>
  <c r="Z66" i="15"/>
  <c r="AB37" i="14"/>
  <c r="AC92" i="15"/>
  <c r="AC94" i="15" s="1"/>
  <c r="AB38" i="14"/>
  <c r="AC25" i="25"/>
  <c r="Z28" i="15"/>
  <c r="Z34" i="15"/>
  <c r="Z35" i="15" s="1"/>
  <c r="AA9" i="15" l="1"/>
  <c r="AA12" i="15" s="1"/>
  <c r="AA13" i="15" s="1"/>
  <c r="AB6" i="14"/>
  <c r="Z37" i="15"/>
  <c r="AA75" i="15"/>
  <c r="AA76" i="15" s="1"/>
  <c r="AC70" i="15"/>
  <c r="AA46" i="15"/>
  <c r="AA47" i="15" s="1"/>
  <c r="AC7" i="15"/>
  <c r="AC99" i="15"/>
  <c r="AC101" i="15" s="1"/>
  <c r="AC41" i="15"/>
  <c r="AC8" i="14"/>
  <c r="AC12" i="14" s="1"/>
  <c r="AA56" i="15" l="1"/>
  <c r="AA22" i="15"/>
  <c r="AA61" i="15"/>
  <c r="AA27" i="15"/>
  <c r="AA51" i="15"/>
  <c r="AA80" i="15"/>
  <c r="AA17" i="15"/>
  <c r="AC36" i="14"/>
  <c r="AC20" i="14"/>
  <c r="AC28" i="14"/>
  <c r="AD48" i="1"/>
  <c r="AC100" i="15"/>
  <c r="AA85" i="15"/>
  <c r="AA32" i="15"/>
  <c r="AA34" i="15" l="1"/>
  <c r="AA35" i="15" s="1"/>
  <c r="AB45" i="1"/>
  <c r="AA18" i="15"/>
  <c r="AC25" i="24"/>
  <c r="AA23" i="15"/>
  <c r="AC13" i="14"/>
  <c r="AD5" i="15"/>
  <c r="AC14" i="14"/>
  <c r="AE25" i="23"/>
  <c r="AA33" i="15"/>
  <c r="AC26" i="24"/>
  <c r="AA57" i="15"/>
  <c r="AD26" i="25"/>
  <c r="AA86" i="15"/>
  <c r="AE26" i="23"/>
  <c r="AA62" i="15"/>
  <c r="AA63" i="15"/>
  <c r="AA64" i="15" s="1"/>
  <c r="AB46" i="1"/>
  <c r="AA52" i="15"/>
  <c r="AC29" i="14"/>
  <c r="AD68" i="15"/>
  <c r="AC30" i="14"/>
  <c r="AC37" i="14"/>
  <c r="AD92" i="15"/>
  <c r="AC38" i="14"/>
  <c r="AB47" i="1"/>
  <c r="AA87" i="15"/>
  <c r="AA88" i="15" s="1"/>
  <c r="AA81" i="15"/>
  <c r="AC21" i="14"/>
  <c r="AD39" i="15"/>
  <c r="AC22" i="14"/>
  <c r="AD25" i="25"/>
  <c r="AA28" i="15"/>
  <c r="AD41" i="15" l="1"/>
  <c r="AC6" i="14"/>
  <c r="AD7" i="15"/>
  <c r="AA90" i="15"/>
  <c r="AD94" i="15"/>
  <c r="AD70" i="15"/>
  <c r="AB72" i="15"/>
  <c r="AD8" i="14"/>
  <c r="AD12" i="14" s="1"/>
  <c r="AB43" i="15"/>
  <c r="AB9" i="15"/>
  <c r="AA37" i="15"/>
  <c r="AA66" i="15"/>
  <c r="AD99" i="15"/>
  <c r="AE48" i="1" l="1"/>
  <c r="AD100" i="15"/>
  <c r="AB75" i="15"/>
  <c r="AB76" i="15" s="1"/>
  <c r="AD101" i="15"/>
  <c r="AB12" i="15"/>
  <c r="AB13" i="15" s="1"/>
  <c r="AB46" i="15"/>
  <c r="AB47" i="15" s="1"/>
  <c r="AD36" i="14"/>
  <c r="AD20" i="14"/>
  <c r="AD28" i="14"/>
  <c r="AB22" i="15" l="1"/>
  <c r="AD25" i="24" s="1"/>
  <c r="AB32" i="15"/>
  <c r="AF25" i="23" s="1"/>
  <c r="AB61" i="15"/>
  <c r="AB51" i="15"/>
  <c r="AB80" i="15"/>
  <c r="AB85" i="15"/>
  <c r="AD21" i="14"/>
  <c r="AE39" i="15"/>
  <c r="AD22" i="14"/>
  <c r="AB17" i="15"/>
  <c r="AD37" i="14"/>
  <c r="AE92" i="15"/>
  <c r="AE94" i="15" s="1"/>
  <c r="AD38" i="14"/>
  <c r="AB56" i="15"/>
  <c r="AD29" i="14"/>
  <c r="AE68" i="15"/>
  <c r="AD30" i="14"/>
  <c r="AD13" i="14"/>
  <c r="AE5" i="15"/>
  <c r="AD14" i="14"/>
  <c r="AB27" i="15"/>
  <c r="AB33" i="15" l="1"/>
  <c r="AB23" i="15"/>
  <c r="AB87" i="15"/>
  <c r="AB88" i="15" s="1"/>
  <c r="AC47" i="1"/>
  <c r="AB81" i="15"/>
  <c r="AE25" i="25"/>
  <c r="AB28" i="15"/>
  <c r="AE26" i="25"/>
  <c r="AB86" i="15"/>
  <c r="AD6" i="14"/>
  <c r="AE99" i="15"/>
  <c r="AE101" i="15" s="1"/>
  <c r="AF26" i="23"/>
  <c r="AB62" i="15"/>
  <c r="AC46" i="1"/>
  <c r="AB63" i="15"/>
  <c r="AB64" i="15" s="1"/>
  <c r="AB52" i="15"/>
  <c r="AB34" i="15"/>
  <c r="AB35" i="15" s="1"/>
  <c r="AC45" i="1"/>
  <c r="AB18" i="15"/>
  <c r="AE8" i="14"/>
  <c r="AE12" i="14" s="1"/>
  <c r="AE7" i="15"/>
  <c r="AE70" i="15"/>
  <c r="AD26" i="24"/>
  <c r="AB57" i="15"/>
  <c r="AE41" i="15"/>
  <c r="AB37" i="15" l="1"/>
  <c r="AC43" i="15"/>
  <c r="AE36" i="14"/>
  <c r="AE20" i="14"/>
  <c r="AE28" i="14"/>
  <c r="AB66" i="15"/>
  <c r="AC72" i="15"/>
  <c r="AB90" i="15"/>
  <c r="AC9" i="15"/>
  <c r="AF48" i="1"/>
  <c r="AE100" i="15"/>
  <c r="AE29" i="14" l="1"/>
  <c r="AF68" i="15"/>
  <c r="AE30" i="14"/>
  <c r="AE13" i="14"/>
  <c r="AF5" i="15"/>
  <c r="AE14" i="14"/>
  <c r="AC12" i="15"/>
  <c r="AC13" i="15" s="1"/>
  <c r="AE21" i="14"/>
  <c r="AF39" i="15"/>
  <c r="AE22" i="14"/>
  <c r="AC75" i="15"/>
  <c r="AC76" i="15" s="1"/>
  <c r="AE37" i="14"/>
  <c r="AF92" i="15"/>
  <c r="AF99" i="15" s="1"/>
  <c r="AG48" i="1" s="1"/>
  <c r="AE38" i="14"/>
  <c r="AC46" i="15"/>
  <c r="AC47" i="15" s="1"/>
  <c r="AC27" i="15" l="1"/>
  <c r="AF25" i="25" s="1"/>
  <c r="AC17" i="15"/>
  <c r="AD45" i="1" s="1"/>
  <c r="AF100" i="15"/>
  <c r="AC61" i="15"/>
  <c r="AC62" i="15" s="1"/>
  <c r="AC56" i="15"/>
  <c r="AE26" i="24" s="1"/>
  <c r="AF94" i="15"/>
  <c r="AF101" i="15"/>
  <c r="AF41" i="15"/>
  <c r="AF7" i="15"/>
  <c r="AE6" i="14"/>
  <c r="AF8" i="14"/>
  <c r="AF12" i="14" s="1"/>
  <c r="AC80" i="15"/>
  <c r="AC32" i="15"/>
  <c r="AF70" i="15"/>
  <c r="AC51" i="15"/>
  <c r="AC85" i="15"/>
  <c r="AC22" i="15"/>
  <c r="AC18" i="15" l="1"/>
  <c r="AG26" i="23"/>
  <c r="AC28" i="15"/>
  <c r="AC34" i="15"/>
  <c r="AC35" i="15" s="1"/>
  <c r="AC57" i="15"/>
  <c r="AD46" i="1"/>
  <c r="AC63" i="15"/>
  <c r="AC64" i="15" s="1"/>
  <c r="AC52" i="15"/>
  <c r="AG25" i="23"/>
  <c r="AC33" i="15"/>
  <c r="AD47" i="1"/>
  <c r="AC87" i="15"/>
  <c r="AC88" i="15" s="1"/>
  <c r="AC81" i="15"/>
  <c r="AF20" i="14"/>
  <c r="AF28" i="14"/>
  <c r="AF36" i="14"/>
  <c r="AE25" i="24"/>
  <c r="AC23" i="15"/>
  <c r="AF26" i="25"/>
  <c r="AC86" i="15"/>
  <c r="AF21" i="14" l="1"/>
  <c r="AF22" i="14"/>
  <c r="AD43" i="15"/>
  <c r="AD72" i="15"/>
  <c r="AD9" i="15"/>
  <c r="AC90" i="15"/>
  <c r="AF37" i="14"/>
  <c r="AF38" i="14"/>
  <c r="AF29" i="14"/>
  <c r="AF30" i="14"/>
  <c r="AC66" i="15"/>
  <c r="AF13" i="14"/>
  <c r="AF14" i="14"/>
  <c r="AC37" i="15"/>
  <c r="AG8" i="14" l="1"/>
  <c r="AG12" i="14" s="1"/>
  <c r="AD75" i="15"/>
  <c r="AD76" i="15" s="1"/>
  <c r="AD46" i="15"/>
  <c r="AD47" i="15" s="1"/>
  <c r="AF6" i="14"/>
  <c r="AD12" i="15"/>
  <c r="AD13" i="15" s="1"/>
  <c r="AD32" i="15" l="1"/>
  <c r="AD33" i="15" s="1"/>
  <c r="AD22" i="15"/>
  <c r="AF25" i="24" s="1"/>
  <c r="AD27" i="15"/>
  <c r="AG25" i="25" s="1"/>
  <c r="AD51" i="15"/>
  <c r="AD52" i="15" s="1"/>
  <c r="AG28" i="14"/>
  <c r="AG36" i="14"/>
  <c r="AG20" i="14"/>
  <c r="AD80" i="15"/>
  <c r="AD61" i="15"/>
  <c r="AD62" i="15" s="1"/>
  <c r="AD85" i="15"/>
  <c r="AD17" i="15"/>
  <c r="AD56" i="15"/>
  <c r="AD23" i="15" l="1"/>
  <c r="AD28" i="15"/>
  <c r="AE46" i="1"/>
  <c r="AF26" i="24"/>
  <c r="AD57" i="15"/>
  <c r="AD66" i="15" s="1"/>
  <c r="AE45" i="1"/>
  <c r="AD34" i="15"/>
  <c r="AD35" i="15" s="1"/>
  <c r="AD18" i="15"/>
  <c r="AG26" i="25"/>
  <c r="AD86" i="15"/>
  <c r="AE47" i="1"/>
  <c r="AD87" i="15"/>
  <c r="AD88" i="15" s="1"/>
  <c r="AD81" i="15"/>
  <c r="AG13" i="14"/>
  <c r="AG14" i="14"/>
  <c r="AG21" i="14"/>
  <c r="AG22" i="14"/>
  <c r="AD63" i="15"/>
  <c r="AD64" i="15" s="1"/>
  <c r="AG29" i="14"/>
  <c r="AG30" i="14"/>
  <c r="AG37" i="14"/>
  <c r="AG38" i="14"/>
  <c r="AE43" i="15" l="1"/>
  <c r="AE46" i="15" s="1"/>
  <c r="AE47" i="15" s="1"/>
  <c r="AE9" i="15"/>
  <c r="AG6" i="14"/>
  <c r="AD90" i="15"/>
  <c r="AE72" i="15"/>
  <c r="AD37" i="15"/>
  <c r="AE61" i="15" l="1"/>
  <c r="AE62" i="15" s="1"/>
  <c r="AE56" i="15"/>
  <c r="AE51" i="15"/>
  <c r="AE12" i="15"/>
  <c r="AE13" i="15" s="1"/>
  <c r="AE75" i="15"/>
  <c r="AE76" i="15" s="1"/>
  <c r="AE27" i="15" l="1"/>
  <c r="AE28" i="15" s="1"/>
  <c r="AE22" i="15"/>
  <c r="AE23" i="15" s="1"/>
  <c r="AE32" i="15"/>
  <c r="AE33" i="15" s="1"/>
  <c r="AE63" i="15"/>
  <c r="AE64" i="15" s="1"/>
  <c r="AF46" i="1"/>
  <c r="AE52" i="15"/>
  <c r="AE80" i="15"/>
  <c r="AG26" i="24"/>
  <c r="AE57" i="15"/>
  <c r="AE85" i="15"/>
  <c r="AE86" i="15" s="1"/>
  <c r="AE17" i="15"/>
  <c r="AG25" i="24" l="1"/>
  <c r="AE87" i="15"/>
  <c r="AE88" i="15" s="1"/>
  <c r="AF47" i="1"/>
  <c r="AE81" i="15"/>
  <c r="AE90" i="15" s="1"/>
  <c r="AF43" i="15"/>
  <c r="AF45" i="1"/>
  <c r="AE34" i="15"/>
  <c r="AE35" i="15" s="1"/>
  <c r="AE18" i="15"/>
  <c r="AE66" i="15"/>
  <c r="AF46" i="15" l="1"/>
  <c r="AF47" i="15" s="1"/>
  <c r="AF9" i="15"/>
  <c r="AE37" i="15"/>
  <c r="AF72" i="15"/>
  <c r="AF12" i="15" l="1"/>
  <c r="AF13" i="15" s="1"/>
  <c r="AF51" i="15"/>
  <c r="AF61" i="15"/>
  <c r="AF62" i="15" s="1"/>
  <c r="AF75" i="15"/>
  <c r="AF76" i="15" s="1"/>
  <c r="AF56" i="15"/>
  <c r="AF57" i="15" s="1"/>
  <c r="AF80" i="15" l="1"/>
  <c r="AF81" i="15" s="1"/>
  <c r="AF63" i="15"/>
  <c r="AF64" i="15" s="1"/>
  <c r="AG46" i="1"/>
  <c r="AF52" i="15"/>
  <c r="AF66" i="15" s="1"/>
  <c r="AF17" i="15"/>
  <c r="AF22" i="15"/>
  <c r="AF23" i="15" s="1"/>
  <c r="AF32" i="15"/>
  <c r="AF33" i="15" s="1"/>
  <c r="AF85" i="15"/>
  <c r="AF86" i="15" s="1"/>
  <c r="AF27" i="15"/>
  <c r="AF28" i="15" s="1"/>
  <c r="AG47" i="1" l="1"/>
  <c r="AF90" i="15"/>
  <c r="AF34" i="15"/>
  <c r="AF35" i="15" s="1"/>
  <c r="AG45" i="1"/>
  <c r="AF18" i="15"/>
  <c r="AF37" i="15" s="1"/>
  <c r="AF87" i="15"/>
  <c r="AF88" i="15" s="1"/>
</calcChain>
</file>

<file path=xl/sharedStrings.xml><?xml version="1.0" encoding="utf-8"?>
<sst xmlns="http://schemas.openxmlformats.org/spreadsheetml/2006/main" count="2086" uniqueCount="133">
  <si>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</si>
  <si>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</si>
  <si>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</si>
  <si>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</si>
  <si>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</si>
  <si>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</si>
  <si>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</si>
  <si>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</si>
  <si>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</si>
  <si>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</si>
  <si>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</si>
  <si>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</si>
  <si>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</si>
  <si>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</si>
  <si>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</si>
  <si>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</si>
  <si>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</si>
  <si>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</si>
  <si>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</si>
  <si>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</si>
  <si>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</si>
  <si>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</si>
  <si>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</si>
  <si>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</si>
  <si>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Stock objectif</t>
  </si>
  <si>
    <t>Besoins à produire</t>
  </si>
  <si>
    <t>Prev. Vente</t>
  </si>
  <si>
    <t>Attendue livraison</t>
  </si>
  <si>
    <t>Capacité de conditionnement</t>
  </si>
  <si>
    <t>P1</t>
  </si>
  <si>
    <t>P2</t>
  </si>
  <si>
    <t>P3</t>
  </si>
  <si>
    <t>Produit</t>
  </si>
  <si>
    <t>France</t>
  </si>
  <si>
    <t>Australie</t>
  </si>
  <si>
    <t>Espagne</t>
  </si>
  <si>
    <t>Chili</t>
  </si>
  <si>
    <t>Stock projeté</t>
  </si>
  <si>
    <t>Ressources de prod partagé équitablement entre produit</t>
  </si>
  <si>
    <t>PDP-proposé(s)=min( (BP(P1, s)/ Somme(BP(Pi, s)))*capacité (s+2)); BP(P1,s))</t>
  </si>
  <si>
    <t>Date de planification</t>
  </si>
  <si>
    <t>PA(S-1)</t>
  </si>
  <si>
    <t>PDP(S-1)</t>
  </si>
  <si>
    <t>PDP(S-1) figé</t>
  </si>
  <si>
    <t>P4</t>
  </si>
  <si>
    <t>PDP (S-1)</t>
  </si>
  <si>
    <t>Charge article_PDP</t>
  </si>
  <si>
    <t>PDP</t>
  </si>
  <si>
    <t>CDC</t>
  </si>
  <si>
    <t>000</t>
  </si>
  <si>
    <t>001</t>
  </si>
  <si>
    <t>002</t>
  </si>
  <si>
    <t>003</t>
  </si>
  <si>
    <t>004</t>
  </si>
  <si>
    <t>PA (S-1)</t>
  </si>
  <si>
    <t>PA figé (S-1)</t>
  </si>
  <si>
    <t>PA</t>
  </si>
  <si>
    <t>BA</t>
  </si>
  <si>
    <t>PA total</t>
  </si>
  <si>
    <t>PA total (S-1)</t>
  </si>
  <si>
    <t>Indisponibilité</t>
  </si>
  <si>
    <t>Possible to promise</t>
  </si>
  <si>
    <t>PA_total</t>
  </si>
  <si>
    <t>BB total hors PA Figé</t>
  </si>
  <si>
    <t>PA Figé total</t>
  </si>
  <si>
    <t>Usine</t>
  </si>
  <si>
    <t>111</t>
  </si>
  <si>
    <t>Prévisions de ventes</t>
  </si>
  <si>
    <t>Filiale</t>
  </si>
  <si>
    <t>Charge de conditionnement</t>
  </si>
  <si>
    <t>prev</t>
  </si>
  <si>
    <t>PA-1</t>
  </si>
  <si>
    <t>attenndue</t>
  </si>
  <si>
    <t xml:space="preserve">Attendue </t>
  </si>
  <si>
    <t>SI</t>
  </si>
  <si>
    <t>a date de lancement en prod</t>
  </si>
  <si>
    <t>W1/20</t>
  </si>
  <si>
    <t>W2/20</t>
  </si>
  <si>
    <t>W3/20</t>
  </si>
  <si>
    <t>W4/20</t>
  </si>
  <si>
    <t>W5/20</t>
  </si>
  <si>
    <t>W6/20</t>
  </si>
  <si>
    <t>W7/20</t>
  </si>
  <si>
    <t>W8/20</t>
  </si>
  <si>
    <t>W9/20</t>
  </si>
  <si>
    <t>W10/20</t>
  </si>
  <si>
    <t>W11/20</t>
  </si>
  <si>
    <t>W12/20</t>
  </si>
  <si>
    <t>W13/20</t>
  </si>
  <si>
    <t>W14/20</t>
  </si>
  <si>
    <t>W15/20</t>
  </si>
  <si>
    <t>W16/20</t>
  </si>
  <si>
    <t>W17/20</t>
  </si>
  <si>
    <t>W18/20</t>
  </si>
  <si>
    <t>W19/20</t>
  </si>
  <si>
    <t>W20/20</t>
  </si>
  <si>
    <t>W21/20</t>
  </si>
  <si>
    <t>W22/20</t>
  </si>
  <si>
    <t>W23/20</t>
  </si>
  <si>
    <t>W24/20</t>
  </si>
  <si>
    <t>W25/20</t>
  </si>
  <si>
    <t>DESTINATION_CODESITE</t>
  </si>
  <si>
    <t>QUANTITY_TYPE</t>
  </si>
  <si>
    <t>WEEKSNAPSHOT</t>
  </si>
  <si>
    <t xml:space="preserve"> </t>
  </si>
  <si>
    <t>SOURCE_CODESITE</t>
  </si>
  <si>
    <t>Stock initial</t>
  </si>
  <si>
    <t>Site</t>
  </si>
  <si>
    <t>PA (s-1) à date de réception filiales</t>
  </si>
  <si>
    <t>PDP (s-1) à date de réception CDC</t>
  </si>
  <si>
    <t>Capacité usine</t>
  </si>
  <si>
    <t>Capacité</t>
  </si>
  <si>
    <t>Etat des stock</t>
  </si>
  <si>
    <t>PA-figé</t>
  </si>
  <si>
    <t>PDP-figé</t>
  </si>
  <si>
    <t>ventes réelles</t>
  </si>
  <si>
    <t>Réceptions réelles</t>
  </si>
  <si>
    <t>Livraison réelle</t>
  </si>
  <si>
    <t>réceptions réelles</t>
  </si>
  <si>
    <t>Quantités lancées</t>
  </si>
  <si>
    <t>stock on hand</t>
  </si>
  <si>
    <t>PRODUCT_CODE</t>
  </si>
  <si>
    <t>PRODUCT_DESIGNATION</t>
  </si>
  <si>
    <t>SOURCE_DESIGNATION</t>
  </si>
  <si>
    <t>DESTINATION_DESIGNATION</t>
  </si>
  <si>
    <t>DELIVERY_TIME</t>
  </si>
  <si>
    <t>OPERATION_TIME</t>
  </si>
  <si>
    <t>Réceptions programmées</t>
  </si>
  <si>
    <t>Besoin netTotal</t>
  </si>
  <si>
    <t>SO=200</t>
  </si>
  <si>
    <t>SO=150</t>
  </si>
  <si>
    <t>SO=300</t>
  </si>
  <si>
    <t>SO=350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</si>
</sst>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sz val="10"/>
      <color rgb="FF3366FF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7B7B7"/>
        <bgColor rgb="FFB7B7B7"/>
      </patternFill>
    </fill>
    <fill>
      <patternFill patternType="solid">
        <fgColor rgb="FFFFD966"/>
        <bgColor rgb="FFFFD96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FFD966"/>
      </patternFill>
    </fill>
    <fill>
      <patternFill patternType="solid">
        <fgColor theme="6"/>
        <bgColor rgb="FFB7B7B7"/>
      </patternFill>
    </fill>
    <fill>
      <patternFill patternType="solid">
        <fgColor theme="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B7B7B7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0" fontId="6" fillId="4" borderId="8" xfId="0" applyFont="1" applyFill="1" applyBorder="1" applyAlignment="1">
      <alignment horizontal="center" vertical="center"/>
    </xf>
    <xf numFmtId="0" fontId="0" fillId="0" borderId="9" xfId="0" applyBorder="1"/>
    <xf numFmtId="0" fontId="7" fillId="2" borderId="9" xfId="0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1" fontId="7" fillId="7" borderId="8" xfId="0" applyNumberFormat="1" applyFont="1" applyFill="1" applyBorder="1" applyAlignment="1">
      <alignment horizontal="center" vertical="center"/>
    </xf>
    <xf numFmtId="0" fontId="0" fillId="0" borderId="16" xfId="0" applyBorder="1"/>
    <xf numFmtId="0" fontId="0" fillId="11" borderId="0" xfId="0" applyFill="1"/>
    <xf numFmtId="0" fontId="0" fillId="0" borderId="6" xfId="0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4" fillId="6" borderId="4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left" vertical="center"/>
    </xf>
    <xf numFmtId="1" fontId="0" fillId="6" borderId="8" xfId="0" applyNumberFormat="1" applyFill="1" applyBorder="1"/>
    <xf numFmtId="0" fontId="6" fillId="4" borderId="21" xfId="0" applyFont="1" applyFill="1" applyBorder="1" applyAlignment="1">
      <alignment horizontal="center" vertical="center"/>
    </xf>
    <xf numFmtId="0" fontId="0" fillId="0" borderId="8" xfId="0" applyBorder="1"/>
    <xf numFmtId="0" fontId="7" fillId="4" borderId="9" xfId="0" applyFont="1" applyFill="1" applyBorder="1" applyAlignment="1">
      <alignment horizontal="center" vertical="center"/>
    </xf>
    <xf numFmtId="0" fontId="6" fillId="8" borderId="21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1" fontId="0" fillId="8" borderId="8" xfId="0" applyNumberFormat="1" applyFill="1" applyBorder="1"/>
    <xf numFmtId="1" fontId="7" fillId="2" borderId="9" xfId="0" applyNumberFormat="1" applyFont="1" applyFill="1" applyBorder="1" applyAlignment="1">
      <alignment horizontal="center" vertical="center"/>
    </xf>
    <xf numFmtId="0" fontId="9" fillId="6" borderId="0" xfId="0" applyFont="1" applyFill="1" applyBorder="1"/>
    <xf numFmtId="0" fontId="9" fillId="6" borderId="0" xfId="0" applyFont="1" applyFill="1"/>
    <xf numFmtId="0" fontId="0" fillId="6" borderId="9" xfId="0" applyFill="1" applyBorder="1"/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0" fillId="0" borderId="28" xfId="0" applyBorder="1"/>
    <xf numFmtId="0" fontId="10" fillId="4" borderId="9" xfId="0" applyFont="1" applyFill="1" applyBorder="1" applyAlignment="1">
      <alignment horizontal="center" vertical="center"/>
    </xf>
    <xf numFmtId="1" fontId="0" fillId="6" borderId="9" xfId="0" applyNumberFormat="1" applyFill="1" applyBorder="1"/>
    <xf numFmtId="1" fontId="0" fillId="4" borderId="9" xfId="0" applyNumberFormat="1" applyFill="1" applyBorder="1"/>
    <xf numFmtId="1" fontId="0" fillId="6" borderId="14" xfId="0" applyNumberFormat="1" applyFill="1" applyBorder="1"/>
    <xf numFmtId="0" fontId="0" fillId="0" borderId="14" xfId="0" applyBorder="1"/>
    <xf numFmtId="0" fontId="0" fillId="6" borderId="14" xfId="0" applyFill="1" applyBorder="1"/>
    <xf numFmtId="0" fontId="0" fillId="0" borderId="30" xfId="0" applyBorder="1"/>
    <xf numFmtId="0" fontId="0" fillId="0" borderId="13" xfId="0" applyBorder="1"/>
    <xf numFmtId="0" fontId="0" fillId="0" borderId="3" xfId="0" applyBorder="1"/>
    <xf numFmtId="1" fontId="0" fillId="6" borderId="0" xfId="0" applyNumberFormat="1" applyFill="1" applyBorder="1"/>
    <xf numFmtId="0" fontId="4" fillId="6" borderId="9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center" vertical="center" textRotation="90"/>
    </xf>
    <xf numFmtId="0" fontId="0" fillId="11" borderId="14" xfId="0" applyFill="1" applyBorder="1"/>
    <xf numFmtId="0" fontId="4" fillId="6" borderId="8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0" fontId="0" fillId="11" borderId="13" xfId="0" applyFill="1" applyBorder="1"/>
    <xf numFmtId="0" fontId="0" fillId="11" borderId="0" xfId="0" applyFill="1" applyBorder="1"/>
    <xf numFmtId="0" fontId="0" fillId="5" borderId="6" xfId="0" applyFill="1" applyBorder="1"/>
    <xf numFmtId="0" fontId="0" fillId="4" borderId="9" xfId="0" applyFill="1" applyBorder="1"/>
    <xf numFmtId="1" fontId="0" fillId="0" borderId="9" xfId="0" applyNumberFormat="1" applyBorder="1"/>
    <xf numFmtId="0" fontId="0" fillId="8" borderId="11" xfId="0" applyFill="1" applyBorder="1"/>
    <xf numFmtId="0" fontId="0" fillId="8" borderId="1" xfId="0" applyFill="1" applyBorder="1"/>
    <xf numFmtId="0" fontId="2" fillId="2" borderId="9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5" fillId="11" borderId="0" xfId="0" applyFont="1" applyFill="1"/>
    <xf numFmtId="0" fontId="15" fillId="11" borderId="0" xfId="0" applyFont="1" applyFill="1" applyAlignment="1">
      <alignment horizontal="center" vertical="center"/>
    </xf>
    <xf numFmtId="0" fontId="15" fillId="11" borderId="0" xfId="0" applyFont="1" applyFill="1" applyBorder="1"/>
    <xf numFmtId="0" fontId="16" fillId="11" borderId="0" xfId="0" applyFont="1" applyFill="1" applyBorder="1"/>
    <xf numFmtId="0" fontId="4" fillId="6" borderId="33" xfId="0" applyFont="1" applyFill="1" applyBorder="1" applyAlignment="1">
      <alignment horizontal="left" vertical="center"/>
    </xf>
    <xf numFmtId="0" fontId="7" fillId="6" borderId="33" xfId="0" applyFont="1" applyFill="1" applyBorder="1" applyAlignment="1">
      <alignment horizontal="center" vertical="center"/>
    </xf>
    <xf numFmtId="0" fontId="0" fillId="11" borderId="9" xfId="0" applyFill="1" applyBorder="1"/>
    <xf numFmtId="0" fontId="0" fillId="6" borderId="0" xfId="0" applyFill="1" applyBorder="1" applyAlignment="1">
      <alignment horizontal="center" vertical="center"/>
    </xf>
    <xf numFmtId="0" fontId="4" fillId="11" borderId="14" xfId="0" applyFont="1" applyFill="1" applyBorder="1" applyAlignment="1">
      <alignment vertical="center"/>
    </xf>
    <xf numFmtId="0" fontId="18" fillId="16" borderId="36" xfId="0" applyFont="1" applyFill="1" applyBorder="1"/>
    <xf numFmtId="0" fontId="18" fillId="16" borderId="37" xfId="0" applyFont="1" applyFill="1" applyBorder="1"/>
    <xf numFmtId="0" fontId="18" fillId="17" borderId="38" xfId="0" applyFont="1" applyFill="1" applyBorder="1" applyAlignment="1">
      <alignment horizontal="right"/>
    </xf>
    <xf numFmtId="0" fontId="18" fillId="17" borderId="37" xfId="0" applyFont="1" applyFill="1" applyBorder="1" applyAlignment="1">
      <alignment horizontal="right"/>
    </xf>
    <xf numFmtId="0" fontId="18" fillId="16" borderId="39" xfId="0" applyFont="1" applyFill="1" applyBorder="1"/>
    <xf numFmtId="0" fontId="20" fillId="17" borderId="40" xfId="0" applyFont="1" applyFill="1" applyBorder="1" applyAlignment="1">
      <alignment horizontal="right"/>
    </xf>
    <xf numFmtId="0" fontId="11" fillId="7" borderId="2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21" fillId="19" borderId="8" xfId="0" applyFont="1" applyFill="1" applyBorder="1" applyAlignment="1">
      <alignment horizontal="center" vertical="center"/>
    </xf>
    <xf numFmtId="0" fontId="1" fillId="12" borderId="22" xfId="0" applyFont="1" applyFill="1" applyBorder="1" applyAlignment="1">
      <alignment vertical="center"/>
    </xf>
    <xf numFmtId="0" fontId="0" fillId="0" borderId="29" xfId="0" applyBorder="1" applyAlignment="1">
      <alignment horizontal="center" vertical="center"/>
    </xf>
    <xf numFmtId="1" fontId="0" fillId="5" borderId="32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20" borderId="9" xfId="0" applyFont="1" applyFill="1" applyBorder="1" applyAlignment="1">
      <alignment horizontal="center" vertical="center"/>
    </xf>
    <xf numFmtId="1" fontId="0" fillId="6" borderId="29" xfId="0" applyNumberFormat="1" applyFill="1" applyBorder="1"/>
    <xf numFmtId="0" fontId="11" fillId="7" borderId="32" xfId="0" applyFont="1" applyFill="1" applyBorder="1" applyAlignment="1">
      <alignment horizontal="center" vertical="center"/>
    </xf>
    <xf numFmtId="1" fontId="11" fillId="7" borderId="9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left" vertical="center"/>
    </xf>
    <xf numFmtId="0" fontId="10" fillId="7" borderId="9" xfId="0" applyFont="1" applyFill="1" applyBorder="1" applyAlignment="1">
      <alignment horizontal="right" vertical="center"/>
    </xf>
    <xf numFmtId="0" fontId="8" fillId="6" borderId="0" xfId="0" applyFont="1" applyFill="1"/>
    <xf numFmtId="0" fontId="0" fillId="3" borderId="9" xfId="0" applyFill="1" applyBorder="1" applyAlignment="1">
      <alignment vertical="center"/>
    </xf>
    <xf numFmtId="49" fontId="4" fillId="6" borderId="9" xfId="0" applyNumberFormat="1" applyFont="1" applyFill="1" applyBorder="1" applyAlignment="1">
      <alignment vertical="center"/>
    </xf>
    <xf numFmtId="0" fontId="0" fillId="9" borderId="9" xfId="0" applyFill="1" applyBorder="1" applyAlignment="1">
      <alignment vertical="center"/>
    </xf>
    <xf numFmtId="0" fontId="6" fillId="4" borderId="9" xfId="0" applyFont="1" applyFill="1" applyBorder="1" applyAlignment="1">
      <alignment horizontal="right" vertical="center"/>
    </xf>
    <xf numFmtId="0" fontId="10" fillId="7" borderId="9" xfId="0" applyFont="1" applyFill="1" applyBorder="1" applyAlignment="1">
      <alignment horizontal="left" vertical="center"/>
    </xf>
    <xf numFmtId="0" fontId="0" fillId="5" borderId="9" xfId="0" applyFill="1" applyBorder="1" applyAlignment="1">
      <alignment horizontal="center" vertical="center"/>
    </xf>
    <xf numFmtId="0" fontId="13" fillId="6" borderId="9" xfId="0" applyFont="1" applyFill="1" applyBorder="1" applyAlignment="1">
      <alignment horizontal="left" vertical="center"/>
    </xf>
    <xf numFmtId="0" fontId="1" fillId="4" borderId="9" xfId="0" applyFont="1" applyFill="1" applyBorder="1" applyAlignment="1">
      <alignment vertical="center"/>
    </xf>
    <xf numFmtId="0" fontId="10" fillId="7" borderId="7" xfId="0" applyFont="1" applyFill="1" applyBorder="1" applyAlignment="1">
      <alignment horizontal="right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right" vertical="center"/>
    </xf>
    <xf numFmtId="0" fontId="10" fillId="7" borderId="7" xfId="0" applyFont="1" applyFill="1" applyBorder="1" applyAlignment="1">
      <alignment horizontal="left" vertical="center"/>
    </xf>
    <xf numFmtId="0" fontId="0" fillId="4" borderId="8" xfId="0" applyFill="1" applyBorder="1" applyAlignment="1">
      <alignment horizontal="center" vertical="center"/>
    </xf>
    <xf numFmtId="0" fontId="0" fillId="13" borderId="9" xfId="0" applyFill="1" applyBorder="1"/>
    <xf numFmtId="0" fontId="0" fillId="14" borderId="9" xfId="0" applyFill="1" applyBorder="1"/>
    <xf numFmtId="0" fontId="0" fillId="15" borderId="9" xfId="0" applyFill="1" applyBorder="1"/>
    <xf numFmtId="0" fontId="0" fillId="10" borderId="9" xfId="0" applyFill="1" applyBorder="1"/>
    <xf numFmtId="0" fontId="23" fillId="6" borderId="23" xfId="0" applyFont="1" applyFill="1" applyBorder="1"/>
    <xf numFmtId="0" fontId="4" fillId="9" borderId="9" xfId="0" applyFont="1" applyFill="1" applyBorder="1" applyAlignment="1">
      <alignment vertical="center"/>
    </xf>
    <xf numFmtId="0" fontId="12" fillId="4" borderId="9" xfId="0" applyFont="1" applyFill="1" applyBorder="1" applyAlignment="1">
      <alignment vertical="center"/>
    </xf>
    <xf numFmtId="0" fontId="12" fillId="12" borderId="9" xfId="0" applyFont="1" applyFill="1" applyBorder="1" applyAlignment="1">
      <alignment vertical="center"/>
    </xf>
    <xf numFmtId="0" fontId="6" fillId="2" borderId="9" xfId="0" applyFont="1" applyFill="1" applyBorder="1" applyAlignment="1">
      <alignment horizontal="right" vertical="center"/>
    </xf>
    <xf numFmtId="0" fontId="6" fillId="2" borderId="21" xfId="0" applyFont="1" applyFill="1" applyBorder="1" applyAlignment="1">
      <alignment horizontal="right" vertical="center"/>
    </xf>
    <xf numFmtId="0" fontId="6" fillId="2" borderId="17" xfId="0" applyFont="1" applyFill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8" fillId="11" borderId="9" xfId="0" applyFont="1" applyFill="1" applyBorder="1" applyAlignment="1">
      <alignment horizontal="center" vertical="center" textRotation="90"/>
    </xf>
    <xf numFmtId="0" fontId="1" fillId="12" borderId="9" xfId="0" applyFont="1" applyFill="1" applyBorder="1" applyAlignment="1">
      <alignment vertical="center"/>
    </xf>
    <xf numFmtId="0" fontId="5" fillId="2" borderId="9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5" fillId="11" borderId="9" xfId="0" applyFont="1" applyFill="1" applyBorder="1" applyAlignment="1">
      <alignment horizontal="center" vertical="center" wrapText="1"/>
    </xf>
    <xf numFmtId="0" fontId="4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10" fillId="7" borderId="31" xfId="0" applyFont="1" applyFill="1" applyBorder="1" applyAlignment="1">
      <alignment horizontal="center" vertical="center"/>
    </xf>
    <xf numFmtId="0" fontId="22" fillId="6" borderId="34" xfId="0" applyFont="1" applyFill="1" applyBorder="1" applyAlignment="1"/>
    <xf numFmtId="0" fontId="7" fillId="8" borderId="23" xfId="0" applyFont="1" applyFill="1" applyBorder="1" applyAlignment="1">
      <alignment vertical="center"/>
    </xf>
    <xf numFmtId="0" fontId="0" fillId="6" borderId="15" xfId="0" applyFill="1" applyBorder="1"/>
    <xf numFmtId="1" fontId="0" fillId="6" borderId="9" xfId="0" applyNumberFormat="1" applyFont="1" applyFill="1" applyBorder="1" applyAlignment="1">
      <alignment horizontal="center" vertical="center"/>
    </xf>
    <xf numFmtId="1" fontId="0" fillId="6" borderId="8" xfId="0" applyNumberFormat="1" applyFill="1" applyBorder="1" applyAlignment="1">
      <alignment horizontal="center" vertical="center"/>
    </xf>
    <xf numFmtId="0" fontId="0" fillId="6" borderId="8" xfId="0" applyFill="1" applyBorder="1"/>
    <xf numFmtId="0" fontId="2" fillId="6" borderId="9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left" vertical="center"/>
    </xf>
    <xf numFmtId="0" fontId="0" fillId="0" borderId="7" xfId="0" applyBorder="1"/>
    <xf numFmtId="1" fontId="7" fillId="2" borderId="7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16" fillId="11" borderId="9" xfId="0" applyFont="1" applyFill="1" applyBorder="1"/>
    <xf numFmtId="0" fontId="15" fillId="11" borderId="9" xfId="0" applyFont="1" applyFill="1" applyBorder="1"/>
    <xf numFmtId="1" fontId="0" fillId="6" borderId="9" xfId="0" applyNumberForma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 textRotation="90"/>
    </xf>
    <xf numFmtId="49" fontId="0" fillId="6" borderId="9" xfId="0" applyNumberFormat="1" applyFill="1" applyBorder="1" applyAlignment="1">
      <alignment vertical="center"/>
    </xf>
    <xf numFmtId="0" fontId="23" fillId="6" borderId="23" xfId="0" applyFont="1" applyFill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4" borderId="9" xfId="0" applyFill="1" applyBorder="1"/>
    <xf numFmtId="0" fontId="18" fillId="23" borderId="9" xfId="0" applyFont="1" applyFill="1" applyBorder="1"/>
    <xf numFmtId="0" fontId="22" fillId="6" borderId="0" xfId="0" applyFont="1" applyFill="1" applyBorder="1" applyAlignment="1"/>
    <xf numFmtId="0" fontId="0" fillId="0" borderId="0" xfId="0" applyBorder="1"/>
    <xf numFmtId="1" fontId="0" fillId="6" borderId="32" xfId="0" applyNumberFormat="1" applyFill="1" applyBorder="1" applyAlignment="1">
      <alignment horizontal="center" vertical="center"/>
    </xf>
    <xf numFmtId="1" fontId="7" fillId="4" borderId="9" xfId="0" applyNumberFormat="1" applyFont="1" applyFill="1" applyBorder="1" applyAlignment="1">
      <alignment horizontal="center" vertical="center"/>
    </xf>
    <xf numFmtId="0" fontId="18" fillId="16" borderId="38" xfId="0" applyFont="1" applyFill="1" applyBorder="1"/>
    <xf numFmtId="0" fontId="7" fillId="25" borderId="9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right" vertical="center"/>
    </xf>
    <xf numFmtId="0" fontId="6" fillId="26" borderId="9" xfId="0" applyFont="1" applyFill="1" applyBorder="1" applyAlignment="1">
      <alignment horizontal="center" vertical="center"/>
    </xf>
    <xf numFmtId="0" fontId="7" fillId="26" borderId="9" xfId="0" applyFont="1" applyFill="1" applyBorder="1" applyAlignment="1">
      <alignment horizontal="center" vertical="center"/>
    </xf>
    <xf numFmtId="0" fontId="6" fillId="26" borderId="13" xfId="0" applyFont="1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10" fillId="26" borderId="9" xfId="0" applyFont="1" applyFill="1" applyBorder="1" applyAlignment="1">
      <alignment horizontal="center" vertical="center"/>
    </xf>
    <xf numFmtId="1" fontId="0" fillId="26" borderId="9" xfId="0" applyNumberFormat="1" applyFill="1" applyBorder="1"/>
    <xf numFmtId="0" fontId="7" fillId="4" borderId="44" xfId="0" applyFont="1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7" fillId="26" borderId="14" xfId="0" applyFont="1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4" fillId="11" borderId="29" xfId="0" applyFont="1" applyFill="1" applyBorder="1" applyAlignment="1">
      <alignment vertical="center"/>
    </xf>
    <xf numFmtId="0" fontId="15" fillId="11" borderId="14" xfId="0" applyFont="1" applyFill="1" applyBorder="1"/>
    <xf numFmtId="1" fontId="0" fillId="8" borderId="9" xfId="0" applyNumberFormat="1" applyFill="1" applyBorder="1"/>
    <xf numFmtId="0" fontId="6" fillId="8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left" vertical="center"/>
    </xf>
    <xf numFmtId="0" fontId="15" fillId="11" borderId="29" xfId="0" applyFont="1" applyFill="1" applyBorder="1"/>
    <xf numFmtId="0" fontId="0" fillId="6" borderId="1" xfId="0" applyFill="1" applyBorder="1" applyAlignment="1">
      <alignment horizontal="center" vertical="center"/>
    </xf>
    <xf numFmtId="1" fontId="0" fillId="26" borderId="14" xfId="0" applyNumberFormat="1" applyFill="1" applyBorder="1" applyAlignment="1">
      <alignment horizontal="center" vertical="center"/>
    </xf>
    <xf numFmtId="1" fontId="0" fillId="8" borderId="9" xfId="0" applyNumberFormat="1" applyFill="1" applyBorder="1" applyAlignment="1">
      <alignment horizontal="center" vertical="center"/>
    </xf>
    <xf numFmtId="0" fontId="7" fillId="13" borderId="41" xfId="0" applyFont="1" applyFill="1" applyBorder="1"/>
    <xf numFmtId="0" fontId="7" fillId="13" borderId="0" xfId="0" applyFont="1" applyFill="1"/>
    <xf numFmtId="0" fontId="7" fillId="3" borderId="12" xfId="0" applyFont="1" applyFill="1" applyBorder="1"/>
    <xf numFmtId="0" fontId="18" fillId="9" borderId="9" xfId="0" applyFont="1" applyFill="1" applyBorder="1"/>
    <xf numFmtId="0" fontId="7" fillId="4" borderId="14" xfId="0" applyFont="1" applyFill="1" applyBorder="1"/>
    <xf numFmtId="0" fontId="19" fillId="12" borderId="9" xfId="0" applyFont="1" applyFill="1" applyBorder="1"/>
    <xf numFmtId="0" fontId="7" fillId="14" borderId="23" xfId="0" applyFont="1" applyFill="1" applyBorder="1"/>
    <xf numFmtId="0" fontId="7" fillId="14" borderId="0" xfId="0" applyFont="1" applyFill="1"/>
    <xf numFmtId="0" fontId="7" fillId="3" borderId="14" xfId="0" applyFont="1" applyFill="1" applyBorder="1"/>
    <xf numFmtId="0" fontId="7" fillId="15" borderId="23" xfId="0" applyFont="1" applyFill="1" applyBorder="1"/>
    <xf numFmtId="0" fontId="7" fillId="15" borderId="0" xfId="0" applyFont="1" applyFill="1"/>
    <xf numFmtId="0" fontId="7" fillId="18" borderId="23" xfId="0" applyFont="1" applyFill="1" applyBorder="1"/>
    <xf numFmtId="0" fontId="7" fillId="18" borderId="0" xfId="0" applyFont="1" applyFill="1"/>
    <xf numFmtId="0" fontId="7" fillId="13" borderId="43" xfId="0" applyFont="1" applyFill="1" applyBorder="1"/>
    <xf numFmtId="0" fontId="7" fillId="7" borderId="9" xfId="0" applyFont="1" applyFill="1" applyBorder="1"/>
    <xf numFmtId="0" fontId="7" fillId="14" borderId="34" xfId="0" applyFont="1" applyFill="1" applyBorder="1"/>
    <xf numFmtId="0" fontId="7" fillId="15" borderId="34" xfId="0" applyFont="1" applyFill="1" applyBorder="1"/>
    <xf numFmtId="0" fontId="7" fillId="18" borderId="34" xfId="0" applyFont="1" applyFill="1" applyBorder="1"/>
    <xf numFmtId="0" fontId="7" fillId="13" borderId="9" xfId="0" applyFont="1" applyFill="1" applyBorder="1"/>
    <xf numFmtId="0" fontId="7" fillId="14" borderId="9" xfId="0" applyFont="1" applyFill="1" applyBorder="1"/>
    <xf numFmtId="0" fontId="7" fillId="15" borderId="9" xfId="0" applyFont="1" applyFill="1" applyBorder="1"/>
    <xf numFmtId="0" fontId="7" fillId="18" borderId="9" xfId="0" applyFont="1" applyFill="1" applyBorder="1"/>
    <xf numFmtId="1" fontId="0" fillId="6" borderId="14" xfId="0" applyNumberForma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9" xfId="0" applyBorder="1"/>
    <xf numFmtId="0" fontId="7" fillId="2" borderId="9" xfId="0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/>
    </xf>
    <xf numFmtId="1" fontId="7" fillId="7" borderId="8" xfId="0" applyNumberFormat="1" applyFont="1" applyFill="1" applyBorder="1" applyAlignment="1">
      <alignment horizontal="center" vertical="center"/>
    </xf>
    <xf numFmtId="0" fontId="0" fillId="11" borderId="0" xfId="0" applyFill="1"/>
    <xf numFmtId="0" fontId="0" fillId="5" borderId="6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/>
    <xf numFmtId="0" fontId="7" fillId="4" borderId="19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1" fontId="7" fillId="2" borderId="9" xfId="0" applyNumberFormat="1" applyFont="1" applyFill="1" applyBorder="1" applyAlignment="1">
      <alignment horizontal="center" vertical="center"/>
    </xf>
    <xf numFmtId="0" fontId="0" fillId="6" borderId="9" xfId="0" applyFill="1" applyBorder="1"/>
    <xf numFmtId="0" fontId="4" fillId="4" borderId="25" xfId="0" applyFont="1" applyFill="1" applyBorder="1" applyAlignment="1">
      <alignment horizontal="center" vertical="center"/>
    </xf>
    <xf numFmtId="1" fontId="0" fillId="4" borderId="9" xfId="0" applyNumberFormat="1" applyFill="1" applyBorder="1"/>
    <xf numFmtId="0" fontId="0" fillId="5" borderId="6" xfId="0" applyFill="1" applyBorder="1"/>
    <xf numFmtId="0" fontId="0" fillId="4" borderId="9" xfId="0" applyFill="1" applyBorder="1"/>
    <xf numFmtId="0" fontId="0" fillId="11" borderId="9" xfId="0" applyFill="1" applyBorder="1"/>
    <xf numFmtId="0" fontId="11" fillId="7" borderId="2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1" fontId="0" fillId="5" borderId="32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" fontId="11" fillId="7" borderId="9" xfId="0" applyNumberFormat="1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1" fontId="0" fillId="6" borderId="8" xfId="0" applyNumberFormat="1" applyFill="1" applyBorder="1" applyAlignment="1">
      <alignment horizontal="center" vertical="center"/>
    </xf>
    <xf numFmtId="0" fontId="0" fillId="6" borderId="8" xfId="0" applyFill="1" applyBorder="1"/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6" fillId="11" borderId="9" xfId="0" applyFont="1" applyFill="1" applyBorder="1"/>
    <xf numFmtId="0" fontId="15" fillId="11" borderId="9" xfId="0" applyFont="1" applyFill="1" applyBorder="1"/>
    <xf numFmtId="1" fontId="0" fillId="6" borderId="9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" fontId="7" fillId="4" borderId="9" xfId="0" applyNumberFormat="1" applyFont="1" applyFill="1" applyBorder="1" applyAlignment="1">
      <alignment horizontal="center" vertical="center"/>
    </xf>
    <xf numFmtId="0" fontId="7" fillId="26" borderId="9" xfId="0" applyFont="1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1" fontId="0" fillId="26" borderId="9" xfId="0" applyNumberFormat="1" applyFill="1" applyBorder="1"/>
    <xf numFmtId="0" fontId="7" fillId="4" borderId="44" xfId="0" applyFont="1" applyFill="1" applyBorder="1" applyAlignment="1">
      <alignment horizontal="center" vertical="center"/>
    </xf>
    <xf numFmtId="0" fontId="7" fillId="26" borderId="14" xfId="0" applyFont="1" applyFill="1" applyBorder="1" applyAlignment="1">
      <alignment horizontal="center" vertical="center"/>
    </xf>
    <xf numFmtId="0" fontId="15" fillId="11" borderId="14" xfId="0" applyFont="1" applyFill="1" applyBorder="1"/>
    <xf numFmtId="0" fontId="15" fillId="11" borderId="29" xfId="0" applyFont="1" applyFill="1" applyBorder="1"/>
    <xf numFmtId="1" fontId="0" fillId="26" borderId="14" xfId="0" applyNumberFormat="1" applyFill="1" applyBorder="1" applyAlignment="1">
      <alignment horizontal="center" vertical="center"/>
    </xf>
    <xf numFmtId="1" fontId="0" fillId="8" borderId="9" xfId="0" applyNumberFormat="1" applyFill="1" applyBorder="1" applyAlignment="1">
      <alignment horizontal="center" vertical="center"/>
    </xf>
    <xf numFmtId="1" fontId="7" fillId="6" borderId="8" xfId="0" applyNumberFormat="1" applyFont="1" applyFill="1" applyBorder="1" applyAlignment="1">
      <alignment horizontal="center" vertical="center"/>
    </xf>
    <xf numFmtId="1" fontId="7" fillId="6" borderId="10" xfId="0" applyNumberFormat="1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0" fillId="6" borderId="6" xfId="0" applyFill="1" applyBorder="1"/>
    <xf numFmtId="0" fontId="18" fillId="16" borderId="45" xfId="0" applyFont="1" applyFill="1" applyBorder="1"/>
    <xf numFmtId="0" fontId="18" fillId="16" borderId="46" xfId="0" applyFont="1" applyFill="1" applyBorder="1"/>
    <xf numFmtId="0" fontId="18" fillId="17" borderId="45" xfId="0" applyFont="1" applyFill="1" applyBorder="1" applyAlignment="1">
      <alignment horizontal="right"/>
    </xf>
    <xf numFmtId="0" fontId="18" fillId="27" borderId="0" xfId="0" applyFont="1" applyFill="1" applyBorder="1"/>
    <xf numFmtId="0" fontId="7" fillId="6" borderId="0" xfId="0" applyFont="1" applyFill="1" applyBorder="1" applyAlignment="1">
      <alignment horizontal="center" vertical="center"/>
    </xf>
    <xf numFmtId="0" fontId="18" fillId="22" borderId="0" xfId="0" applyFont="1" applyFill="1" applyBorder="1" applyAlignment="1">
      <alignment horizontal="right"/>
    </xf>
    <xf numFmtId="0" fontId="7" fillId="22" borderId="0" xfId="0" applyFont="1" applyFill="1" applyBorder="1" applyAlignment="1">
      <alignment horizontal="right"/>
    </xf>
    <xf numFmtId="0" fontId="20" fillId="22" borderId="0" xfId="0" applyFont="1" applyFill="1" applyBorder="1" applyAlignment="1">
      <alignment horizontal="right"/>
    </xf>
    <xf numFmtId="0" fontId="0" fillId="6" borderId="27" xfId="0" applyFill="1" applyBorder="1"/>
    <xf numFmtId="0" fontId="8" fillId="6" borderId="0" xfId="0" applyFont="1" applyFill="1" applyAlignment="1">
      <alignment horizontal="center"/>
    </xf>
    <xf numFmtId="0" fontId="7" fillId="3" borderId="9" xfId="0" applyFont="1" applyFill="1" applyBorder="1"/>
    <xf numFmtId="0" fontId="7" fillId="22" borderId="9" xfId="0" applyFont="1" applyFill="1" applyBorder="1" applyAlignment="1">
      <alignment horizontal="right"/>
    </xf>
    <xf numFmtId="0" fontId="7" fillId="4" borderId="9" xfId="0" applyFont="1" applyFill="1" applyBorder="1"/>
    <xf numFmtId="0" fontId="18" fillId="16" borderId="9" xfId="0" applyFont="1" applyFill="1" applyBorder="1"/>
    <xf numFmtId="0" fontId="18" fillId="17" borderId="9" xfId="0" applyFont="1" applyFill="1" applyBorder="1" applyAlignment="1">
      <alignment horizontal="right"/>
    </xf>
    <xf numFmtId="0" fontId="7" fillId="17" borderId="9" xfId="0" applyFont="1" applyFill="1" applyBorder="1" applyAlignment="1">
      <alignment horizontal="right"/>
    </xf>
    <xf numFmtId="1" fontId="11" fillId="7" borderId="29" xfId="0" applyNumberFormat="1" applyFont="1" applyFill="1" applyBorder="1" applyAlignment="1">
      <alignment horizontal="center" vertical="center"/>
    </xf>
    <xf numFmtId="1" fontId="7" fillId="26" borderId="9" xfId="0" applyNumberFormat="1" applyFont="1" applyFill="1" applyBorder="1" applyAlignment="1">
      <alignment horizontal="center" vertical="center"/>
    </xf>
    <xf numFmtId="1" fontId="0" fillId="26" borderId="9" xfId="0" applyNumberFormat="1" applyFill="1" applyBorder="1" applyAlignment="1">
      <alignment horizontal="center" vertical="center"/>
    </xf>
    <xf numFmtId="1" fontId="0" fillId="26" borderId="29" xfId="0" applyNumberFormat="1" applyFill="1" applyBorder="1" applyAlignment="1">
      <alignment horizontal="center" vertical="center"/>
    </xf>
    <xf numFmtId="1" fontId="0" fillId="0" borderId="0" xfId="0" applyNumberFormat="1"/>
    <xf numFmtId="1" fontId="0" fillId="6" borderId="0" xfId="0" applyNumberFormat="1" applyFill="1"/>
    <xf numFmtId="1" fontId="7" fillId="6" borderId="9" xfId="0" applyNumberFormat="1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right" vertical="center"/>
    </xf>
    <xf numFmtId="1" fontId="0" fillId="5" borderId="8" xfId="0" applyNumberFormat="1" applyFill="1" applyBorder="1"/>
    <xf numFmtId="0" fontId="0" fillId="21" borderId="34" xfId="0" applyFill="1" applyBorder="1" applyAlignment="1">
      <alignment horizontal="center"/>
    </xf>
    <xf numFmtId="0" fontId="0" fillId="21" borderId="26" xfId="0" applyFill="1" applyBorder="1" applyAlignment="1">
      <alignment horizontal="center"/>
    </xf>
    <xf numFmtId="0" fontId="0" fillId="21" borderId="35" xfId="0" applyFill="1" applyBorder="1" applyAlignment="1">
      <alignment horizontal="center"/>
    </xf>
  </cellXfs>
  <cellStyles count="1">
    <cellStyle name="Normal" xfId="0" builtinId="0"/>
  </cellStyles>
  <dxfs count="24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114300</xdr:colOff>
          <xdr:row>21</xdr:row>
          <xdr:rowOff>47625</xdr:rowOff>
        </xdr:from>
        <xdr:to>
          <xdr:col>32</xdr:col>
          <xdr:colOff>590550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ExporterS2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V123"/>
  <sheetViews>
    <sheetView zoomScale="62" zoomScaleNormal="62" workbookViewId="0">
      <selection activeCell="AE43" sqref="AE43"/>
    </sheetView>
  </sheetViews>
  <sheetFormatPr baseColWidth="10" defaultColWidth="11.42578125" defaultRowHeight="15" x14ac:dyDescent="0.25"/>
  <cols>
    <col min="3" max="27" width="8.42578125" customWidth="1"/>
    <col min="28" max="28" width="10.140625" style="233" customWidth="1"/>
    <col min="29" max="29" width="7.42578125" style="233" customWidth="1"/>
    <col min="31" max="31" width="9" customWidth="1"/>
    <col min="33" max="47" width="11.42578125" style="234"/>
  </cols>
  <sheetData>
    <row r="1" spans="1:32" ht="19.5" thickBot="1" x14ac:dyDescent="0.35">
      <c r="A1" s="139" t="s">
        <v>40</v>
      </c>
      <c r="B1" s="161"/>
      <c r="C1" s="24"/>
      <c r="D1" s="88" t="str">
        <f>D5</f>
        <v>S2</v>
      </c>
      <c r="E1" s="234"/>
      <c r="F1" s="234">
        <f ca="1">MROUND(RANDBETWEEN(0,200),10)</f>
        <v>70</v>
      </c>
      <c r="G1" s="234">
        <f ca="1">MROUND(RANDBETWEEN(0,200),10)</f>
        <v>10</v>
      </c>
      <c r="H1" s="234">
        <f t="shared" ref="H1:Y1" ca="1" si="0">MROUND(RANDBETWEEN(0,200),10)</f>
        <v>30</v>
      </c>
      <c r="I1" s="234">
        <f t="shared" ca="1" si="0"/>
        <v>120</v>
      </c>
      <c r="J1" s="234">
        <f t="shared" ca="1" si="0"/>
        <v>80</v>
      </c>
      <c r="K1" s="234">
        <f t="shared" ca="1" si="0"/>
        <v>90</v>
      </c>
      <c r="L1" s="234">
        <f ca="1">MROUND(RANDBETWEEN(0,200),10)</f>
        <v>60</v>
      </c>
      <c r="M1" s="234">
        <f t="shared" ca="1" si="0"/>
        <v>150</v>
      </c>
      <c r="N1" s="234">
        <f t="shared" ca="1" si="0"/>
        <v>70</v>
      </c>
      <c r="O1" s="234">
        <f ca="1">MROUND(RANDBETWEEN(0,200),10)</f>
        <v>20</v>
      </c>
      <c r="P1" s="234">
        <f ca="1">MROUND(RANDBETWEEN(0,200),10)</f>
        <v>50</v>
      </c>
      <c r="Q1" s="234">
        <f t="shared" ca="1" si="0"/>
        <v>140</v>
      </c>
      <c r="R1" s="234">
        <f t="shared" ca="1" si="0"/>
        <v>200</v>
      </c>
      <c r="S1" s="234">
        <f t="shared" ca="1" si="0"/>
        <v>160</v>
      </c>
      <c r="T1" s="234">
        <f t="shared" ca="1" si="0"/>
        <v>200</v>
      </c>
      <c r="U1" s="234">
        <f t="shared" ca="1" si="0"/>
        <v>70</v>
      </c>
      <c r="V1" s="234">
        <f t="shared" ca="1" si="0"/>
        <v>80</v>
      </c>
      <c r="W1" s="234">
        <f t="shared" ca="1" si="0"/>
        <v>90</v>
      </c>
      <c r="X1" s="234">
        <f t="shared" ca="1" si="0"/>
        <v>160</v>
      </c>
      <c r="Y1" s="234">
        <f t="shared" ca="1" si="0"/>
        <v>180</v>
      </c>
      <c r="Z1" s="234"/>
      <c r="AA1" s="234"/>
    </row>
    <row r="2" spans="1:32" s="234" customFormat="1" ht="15.75" thickBot="1" x14ac:dyDescent="0.3">
      <c r="AB2" s="233"/>
      <c r="AC2" s="233"/>
    </row>
    <row r="3" spans="1:32" ht="15.75" thickBot="1" x14ac:dyDescent="0.3">
      <c r="A3" s="301" t="s">
        <v>67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3"/>
      <c r="AD3" s="301" t="s">
        <v>112</v>
      </c>
      <c r="AE3" s="302"/>
      <c r="AF3" s="303"/>
    </row>
    <row r="4" spans="1:32" s="234" customFormat="1" x14ac:dyDescent="0.25">
      <c r="A4" s="284"/>
      <c r="B4" s="233"/>
      <c r="AB4" s="233"/>
      <c r="AC4" s="233"/>
    </row>
    <row r="5" spans="1:32" x14ac:dyDescent="0.25">
      <c r="A5" s="5" t="s">
        <v>68</v>
      </c>
      <c r="B5" s="5"/>
      <c r="C5" s="5" t="s">
        <v>32</v>
      </c>
      <c r="D5" s="81" t="s">
        <v>0</v>
      </c>
      <c r="E5" s="165" t="s">
        <v>1</v>
      </c>
      <c r="F5" s="165" t="s">
        <v>2</v>
      </c>
      <c r="G5" s="165" t="s">
        <v>3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12</v>
      </c>
      <c r="Q5" s="165" t="s">
        <v>13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18</v>
      </c>
      <c r="W5" s="165" t="s">
        <v>19</v>
      </c>
      <c r="X5" s="165" t="s">
        <v>20</v>
      </c>
      <c r="Y5" s="165" t="s">
        <v>21</v>
      </c>
      <c r="Z5" s="276" t="s">
        <v>22</v>
      </c>
      <c r="AA5" s="289" t="s">
        <v>23</v>
      </c>
      <c r="AB5" s="279"/>
      <c r="AC5" s="279"/>
      <c r="AD5" s="160" t="s">
        <v>107</v>
      </c>
      <c r="AE5" s="159" t="s">
        <v>32</v>
      </c>
      <c r="AF5" s="160" t="s">
        <v>106</v>
      </c>
    </row>
    <row r="6" spans="1:32" ht="15.75" thickBot="1" x14ac:dyDescent="0.3">
      <c r="A6" s="187" t="s">
        <v>33</v>
      </c>
      <c r="B6" s="188">
        <v>10</v>
      </c>
      <c r="C6" s="189" t="s">
        <v>29</v>
      </c>
      <c r="D6" s="166">
        <v>10</v>
      </c>
      <c r="E6" s="166">
        <v>60</v>
      </c>
      <c r="F6" s="166">
        <v>200</v>
      </c>
      <c r="G6" s="166">
        <v>80</v>
      </c>
      <c r="H6" s="166">
        <v>70</v>
      </c>
      <c r="I6" s="166">
        <v>150</v>
      </c>
      <c r="J6" s="166">
        <v>130</v>
      </c>
      <c r="K6" s="166">
        <v>200</v>
      </c>
      <c r="L6" s="166">
        <v>70</v>
      </c>
      <c r="M6" s="166">
        <v>160</v>
      </c>
      <c r="N6" s="166">
        <v>170</v>
      </c>
      <c r="O6" s="166">
        <v>130</v>
      </c>
      <c r="P6" s="166">
        <v>30</v>
      </c>
      <c r="Q6" s="166">
        <v>120</v>
      </c>
      <c r="R6" s="166">
        <v>40</v>
      </c>
      <c r="S6" s="166">
        <v>150</v>
      </c>
      <c r="T6" s="166">
        <v>150</v>
      </c>
      <c r="U6" s="166">
        <v>20</v>
      </c>
      <c r="V6" s="166">
        <v>170</v>
      </c>
      <c r="W6" s="166">
        <v>40</v>
      </c>
      <c r="X6" s="166">
        <v>130</v>
      </c>
      <c r="Y6" s="166">
        <v>100</v>
      </c>
      <c r="Z6" s="166">
        <v>190</v>
      </c>
      <c r="AA6" s="166">
        <v>40</v>
      </c>
      <c r="AB6" s="280">
        <f>AVERAGE(D6:AA6)*2</f>
        <v>217.5</v>
      </c>
      <c r="AC6" s="280"/>
      <c r="AD6" s="205" t="s">
        <v>33</v>
      </c>
      <c r="AE6" s="286" t="s">
        <v>29</v>
      </c>
      <c r="AF6" s="287">
        <v>0</v>
      </c>
    </row>
    <row r="7" spans="1:32" x14ac:dyDescent="0.25">
      <c r="B7">
        <v>200</v>
      </c>
      <c r="C7" s="190" t="s">
        <v>30</v>
      </c>
      <c r="D7" s="166">
        <v>110</v>
      </c>
      <c r="E7" s="166">
        <v>50</v>
      </c>
      <c r="F7" s="166">
        <v>110</v>
      </c>
      <c r="G7" s="166">
        <v>50</v>
      </c>
      <c r="H7" s="166">
        <v>20</v>
      </c>
      <c r="I7" s="166">
        <v>130</v>
      </c>
      <c r="J7" s="166">
        <v>170</v>
      </c>
      <c r="K7" s="166">
        <v>180</v>
      </c>
      <c r="L7" s="166">
        <v>180</v>
      </c>
      <c r="M7" s="166">
        <v>10</v>
      </c>
      <c r="N7" s="166">
        <v>100</v>
      </c>
      <c r="O7" s="166">
        <v>200</v>
      </c>
      <c r="P7" s="166">
        <v>30</v>
      </c>
      <c r="Q7" s="166">
        <v>200</v>
      </c>
      <c r="R7" s="166">
        <v>50</v>
      </c>
      <c r="S7" s="166">
        <v>40</v>
      </c>
      <c r="T7" s="166">
        <v>40</v>
      </c>
      <c r="U7" s="166">
        <v>10</v>
      </c>
      <c r="V7" s="166">
        <v>40</v>
      </c>
      <c r="W7" s="166">
        <v>100</v>
      </c>
      <c r="X7" s="166">
        <v>150</v>
      </c>
      <c r="Y7" s="166">
        <v>100</v>
      </c>
      <c r="Z7" s="166">
        <v>110</v>
      </c>
      <c r="AA7" s="166">
        <v>40</v>
      </c>
      <c r="AB7" s="280">
        <f t="shared" ref="AB7:AB15" si="1">AVERAGE(D7:AA7)*2</f>
        <v>185</v>
      </c>
      <c r="AC7" s="280"/>
      <c r="AD7" s="205" t="s">
        <v>33</v>
      </c>
      <c r="AE7" s="190" t="s">
        <v>30</v>
      </c>
      <c r="AF7" s="287">
        <v>0</v>
      </c>
    </row>
    <row r="8" spans="1:32" x14ac:dyDescent="0.25">
      <c r="A8" t="s">
        <v>129</v>
      </c>
      <c r="B8">
        <v>200</v>
      </c>
      <c r="C8" s="191" t="s">
        <v>31</v>
      </c>
      <c r="D8" s="166">
        <v>170</v>
      </c>
      <c r="E8" s="166">
        <v>170</v>
      </c>
      <c r="F8" s="166">
        <v>110</v>
      </c>
      <c r="G8" s="166">
        <v>110</v>
      </c>
      <c r="H8" s="166">
        <v>150</v>
      </c>
      <c r="I8" s="166">
        <v>180</v>
      </c>
      <c r="J8" s="166">
        <v>80</v>
      </c>
      <c r="K8" s="166">
        <v>120</v>
      </c>
      <c r="L8" s="166">
        <v>20</v>
      </c>
      <c r="M8" s="166">
        <v>20</v>
      </c>
      <c r="N8" s="166">
        <v>50</v>
      </c>
      <c r="O8" s="166">
        <v>120</v>
      </c>
      <c r="P8" s="166">
        <v>150</v>
      </c>
      <c r="Q8" s="166">
        <v>140</v>
      </c>
      <c r="R8" s="166">
        <v>160</v>
      </c>
      <c r="S8" s="166">
        <v>30</v>
      </c>
      <c r="T8" s="166">
        <v>30</v>
      </c>
      <c r="U8" s="166">
        <v>0</v>
      </c>
      <c r="V8" s="166">
        <v>110</v>
      </c>
      <c r="W8" s="166">
        <v>80</v>
      </c>
      <c r="X8" s="166">
        <v>180</v>
      </c>
      <c r="Y8" s="166">
        <v>170</v>
      </c>
      <c r="Z8" s="166">
        <v>20</v>
      </c>
      <c r="AA8" s="166">
        <v>30</v>
      </c>
      <c r="AB8" s="280">
        <f t="shared" si="1"/>
        <v>200</v>
      </c>
      <c r="AC8" s="280"/>
      <c r="AD8" s="205" t="s">
        <v>33</v>
      </c>
      <c r="AE8" s="288" t="s">
        <v>31</v>
      </c>
      <c r="AF8" s="287">
        <v>0</v>
      </c>
    </row>
    <row r="9" spans="1:32" ht="15.75" thickBot="1" x14ac:dyDescent="0.3">
      <c r="C9" s="192" t="s">
        <v>44</v>
      </c>
      <c r="D9" s="166">
        <v>160</v>
      </c>
      <c r="E9" s="166">
        <v>60</v>
      </c>
      <c r="F9" s="166">
        <v>80</v>
      </c>
      <c r="G9" s="166">
        <v>10</v>
      </c>
      <c r="H9" s="166">
        <v>160</v>
      </c>
      <c r="I9" s="166">
        <v>80</v>
      </c>
      <c r="J9" s="166">
        <v>40</v>
      </c>
      <c r="K9" s="166">
        <v>120</v>
      </c>
      <c r="L9" s="166">
        <v>170</v>
      </c>
      <c r="M9" s="166">
        <v>80</v>
      </c>
      <c r="N9" s="166">
        <v>150</v>
      </c>
      <c r="O9" s="166">
        <v>40</v>
      </c>
      <c r="P9" s="166">
        <v>40</v>
      </c>
      <c r="Q9" s="166">
        <v>70</v>
      </c>
      <c r="R9" s="166">
        <v>120</v>
      </c>
      <c r="S9" s="166">
        <v>170</v>
      </c>
      <c r="T9" s="166">
        <v>170</v>
      </c>
      <c r="U9" s="166">
        <v>180</v>
      </c>
      <c r="V9" s="166">
        <v>10</v>
      </c>
      <c r="W9" s="166">
        <v>130</v>
      </c>
      <c r="X9" s="166">
        <v>10</v>
      </c>
      <c r="Y9" s="166">
        <v>190</v>
      </c>
      <c r="Z9" s="166">
        <v>110</v>
      </c>
      <c r="AA9" s="166">
        <v>100</v>
      </c>
      <c r="AB9" s="280">
        <f t="shared" si="1"/>
        <v>204.16666666666666</v>
      </c>
      <c r="AC9" s="280"/>
      <c r="AD9" s="205" t="s">
        <v>33</v>
      </c>
      <c r="AE9" s="192" t="s">
        <v>44</v>
      </c>
      <c r="AF9" s="287">
        <v>0</v>
      </c>
    </row>
    <row r="10" spans="1:32" ht="15.75" thickBot="1" x14ac:dyDescent="0.3">
      <c r="A10" s="193" t="s">
        <v>35</v>
      </c>
      <c r="B10" s="194">
        <v>10</v>
      </c>
      <c r="C10" s="195" t="s">
        <v>29</v>
      </c>
      <c r="D10" s="166">
        <v>80</v>
      </c>
      <c r="E10" s="166">
        <v>110</v>
      </c>
      <c r="F10" s="166">
        <v>10</v>
      </c>
      <c r="G10" s="166">
        <v>90</v>
      </c>
      <c r="H10" s="166">
        <v>10</v>
      </c>
      <c r="I10" s="166">
        <v>40</v>
      </c>
      <c r="J10" s="166">
        <v>0</v>
      </c>
      <c r="K10" s="166">
        <v>150</v>
      </c>
      <c r="L10" s="166">
        <v>0</v>
      </c>
      <c r="M10" s="166">
        <v>140</v>
      </c>
      <c r="N10" s="166">
        <v>140</v>
      </c>
      <c r="O10" s="166">
        <v>110</v>
      </c>
      <c r="P10" s="166">
        <v>80</v>
      </c>
      <c r="Q10" s="166">
        <v>60</v>
      </c>
      <c r="R10" s="166">
        <v>50</v>
      </c>
      <c r="S10" s="166">
        <v>30</v>
      </c>
      <c r="T10" s="166">
        <v>100</v>
      </c>
      <c r="U10" s="166">
        <v>50</v>
      </c>
      <c r="V10" s="166">
        <v>150</v>
      </c>
      <c r="W10" s="166">
        <v>130</v>
      </c>
      <c r="X10" s="166">
        <v>170</v>
      </c>
      <c r="Y10" s="166">
        <v>20</v>
      </c>
      <c r="Z10" s="166">
        <v>20</v>
      </c>
      <c r="AA10" s="166">
        <v>20</v>
      </c>
      <c r="AB10" s="280">
        <f t="shared" si="1"/>
        <v>146.66666666666666</v>
      </c>
      <c r="AC10" s="280"/>
      <c r="AD10" s="206" t="s">
        <v>35</v>
      </c>
      <c r="AE10" s="286" t="s">
        <v>29</v>
      </c>
      <c r="AF10" s="287">
        <v>0</v>
      </c>
    </row>
    <row r="11" spans="1:32" ht="15.75" thickBot="1" x14ac:dyDescent="0.3">
      <c r="A11" t="s">
        <v>130</v>
      </c>
      <c r="B11">
        <v>200</v>
      </c>
      <c r="C11" s="190" t="s">
        <v>30</v>
      </c>
      <c r="D11" s="166">
        <v>40</v>
      </c>
      <c r="E11" s="166">
        <v>140</v>
      </c>
      <c r="F11" s="166">
        <v>20</v>
      </c>
      <c r="G11" s="166">
        <v>170</v>
      </c>
      <c r="H11" s="166">
        <v>0</v>
      </c>
      <c r="I11" s="166">
        <v>60</v>
      </c>
      <c r="J11" s="166">
        <v>20</v>
      </c>
      <c r="K11" s="166">
        <v>170</v>
      </c>
      <c r="L11" s="166">
        <v>40</v>
      </c>
      <c r="M11" s="166">
        <v>80</v>
      </c>
      <c r="N11" s="166">
        <v>130</v>
      </c>
      <c r="O11" s="166">
        <v>140</v>
      </c>
      <c r="P11" s="166">
        <v>30</v>
      </c>
      <c r="Q11" s="166">
        <v>70</v>
      </c>
      <c r="R11" s="166">
        <v>120</v>
      </c>
      <c r="S11" s="166">
        <v>140</v>
      </c>
      <c r="T11" s="166">
        <v>10</v>
      </c>
      <c r="U11" s="166">
        <v>110</v>
      </c>
      <c r="V11" s="166">
        <v>30</v>
      </c>
      <c r="W11" s="166">
        <v>30</v>
      </c>
      <c r="X11" s="166">
        <v>60</v>
      </c>
      <c r="Y11" s="166">
        <v>100</v>
      </c>
      <c r="Z11" s="166">
        <v>100</v>
      </c>
      <c r="AA11" s="166">
        <v>140</v>
      </c>
      <c r="AB11" s="280">
        <f t="shared" si="1"/>
        <v>162.5</v>
      </c>
      <c r="AC11" s="280"/>
      <c r="AD11" s="206" t="s">
        <v>35</v>
      </c>
      <c r="AE11" s="190" t="s">
        <v>30</v>
      </c>
      <c r="AF11" s="287">
        <v>0</v>
      </c>
    </row>
    <row r="12" spans="1:32" ht="15.75" thickBot="1" x14ac:dyDescent="0.3">
      <c r="A12" s="196" t="s">
        <v>36</v>
      </c>
      <c r="B12" s="197">
        <v>50</v>
      </c>
      <c r="C12" s="195" t="s">
        <v>29</v>
      </c>
      <c r="D12" s="166">
        <v>50</v>
      </c>
      <c r="E12" s="166">
        <v>100</v>
      </c>
      <c r="F12" s="166">
        <v>150</v>
      </c>
      <c r="G12" s="166">
        <v>200</v>
      </c>
      <c r="H12" s="166">
        <v>200</v>
      </c>
      <c r="I12" s="166">
        <v>50</v>
      </c>
      <c r="J12" s="166">
        <v>150</v>
      </c>
      <c r="K12" s="166">
        <v>250</v>
      </c>
      <c r="L12" s="166">
        <v>100</v>
      </c>
      <c r="M12" s="166">
        <v>50</v>
      </c>
      <c r="N12" s="166">
        <v>250</v>
      </c>
      <c r="O12" s="166">
        <v>200</v>
      </c>
      <c r="P12" s="166">
        <v>50</v>
      </c>
      <c r="Q12" s="166">
        <v>250</v>
      </c>
      <c r="R12" s="166">
        <v>200</v>
      </c>
      <c r="S12" s="166">
        <v>250</v>
      </c>
      <c r="T12" s="166">
        <v>250</v>
      </c>
      <c r="U12" s="166">
        <v>150</v>
      </c>
      <c r="V12" s="166">
        <v>250</v>
      </c>
      <c r="W12" s="166">
        <v>150</v>
      </c>
      <c r="X12" s="166">
        <v>300</v>
      </c>
      <c r="Y12" s="166">
        <v>100</v>
      </c>
      <c r="Z12" s="166">
        <v>200</v>
      </c>
      <c r="AA12" s="166">
        <v>100</v>
      </c>
      <c r="AB12" s="280">
        <f t="shared" si="1"/>
        <v>333.33333333333331</v>
      </c>
      <c r="AC12" s="280"/>
      <c r="AD12" s="207" t="s">
        <v>36</v>
      </c>
      <c r="AE12" s="286" t="s">
        <v>29</v>
      </c>
      <c r="AF12" s="287">
        <v>0</v>
      </c>
    </row>
    <row r="13" spans="1:32" ht="15.75" thickBot="1" x14ac:dyDescent="0.3">
      <c r="A13" t="s">
        <v>131</v>
      </c>
      <c r="B13">
        <v>300</v>
      </c>
      <c r="C13" s="191" t="s">
        <v>31</v>
      </c>
      <c r="D13" s="166">
        <v>150</v>
      </c>
      <c r="E13" s="166">
        <v>100</v>
      </c>
      <c r="F13" s="166">
        <v>150</v>
      </c>
      <c r="G13" s="166">
        <v>150</v>
      </c>
      <c r="H13" s="166">
        <v>200</v>
      </c>
      <c r="I13" s="166">
        <v>100</v>
      </c>
      <c r="J13" s="166">
        <v>150</v>
      </c>
      <c r="K13" s="166">
        <v>150</v>
      </c>
      <c r="L13" s="166">
        <v>300</v>
      </c>
      <c r="M13" s="166">
        <v>150</v>
      </c>
      <c r="N13" s="166">
        <v>150</v>
      </c>
      <c r="O13" s="166">
        <v>100</v>
      </c>
      <c r="P13" s="166">
        <v>50</v>
      </c>
      <c r="Q13" s="166">
        <v>100</v>
      </c>
      <c r="R13" s="166">
        <v>150</v>
      </c>
      <c r="S13" s="166">
        <v>150</v>
      </c>
      <c r="T13" s="166">
        <v>100</v>
      </c>
      <c r="U13" s="166">
        <v>50</v>
      </c>
      <c r="V13" s="166">
        <v>250</v>
      </c>
      <c r="W13" s="166">
        <v>150</v>
      </c>
      <c r="X13" s="166">
        <v>250</v>
      </c>
      <c r="Y13" s="166">
        <v>200</v>
      </c>
      <c r="Z13" s="166">
        <v>100</v>
      </c>
      <c r="AA13" s="166">
        <v>50</v>
      </c>
      <c r="AB13" s="280">
        <f t="shared" si="1"/>
        <v>287.5</v>
      </c>
      <c r="AC13" s="280"/>
      <c r="AD13" s="207" t="s">
        <v>36</v>
      </c>
      <c r="AE13" s="288" t="s">
        <v>31</v>
      </c>
      <c r="AF13" s="287">
        <v>0</v>
      </c>
    </row>
    <row r="14" spans="1:32" ht="15.75" thickBot="1" x14ac:dyDescent="0.3">
      <c r="A14" s="198" t="s">
        <v>34</v>
      </c>
      <c r="B14" s="199">
        <v>100</v>
      </c>
      <c r="C14" s="195" t="s">
        <v>29</v>
      </c>
      <c r="D14" s="166">
        <v>10</v>
      </c>
      <c r="E14" s="166">
        <v>80</v>
      </c>
      <c r="F14" s="166">
        <v>20</v>
      </c>
      <c r="G14" s="166">
        <v>60</v>
      </c>
      <c r="H14" s="166">
        <v>40</v>
      </c>
      <c r="I14" s="166">
        <v>60</v>
      </c>
      <c r="J14" s="166">
        <v>80</v>
      </c>
      <c r="K14" s="166">
        <v>50</v>
      </c>
      <c r="L14" s="166">
        <v>10</v>
      </c>
      <c r="M14" s="166">
        <v>60</v>
      </c>
      <c r="N14" s="166">
        <v>100</v>
      </c>
      <c r="O14" s="166">
        <v>80</v>
      </c>
      <c r="P14" s="166">
        <v>50</v>
      </c>
      <c r="Q14" s="166">
        <v>60</v>
      </c>
      <c r="R14" s="166">
        <v>70</v>
      </c>
      <c r="S14" s="166">
        <v>10</v>
      </c>
      <c r="T14" s="166">
        <v>0</v>
      </c>
      <c r="U14" s="166">
        <v>20</v>
      </c>
      <c r="V14" s="166">
        <v>60</v>
      </c>
      <c r="W14" s="166">
        <v>90</v>
      </c>
      <c r="X14" s="166">
        <v>40</v>
      </c>
      <c r="Y14" s="166">
        <v>20</v>
      </c>
      <c r="Z14" s="166">
        <v>90</v>
      </c>
      <c r="AA14" s="166">
        <v>50</v>
      </c>
      <c r="AB14" s="280">
        <f t="shared" si="1"/>
        <v>100.83333333333333</v>
      </c>
      <c r="AC14" s="280"/>
      <c r="AD14" s="208" t="s">
        <v>34</v>
      </c>
      <c r="AE14" s="286" t="s">
        <v>29</v>
      </c>
      <c r="AF14" s="287">
        <v>0</v>
      </c>
    </row>
    <row r="15" spans="1:32" x14ac:dyDescent="0.25">
      <c r="A15" t="s">
        <v>132</v>
      </c>
      <c r="B15">
        <v>400</v>
      </c>
      <c r="C15" s="190" t="s">
        <v>30</v>
      </c>
      <c r="D15" s="166">
        <v>60</v>
      </c>
      <c r="E15" s="166">
        <v>80</v>
      </c>
      <c r="F15" s="166">
        <v>10</v>
      </c>
      <c r="G15" s="166">
        <v>60</v>
      </c>
      <c r="H15" s="166">
        <v>40</v>
      </c>
      <c r="I15" s="166">
        <v>100</v>
      </c>
      <c r="J15" s="166">
        <v>90</v>
      </c>
      <c r="K15" s="166">
        <v>100</v>
      </c>
      <c r="L15" s="166">
        <v>30</v>
      </c>
      <c r="M15" s="166">
        <v>60</v>
      </c>
      <c r="N15" s="166">
        <v>80</v>
      </c>
      <c r="O15" s="166">
        <v>70</v>
      </c>
      <c r="P15" s="166">
        <v>0</v>
      </c>
      <c r="Q15" s="166">
        <v>80</v>
      </c>
      <c r="R15" s="166">
        <v>10</v>
      </c>
      <c r="S15" s="166">
        <v>80</v>
      </c>
      <c r="T15" s="166">
        <v>100</v>
      </c>
      <c r="U15" s="166">
        <v>20</v>
      </c>
      <c r="V15" s="166">
        <v>90</v>
      </c>
      <c r="W15" s="166">
        <v>90</v>
      </c>
      <c r="X15" s="166">
        <v>100</v>
      </c>
      <c r="Y15" s="166">
        <v>80</v>
      </c>
      <c r="Z15" s="166">
        <v>90</v>
      </c>
      <c r="AA15" s="166">
        <v>20</v>
      </c>
      <c r="AB15" s="280">
        <f t="shared" si="1"/>
        <v>128.33333333333334</v>
      </c>
      <c r="AC15" s="280"/>
      <c r="AD15" s="208" t="s">
        <v>34</v>
      </c>
      <c r="AE15" s="190" t="s">
        <v>30</v>
      </c>
      <c r="AF15" s="287">
        <v>0</v>
      </c>
    </row>
    <row r="16" spans="1:32" ht="15.75" thickBot="1" x14ac:dyDescent="0.3">
      <c r="AD16" s="222" t="s">
        <v>48</v>
      </c>
      <c r="AE16" s="286" t="s">
        <v>29</v>
      </c>
      <c r="AF16" s="287">
        <v>0</v>
      </c>
    </row>
    <row r="17" spans="1:48" ht="15.75" thickBot="1" x14ac:dyDescent="0.3">
      <c r="A17" s="301" t="s">
        <v>108</v>
      </c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2"/>
      <c r="S17" s="302"/>
      <c r="T17" s="302"/>
      <c r="U17" s="302"/>
      <c r="V17" s="302"/>
      <c r="W17" s="302"/>
      <c r="X17" s="302"/>
      <c r="Y17" s="302"/>
      <c r="Z17" s="302"/>
      <c r="AA17" s="303"/>
      <c r="AD17" s="222" t="s">
        <v>48</v>
      </c>
      <c r="AE17" s="190" t="s">
        <v>30</v>
      </c>
      <c r="AF17" s="287">
        <v>0</v>
      </c>
    </row>
    <row r="18" spans="1:48" x14ac:dyDescent="0.25">
      <c r="A18" s="50"/>
      <c r="B18" s="162"/>
      <c r="AD18" s="222" t="s">
        <v>48</v>
      </c>
      <c r="AE18" s="288" t="s">
        <v>31</v>
      </c>
      <c r="AF18" s="287">
        <v>0</v>
      </c>
      <c r="AG18" s="285"/>
    </row>
    <row r="19" spans="1:48" x14ac:dyDescent="0.25">
      <c r="A19" s="5" t="s">
        <v>68</v>
      </c>
      <c r="B19" s="5"/>
      <c r="C19" s="5" t="s">
        <v>32</v>
      </c>
      <c r="D19" s="84" t="s">
        <v>0</v>
      </c>
      <c r="E19" s="80" t="s">
        <v>1</v>
      </c>
      <c r="F19" s="80" t="s">
        <v>2</v>
      </c>
      <c r="G19" s="80" t="s">
        <v>3</v>
      </c>
      <c r="H19" s="80" t="s">
        <v>4</v>
      </c>
      <c r="I19" s="80" t="s">
        <v>5</v>
      </c>
      <c r="J19" s="80" t="s">
        <v>6</v>
      </c>
      <c r="K19" s="80" t="s">
        <v>7</v>
      </c>
      <c r="L19" s="80" t="s">
        <v>8</v>
      </c>
      <c r="M19" s="80" t="s">
        <v>9</v>
      </c>
      <c r="N19" s="80" t="s">
        <v>10</v>
      </c>
      <c r="O19" s="80" t="s">
        <v>11</v>
      </c>
      <c r="P19" s="80" t="s">
        <v>12</v>
      </c>
      <c r="Q19" s="80" t="s">
        <v>13</v>
      </c>
      <c r="R19" s="80" t="s">
        <v>14</v>
      </c>
      <c r="S19" s="80" t="s">
        <v>15</v>
      </c>
      <c r="T19" s="80" t="s">
        <v>16</v>
      </c>
      <c r="U19" s="80" t="s">
        <v>17</v>
      </c>
      <c r="V19" s="80" t="s">
        <v>18</v>
      </c>
      <c r="W19" s="80" t="s">
        <v>19</v>
      </c>
      <c r="X19" s="80" t="s">
        <v>20</v>
      </c>
      <c r="Y19" s="80" t="s">
        <v>21</v>
      </c>
      <c r="Z19" s="277" t="s">
        <v>22</v>
      </c>
      <c r="AA19" s="289" t="s">
        <v>23</v>
      </c>
      <c r="AB19" s="279"/>
      <c r="AC19" s="279"/>
      <c r="AD19" s="222" t="s">
        <v>48</v>
      </c>
      <c r="AE19" s="192" t="s">
        <v>44</v>
      </c>
      <c r="AF19" s="287">
        <v>0</v>
      </c>
    </row>
    <row r="20" spans="1:48" ht="15.75" thickBot="1" x14ac:dyDescent="0.3">
      <c r="A20" s="200" t="s">
        <v>33</v>
      </c>
      <c r="B20" s="201" t="s">
        <v>56</v>
      </c>
      <c r="C20" s="195" t="s">
        <v>29</v>
      </c>
      <c r="D20" s="82">
        <v>210</v>
      </c>
      <c r="E20" s="83">
        <v>60</v>
      </c>
      <c r="F20" s="82">
        <v>200</v>
      </c>
      <c r="G20" s="83">
        <v>80</v>
      </c>
      <c r="H20" s="82">
        <v>70</v>
      </c>
      <c r="I20" s="83">
        <v>150</v>
      </c>
      <c r="J20" s="82">
        <v>130</v>
      </c>
      <c r="K20" s="83">
        <v>200</v>
      </c>
      <c r="L20" s="82">
        <v>70</v>
      </c>
      <c r="M20" s="83">
        <v>160</v>
      </c>
      <c r="N20" s="82">
        <v>170</v>
      </c>
      <c r="O20" s="83">
        <v>130</v>
      </c>
      <c r="P20" s="82">
        <v>30</v>
      </c>
      <c r="Q20" s="83">
        <v>120</v>
      </c>
      <c r="R20" s="82">
        <v>40</v>
      </c>
      <c r="S20" s="83">
        <v>150</v>
      </c>
      <c r="T20" s="82">
        <v>150</v>
      </c>
      <c r="U20" s="83">
        <v>20</v>
      </c>
      <c r="V20" s="82">
        <v>170</v>
      </c>
      <c r="W20" s="83">
        <v>40</v>
      </c>
      <c r="X20" s="82">
        <v>130</v>
      </c>
      <c r="Y20" s="83">
        <v>100</v>
      </c>
      <c r="Z20" s="278">
        <v>190</v>
      </c>
      <c r="AA20" s="290">
        <v>40</v>
      </c>
      <c r="AB20" s="281"/>
      <c r="AC20" s="281"/>
      <c r="AD20" s="234"/>
      <c r="AE20" s="234"/>
      <c r="AF20" s="234"/>
      <c r="AV20" s="234"/>
    </row>
    <row r="21" spans="1:48" x14ac:dyDescent="0.25">
      <c r="A21" s="188"/>
      <c r="B21" s="201" t="s">
        <v>113</v>
      </c>
      <c r="C21" s="195" t="s">
        <v>29</v>
      </c>
      <c r="D21" s="82"/>
      <c r="E21" s="83"/>
      <c r="F21" s="82"/>
      <c r="G21" s="83"/>
      <c r="H21" s="82"/>
      <c r="I21" s="83"/>
      <c r="J21" s="82"/>
      <c r="K21" s="83"/>
      <c r="L21" s="82"/>
      <c r="M21" s="83"/>
      <c r="N21" s="82"/>
      <c r="O21" s="83"/>
      <c r="P21" s="82"/>
      <c r="Q21" s="83"/>
      <c r="R21" s="82"/>
      <c r="S21" s="83"/>
      <c r="T21" s="82"/>
      <c r="U21" s="83"/>
      <c r="V21" s="82"/>
      <c r="W21" s="83"/>
      <c r="X21" s="82"/>
      <c r="Y21" s="83"/>
      <c r="Z21" s="278"/>
      <c r="AA21" s="290"/>
      <c r="AB21" s="281"/>
      <c r="AC21" s="281"/>
      <c r="AD21" s="234"/>
      <c r="AE21" s="234"/>
      <c r="AF21" s="234"/>
      <c r="AV21" s="234"/>
    </row>
    <row r="22" spans="1:48" x14ac:dyDescent="0.25">
      <c r="B22" s="201" t="s">
        <v>56</v>
      </c>
      <c r="C22" s="190" t="s">
        <v>30</v>
      </c>
      <c r="D22" s="82">
        <v>310</v>
      </c>
      <c r="E22" s="83">
        <v>50</v>
      </c>
      <c r="F22" s="82">
        <v>110</v>
      </c>
      <c r="G22" s="83">
        <v>50</v>
      </c>
      <c r="H22" s="82">
        <v>20</v>
      </c>
      <c r="I22" s="83">
        <v>130</v>
      </c>
      <c r="J22" s="82">
        <v>170</v>
      </c>
      <c r="K22" s="83">
        <v>180</v>
      </c>
      <c r="L22" s="82">
        <v>180</v>
      </c>
      <c r="M22" s="83">
        <v>10</v>
      </c>
      <c r="N22" s="82">
        <v>100</v>
      </c>
      <c r="O22" s="83">
        <v>200</v>
      </c>
      <c r="P22" s="82">
        <v>30</v>
      </c>
      <c r="Q22" s="83">
        <v>200</v>
      </c>
      <c r="R22" s="82">
        <v>50</v>
      </c>
      <c r="S22" s="83">
        <v>40</v>
      </c>
      <c r="T22" s="82">
        <v>40</v>
      </c>
      <c r="U22" s="83">
        <v>10</v>
      </c>
      <c r="V22" s="82">
        <v>40</v>
      </c>
      <c r="W22" s="83">
        <v>100</v>
      </c>
      <c r="X22" s="82">
        <v>150</v>
      </c>
      <c r="Y22" s="83">
        <v>100</v>
      </c>
      <c r="Z22" s="278">
        <v>110</v>
      </c>
      <c r="AA22" s="290">
        <v>40</v>
      </c>
      <c r="AB22" s="281"/>
      <c r="AC22" s="281"/>
      <c r="AD22" s="234"/>
      <c r="AE22" s="234"/>
      <c r="AF22" s="234"/>
      <c r="AV22" s="234"/>
    </row>
    <row r="23" spans="1:48" x14ac:dyDescent="0.25">
      <c r="B23" s="201" t="s">
        <v>113</v>
      </c>
      <c r="C23" s="190" t="s">
        <v>30</v>
      </c>
      <c r="D23" s="82"/>
      <c r="E23" s="83"/>
      <c r="F23" s="82"/>
      <c r="G23" s="83"/>
      <c r="H23" s="82"/>
      <c r="I23" s="83"/>
      <c r="J23" s="82"/>
      <c r="K23" s="83"/>
      <c r="L23" s="82"/>
      <c r="M23" s="83"/>
      <c r="N23" s="82"/>
      <c r="O23" s="83"/>
      <c r="P23" s="82"/>
      <c r="Q23" s="83"/>
      <c r="R23" s="82"/>
      <c r="S23" s="83"/>
      <c r="T23" s="82"/>
      <c r="U23" s="83"/>
      <c r="V23" s="82"/>
      <c r="W23" s="83"/>
      <c r="X23" s="82"/>
      <c r="Y23" s="83"/>
      <c r="Z23" s="278"/>
      <c r="AA23" s="290"/>
      <c r="AB23" s="281"/>
      <c r="AC23" s="281"/>
      <c r="AD23" s="234"/>
      <c r="AE23" s="234"/>
      <c r="AF23" s="234"/>
      <c r="AV23" s="234"/>
    </row>
    <row r="24" spans="1:48" x14ac:dyDescent="0.25">
      <c r="B24" s="201" t="s">
        <v>56</v>
      </c>
      <c r="C24" s="191" t="s">
        <v>31</v>
      </c>
      <c r="D24" s="82">
        <v>370</v>
      </c>
      <c r="E24" s="83">
        <v>170</v>
      </c>
      <c r="F24" s="82">
        <v>110</v>
      </c>
      <c r="G24" s="83">
        <v>110</v>
      </c>
      <c r="H24" s="82">
        <v>150</v>
      </c>
      <c r="I24" s="83">
        <v>180</v>
      </c>
      <c r="J24" s="82">
        <v>80</v>
      </c>
      <c r="K24" s="83">
        <v>120</v>
      </c>
      <c r="L24" s="82">
        <v>20</v>
      </c>
      <c r="M24" s="83">
        <v>20</v>
      </c>
      <c r="N24" s="82">
        <v>50</v>
      </c>
      <c r="O24" s="83">
        <v>120</v>
      </c>
      <c r="P24" s="82">
        <v>150</v>
      </c>
      <c r="Q24" s="83">
        <v>140</v>
      </c>
      <c r="R24" s="82">
        <v>160</v>
      </c>
      <c r="S24" s="83">
        <v>30</v>
      </c>
      <c r="T24" s="82">
        <v>30</v>
      </c>
      <c r="U24" s="83">
        <v>0</v>
      </c>
      <c r="V24" s="82">
        <v>110</v>
      </c>
      <c r="W24" s="83">
        <v>80</v>
      </c>
      <c r="X24" s="82">
        <v>180</v>
      </c>
      <c r="Y24" s="83">
        <v>170</v>
      </c>
      <c r="Z24" s="278">
        <v>20</v>
      </c>
      <c r="AA24" s="290">
        <v>30</v>
      </c>
      <c r="AB24" s="281"/>
      <c r="AC24" s="281"/>
      <c r="AD24" s="234"/>
      <c r="AE24" s="234"/>
      <c r="AF24" s="234"/>
      <c r="AV24" s="234"/>
    </row>
    <row r="25" spans="1:48" x14ac:dyDescent="0.25">
      <c r="B25" s="201" t="s">
        <v>113</v>
      </c>
      <c r="C25" s="191" t="s">
        <v>31</v>
      </c>
      <c r="D25" s="82"/>
      <c r="E25" s="83"/>
      <c r="F25" s="82"/>
      <c r="G25" s="83"/>
      <c r="H25" s="82"/>
      <c r="I25" s="83"/>
      <c r="J25" s="82"/>
      <c r="K25" s="83"/>
      <c r="L25" s="82"/>
      <c r="M25" s="83"/>
      <c r="N25" s="82"/>
      <c r="O25" s="83"/>
      <c r="P25" s="82"/>
      <c r="Q25" s="83"/>
      <c r="R25" s="82"/>
      <c r="S25" s="83"/>
      <c r="T25" s="82"/>
      <c r="U25" s="83"/>
      <c r="V25" s="82"/>
      <c r="W25" s="83"/>
      <c r="X25" s="82"/>
      <c r="Y25" s="83"/>
      <c r="Z25" s="278"/>
      <c r="AA25" s="290"/>
      <c r="AB25" s="281"/>
      <c r="AC25" s="281"/>
      <c r="AD25" s="234"/>
      <c r="AE25" s="234"/>
      <c r="AF25" s="234"/>
      <c r="AV25" s="234"/>
    </row>
    <row r="26" spans="1:48" x14ac:dyDescent="0.25">
      <c r="B26" s="201" t="s">
        <v>56</v>
      </c>
      <c r="C26" s="192" t="s">
        <v>44</v>
      </c>
      <c r="D26" s="82">
        <v>360</v>
      </c>
      <c r="E26" s="83">
        <v>60</v>
      </c>
      <c r="F26" s="82">
        <v>80</v>
      </c>
      <c r="G26" s="83">
        <v>10</v>
      </c>
      <c r="H26" s="82">
        <v>160</v>
      </c>
      <c r="I26" s="83">
        <v>80</v>
      </c>
      <c r="J26" s="82">
        <v>40</v>
      </c>
      <c r="K26" s="83">
        <v>120</v>
      </c>
      <c r="L26" s="82">
        <v>170</v>
      </c>
      <c r="M26" s="83">
        <v>80</v>
      </c>
      <c r="N26" s="82">
        <v>150</v>
      </c>
      <c r="O26" s="83">
        <v>40</v>
      </c>
      <c r="P26" s="82">
        <v>40</v>
      </c>
      <c r="Q26" s="83">
        <v>70</v>
      </c>
      <c r="R26" s="82">
        <v>120</v>
      </c>
      <c r="S26" s="83">
        <v>170</v>
      </c>
      <c r="T26" s="82">
        <v>170</v>
      </c>
      <c r="U26" s="83">
        <v>180</v>
      </c>
      <c r="V26" s="82">
        <v>10</v>
      </c>
      <c r="W26" s="83">
        <v>130</v>
      </c>
      <c r="X26" s="82">
        <v>10</v>
      </c>
      <c r="Y26" s="83">
        <v>190</v>
      </c>
      <c r="Z26" s="278">
        <v>110</v>
      </c>
      <c r="AA26" s="290">
        <v>100</v>
      </c>
      <c r="AB26" s="281"/>
      <c r="AC26" s="281"/>
      <c r="AD26" s="234"/>
      <c r="AE26" s="234"/>
      <c r="AF26" s="234"/>
      <c r="AV26" s="234"/>
    </row>
    <row r="27" spans="1:48" ht="15.75" thickBot="1" x14ac:dyDescent="0.3">
      <c r="B27" s="201" t="s">
        <v>113</v>
      </c>
      <c r="C27" s="192" t="s">
        <v>44</v>
      </c>
      <c r="D27" s="82"/>
      <c r="E27" s="83"/>
      <c r="F27" s="82"/>
      <c r="G27" s="83"/>
      <c r="H27" s="82"/>
      <c r="I27" s="83"/>
      <c r="J27" s="82"/>
      <c r="K27" s="83"/>
      <c r="L27" s="82"/>
      <c r="M27" s="83"/>
      <c r="N27" s="82"/>
      <c r="O27" s="83"/>
      <c r="P27" s="82"/>
      <c r="Q27" s="83"/>
      <c r="R27" s="82"/>
      <c r="S27" s="83"/>
      <c r="T27" s="82"/>
      <c r="U27" s="83"/>
      <c r="V27" s="82"/>
      <c r="W27" s="83"/>
      <c r="X27" s="82"/>
      <c r="Y27" s="83"/>
      <c r="Z27" s="278"/>
      <c r="AA27" s="290"/>
      <c r="AB27" s="281"/>
      <c r="AD27" s="234"/>
      <c r="AE27" s="234"/>
      <c r="AF27" s="234"/>
      <c r="AV27" s="234"/>
    </row>
    <row r="28" spans="1:48" ht="15.75" thickBot="1" x14ac:dyDescent="0.3">
      <c r="A28" s="202" t="s">
        <v>35</v>
      </c>
      <c r="B28" s="201" t="s">
        <v>56</v>
      </c>
      <c r="C28" s="195" t="s">
        <v>29</v>
      </c>
      <c r="D28" s="82">
        <v>230</v>
      </c>
      <c r="E28" s="83">
        <v>110</v>
      </c>
      <c r="F28" s="82">
        <v>10</v>
      </c>
      <c r="G28" s="83">
        <v>90</v>
      </c>
      <c r="H28" s="82">
        <v>10</v>
      </c>
      <c r="I28" s="83">
        <v>40</v>
      </c>
      <c r="J28" s="82">
        <v>0</v>
      </c>
      <c r="K28" s="83">
        <v>150</v>
      </c>
      <c r="L28" s="82">
        <v>0</v>
      </c>
      <c r="M28" s="83">
        <v>140</v>
      </c>
      <c r="N28" s="82">
        <v>140</v>
      </c>
      <c r="O28" s="83">
        <v>110</v>
      </c>
      <c r="P28" s="82">
        <v>80</v>
      </c>
      <c r="Q28" s="83">
        <v>60</v>
      </c>
      <c r="R28" s="82">
        <v>50</v>
      </c>
      <c r="S28" s="83">
        <v>30</v>
      </c>
      <c r="T28" s="82">
        <v>100</v>
      </c>
      <c r="U28" s="83">
        <v>50</v>
      </c>
      <c r="V28" s="82">
        <v>150</v>
      </c>
      <c r="W28" s="83">
        <v>130</v>
      </c>
      <c r="X28" s="82">
        <v>170</v>
      </c>
      <c r="Y28" s="83">
        <v>20</v>
      </c>
      <c r="Z28" s="278">
        <v>20</v>
      </c>
      <c r="AA28" s="290">
        <v>20</v>
      </c>
      <c r="AB28" s="281"/>
      <c r="AC28" s="279"/>
      <c r="AD28" s="234"/>
      <c r="AE28" s="234"/>
      <c r="AF28" s="234"/>
      <c r="AV28" s="234"/>
    </row>
    <row r="29" spans="1:48" x14ac:dyDescent="0.25">
      <c r="A29" s="194"/>
      <c r="B29" s="201" t="s">
        <v>113</v>
      </c>
      <c r="C29" s="195" t="s">
        <v>29</v>
      </c>
      <c r="D29" s="82"/>
      <c r="E29" s="83"/>
      <c r="F29" s="82"/>
      <c r="G29" s="83"/>
      <c r="H29" s="82"/>
      <c r="I29" s="83"/>
      <c r="J29" s="82"/>
      <c r="K29" s="83"/>
      <c r="L29" s="82"/>
      <c r="M29" s="83"/>
      <c r="N29" s="82"/>
      <c r="O29" s="83"/>
      <c r="P29" s="82"/>
      <c r="Q29" s="83"/>
      <c r="R29" s="82"/>
      <c r="S29" s="83"/>
      <c r="T29" s="82"/>
      <c r="U29" s="83"/>
      <c r="V29" s="82"/>
      <c r="W29" s="83"/>
      <c r="X29" s="82"/>
      <c r="Y29" s="83"/>
      <c r="Z29" s="278"/>
      <c r="AA29" s="290"/>
      <c r="AB29" s="281"/>
      <c r="AC29" s="282"/>
      <c r="AD29" s="234"/>
      <c r="AE29" s="234"/>
      <c r="AF29" s="234"/>
      <c r="AV29" s="234"/>
    </row>
    <row r="30" spans="1:48" x14ac:dyDescent="0.25">
      <c r="B30" s="201" t="s">
        <v>56</v>
      </c>
      <c r="C30" s="190" t="s">
        <v>30</v>
      </c>
      <c r="D30" s="82">
        <v>190</v>
      </c>
      <c r="E30" s="83">
        <v>140</v>
      </c>
      <c r="F30" s="82">
        <v>20</v>
      </c>
      <c r="G30" s="83">
        <v>170</v>
      </c>
      <c r="H30" s="82">
        <v>0</v>
      </c>
      <c r="I30" s="83">
        <v>60</v>
      </c>
      <c r="J30" s="82">
        <v>20</v>
      </c>
      <c r="K30" s="83">
        <v>170</v>
      </c>
      <c r="L30" s="82">
        <v>40</v>
      </c>
      <c r="M30" s="83">
        <v>80</v>
      </c>
      <c r="N30" s="82">
        <v>130</v>
      </c>
      <c r="O30" s="83">
        <v>140</v>
      </c>
      <c r="P30" s="82">
        <v>30</v>
      </c>
      <c r="Q30" s="83">
        <v>70</v>
      </c>
      <c r="R30" s="82">
        <v>120</v>
      </c>
      <c r="S30" s="83">
        <v>140</v>
      </c>
      <c r="T30" s="82">
        <v>10</v>
      </c>
      <c r="U30" s="83">
        <v>110</v>
      </c>
      <c r="V30" s="82">
        <v>30</v>
      </c>
      <c r="W30" s="83">
        <v>30</v>
      </c>
      <c r="X30" s="82">
        <v>60</v>
      </c>
      <c r="Y30" s="83">
        <v>100</v>
      </c>
      <c r="Z30" s="278">
        <v>100</v>
      </c>
      <c r="AA30" s="290">
        <v>140</v>
      </c>
      <c r="AB30" s="281"/>
      <c r="AC30" s="282"/>
      <c r="AD30" s="234"/>
      <c r="AE30" s="234"/>
      <c r="AF30" s="234"/>
      <c r="AV30" s="234"/>
    </row>
    <row r="31" spans="1:48" ht="15.75" thickBot="1" x14ac:dyDescent="0.3">
      <c r="B31" s="201" t="s">
        <v>113</v>
      </c>
      <c r="C31" s="190" t="s">
        <v>30</v>
      </c>
      <c r="D31" s="82"/>
      <c r="E31" s="83"/>
      <c r="F31" s="82"/>
      <c r="G31" s="83"/>
      <c r="H31" s="82"/>
      <c r="I31" s="83"/>
      <c r="J31" s="82"/>
      <c r="K31" s="83"/>
      <c r="L31" s="82"/>
      <c r="M31" s="83"/>
      <c r="N31" s="82"/>
      <c r="O31" s="83"/>
      <c r="P31" s="82"/>
      <c r="Q31" s="83"/>
      <c r="R31" s="82"/>
      <c r="S31" s="83"/>
      <c r="T31" s="82"/>
      <c r="U31" s="83"/>
      <c r="V31" s="82"/>
      <c r="W31" s="83"/>
      <c r="X31" s="82"/>
      <c r="Y31" s="83"/>
      <c r="Z31" s="278"/>
      <c r="AA31" s="290"/>
      <c r="AB31" s="281"/>
      <c r="AC31" s="234"/>
      <c r="AD31" s="234"/>
      <c r="AE31" s="234"/>
      <c r="AF31" s="234"/>
      <c r="AV31" s="234"/>
    </row>
    <row r="32" spans="1:48" ht="15.75" thickBot="1" x14ac:dyDescent="0.3">
      <c r="A32" s="203" t="s">
        <v>36</v>
      </c>
      <c r="B32" s="201" t="s">
        <v>56</v>
      </c>
      <c r="C32" s="195" t="s">
        <v>29</v>
      </c>
      <c r="D32" s="82">
        <v>350</v>
      </c>
      <c r="E32" s="82">
        <v>100</v>
      </c>
      <c r="F32" s="82">
        <v>150</v>
      </c>
      <c r="G32" s="83">
        <v>200</v>
      </c>
      <c r="H32" s="82">
        <v>200</v>
      </c>
      <c r="I32" s="83">
        <v>50</v>
      </c>
      <c r="J32" s="82">
        <v>150</v>
      </c>
      <c r="K32" s="83">
        <v>250</v>
      </c>
      <c r="L32" s="82">
        <v>100</v>
      </c>
      <c r="M32" s="83">
        <v>50</v>
      </c>
      <c r="N32" s="82">
        <v>250</v>
      </c>
      <c r="O32" s="83">
        <v>200</v>
      </c>
      <c r="P32" s="82">
        <v>50</v>
      </c>
      <c r="Q32" s="83">
        <v>250</v>
      </c>
      <c r="R32" s="82">
        <v>200</v>
      </c>
      <c r="S32" s="83">
        <v>250</v>
      </c>
      <c r="T32" s="82">
        <v>250</v>
      </c>
      <c r="U32" s="83">
        <v>150</v>
      </c>
      <c r="V32" s="82">
        <v>250</v>
      </c>
      <c r="W32" s="83">
        <v>150</v>
      </c>
      <c r="X32" s="82">
        <v>300</v>
      </c>
      <c r="Y32" s="83">
        <v>100</v>
      </c>
      <c r="Z32" s="278">
        <v>200</v>
      </c>
      <c r="AA32" s="290">
        <v>100</v>
      </c>
      <c r="AB32" s="281"/>
      <c r="AE32" s="234"/>
      <c r="AF32" s="234"/>
      <c r="AV32" s="234"/>
    </row>
    <row r="33" spans="1:48" x14ac:dyDescent="0.25">
      <c r="A33" s="197"/>
      <c r="B33" s="201" t="s">
        <v>113</v>
      </c>
      <c r="C33" s="195" t="s">
        <v>29</v>
      </c>
      <c r="D33" s="82"/>
      <c r="E33" s="82"/>
      <c r="F33" s="82"/>
      <c r="G33" s="83"/>
      <c r="H33" s="82"/>
      <c r="I33" s="83"/>
      <c r="J33" s="82"/>
      <c r="K33" s="83"/>
      <c r="L33" s="82"/>
      <c r="M33" s="83"/>
      <c r="N33" s="82"/>
      <c r="O33" s="83"/>
      <c r="P33" s="82"/>
      <c r="Q33" s="83"/>
      <c r="R33" s="82"/>
      <c r="S33" s="83"/>
      <c r="T33" s="82"/>
      <c r="U33" s="83"/>
      <c r="V33" s="82"/>
      <c r="W33" s="83"/>
      <c r="X33" s="82"/>
      <c r="Y33" s="83"/>
      <c r="Z33" s="278"/>
      <c r="AA33" s="290"/>
      <c r="AB33" s="281"/>
      <c r="AC33" s="281"/>
      <c r="AD33" s="234"/>
      <c r="AE33" s="234"/>
      <c r="AF33" s="234"/>
      <c r="AV33" s="234"/>
    </row>
    <row r="34" spans="1:48" x14ac:dyDescent="0.25">
      <c r="B34" s="201" t="s">
        <v>56</v>
      </c>
      <c r="C34" s="191" t="s">
        <v>31</v>
      </c>
      <c r="D34" s="82">
        <v>450</v>
      </c>
      <c r="E34" s="82">
        <v>100</v>
      </c>
      <c r="F34" s="82">
        <v>150</v>
      </c>
      <c r="G34" s="83">
        <v>150</v>
      </c>
      <c r="H34" s="82">
        <v>200</v>
      </c>
      <c r="I34" s="83">
        <v>100</v>
      </c>
      <c r="J34" s="82">
        <v>150</v>
      </c>
      <c r="K34" s="83">
        <v>150</v>
      </c>
      <c r="L34" s="82">
        <v>300</v>
      </c>
      <c r="M34" s="83">
        <v>150</v>
      </c>
      <c r="N34" s="82">
        <v>150</v>
      </c>
      <c r="O34" s="83">
        <v>100</v>
      </c>
      <c r="P34" s="82">
        <v>50</v>
      </c>
      <c r="Q34" s="83">
        <v>100</v>
      </c>
      <c r="R34" s="82">
        <v>150</v>
      </c>
      <c r="S34" s="83">
        <v>150</v>
      </c>
      <c r="T34" s="82">
        <v>100</v>
      </c>
      <c r="U34" s="83">
        <v>50</v>
      </c>
      <c r="V34" s="82">
        <v>250</v>
      </c>
      <c r="W34" s="83">
        <v>150</v>
      </c>
      <c r="X34" s="82">
        <v>250</v>
      </c>
      <c r="Y34" s="83">
        <v>200</v>
      </c>
      <c r="Z34" s="278">
        <v>100</v>
      </c>
      <c r="AA34" s="290">
        <v>50</v>
      </c>
      <c r="AB34" s="281"/>
      <c r="AC34" s="281"/>
      <c r="AE34" s="234"/>
      <c r="AF34" s="234"/>
      <c r="AV34" s="234"/>
    </row>
    <row r="35" spans="1:48" ht="15.75" thickBot="1" x14ac:dyDescent="0.3">
      <c r="B35" s="201" t="s">
        <v>113</v>
      </c>
      <c r="C35" s="191" t="s">
        <v>31</v>
      </c>
      <c r="D35" s="82"/>
      <c r="E35" s="83"/>
      <c r="F35" s="82"/>
      <c r="G35" s="83"/>
      <c r="H35" s="82"/>
      <c r="I35" s="83"/>
      <c r="J35" s="82"/>
      <c r="K35" s="83"/>
      <c r="L35" s="82"/>
      <c r="M35" s="83"/>
      <c r="N35" s="82"/>
      <c r="O35" s="83"/>
      <c r="P35" s="82"/>
      <c r="Q35" s="83"/>
      <c r="R35" s="82"/>
      <c r="S35" s="83"/>
      <c r="T35" s="82"/>
      <c r="U35" s="83"/>
      <c r="V35" s="82"/>
      <c r="W35" s="83"/>
      <c r="X35" s="82"/>
      <c r="Y35" s="83"/>
      <c r="Z35" s="278"/>
      <c r="AA35" s="290"/>
      <c r="AB35" s="281"/>
      <c r="AC35" s="281"/>
      <c r="AD35" s="281"/>
      <c r="AE35" s="281"/>
      <c r="AF35" s="234"/>
      <c r="AV35" s="234"/>
    </row>
    <row r="36" spans="1:48" ht="15.75" thickBot="1" x14ac:dyDescent="0.3">
      <c r="A36" s="204" t="s">
        <v>34</v>
      </c>
      <c r="B36" s="201" t="s">
        <v>56</v>
      </c>
      <c r="C36" s="195" t="s">
        <v>29</v>
      </c>
      <c r="D36" s="82">
        <v>360</v>
      </c>
      <c r="E36" s="82">
        <v>80</v>
      </c>
      <c r="F36" s="82">
        <v>20</v>
      </c>
      <c r="G36" s="83">
        <v>60</v>
      </c>
      <c r="H36" s="82">
        <v>40</v>
      </c>
      <c r="I36" s="83">
        <v>60</v>
      </c>
      <c r="J36" s="82">
        <v>80</v>
      </c>
      <c r="K36" s="83">
        <v>50</v>
      </c>
      <c r="L36" s="82">
        <v>10</v>
      </c>
      <c r="M36" s="83">
        <v>60</v>
      </c>
      <c r="N36" s="82">
        <v>100</v>
      </c>
      <c r="O36" s="83">
        <v>80</v>
      </c>
      <c r="P36" s="82">
        <v>50</v>
      </c>
      <c r="Q36" s="83">
        <v>60</v>
      </c>
      <c r="R36" s="82">
        <v>70</v>
      </c>
      <c r="S36" s="83">
        <v>10</v>
      </c>
      <c r="T36" s="82">
        <v>0</v>
      </c>
      <c r="U36" s="83">
        <v>20</v>
      </c>
      <c r="V36" s="82">
        <v>60</v>
      </c>
      <c r="W36" s="83">
        <v>90</v>
      </c>
      <c r="X36" s="82">
        <v>40</v>
      </c>
      <c r="Y36" s="83">
        <v>20</v>
      </c>
      <c r="Z36" s="278">
        <v>90</v>
      </c>
      <c r="AA36" s="290">
        <v>50</v>
      </c>
      <c r="AB36" s="281"/>
      <c r="AC36" s="281"/>
      <c r="AD36" s="234"/>
      <c r="AE36" s="234"/>
      <c r="AF36" s="234"/>
      <c r="AV36" s="234"/>
    </row>
    <row r="37" spans="1:48" x14ac:dyDescent="0.25">
      <c r="A37" s="199"/>
      <c r="B37" s="201" t="s">
        <v>113</v>
      </c>
      <c r="C37" s="195" t="s">
        <v>29</v>
      </c>
      <c r="D37" s="82"/>
      <c r="E37" s="82"/>
      <c r="F37" s="82"/>
      <c r="G37" s="83"/>
      <c r="H37" s="82"/>
      <c r="I37" s="83"/>
      <c r="J37" s="82"/>
      <c r="K37" s="83"/>
      <c r="L37" s="82"/>
      <c r="M37" s="83"/>
      <c r="N37" s="82"/>
      <c r="O37" s="83"/>
      <c r="P37" s="82"/>
      <c r="Q37" s="83"/>
      <c r="R37" s="82"/>
      <c r="S37" s="83"/>
      <c r="T37" s="82"/>
      <c r="U37" s="83"/>
      <c r="V37" s="82"/>
      <c r="W37" s="83"/>
      <c r="X37" s="82"/>
      <c r="Y37" s="83"/>
      <c r="Z37" s="278"/>
      <c r="AA37" s="290"/>
      <c r="AB37" s="281"/>
      <c r="AC37" s="281"/>
      <c r="AD37" s="234"/>
      <c r="AE37" s="234"/>
      <c r="AF37" s="234"/>
      <c r="AV37" s="234"/>
    </row>
    <row r="38" spans="1:48" x14ac:dyDescent="0.25">
      <c r="B38" s="201" t="s">
        <v>56</v>
      </c>
      <c r="C38" s="190" t="s">
        <v>30</v>
      </c>
      <c r="D38" s="82">
        <v>410</v>
      </c>
      <c r="E38" s="82">
        <v>80</v>
      </c>
      <c r="F38" s="82">
        <v>10</v>
      </c>
      <c r="G38" s="83">
        <v>60</v>
      </c>
      <c r="H38" s="82">
        <v>40</v>
      </c>
      <c r="I38" s="83">
        <v>100</v>
      </c>
      <c r="J38" s="82">
        <v>90</v>
      </c>
      <c r="K38" s="83">
        <v>100</v>
      </c>
      <c r="L38" s="82">
        <v>30</v>
      </c>
      <c r="M38" s="83">
        <v>60</v>
      </c>
      <c r="N38" s="82">
        <v>80</v>
      </c>
      <c r="O38" s="83">
        <v>70</v>
      </c>
      <c r="P38" s="82">
        <v>0</v>
      </c>
      <c r="Q38" s="83">
        <v>80</v>
      </c>
      <c r="R38" s="82">
        <v>10</v>
      </c>
      <c r="S38" s="83">
        <v>80</v>
      </c>
      <c r="T38" s="82">
        <v>100</v>
      </c>
      <c r="U38" s="83">
        <v>20</v>
      </c>
      <c r="V38" s="82">
        <v>90</v>
      </c>
      <c r="W38" s="83">
        <v>90</v>
      </c>
      <c r="X38" s="82">
        <v>100</v>
      </c>
      <c r="Y38" s="83">
        <v>80</v>
      </c>
      <c r="Z38" s="278">
        <v>90</v>
      </c>
      <c r="AA38" s="290">
        <v>20</v>
      </c>
      <c r="AB38" s="281"/>
      <c r="AC38" s="281"/>
      <c r="AD38" s="234"/>
      <c r="AE38" s="234"/>
      <c r="AF38" s="234"/>
      <c r="AV38" s="234"/>
    </row>
    <row r="39" spans="1:48" x14ac:dyDescent="0.25">
      <c r="B39" s="201" t="s">
        <v>113</v>
      </c>
      <c r="C39" s="190" t="s">
        <v>30</v>
      </c>
      <c r="D39" s="82"/>
      <c r="E39" s="83"/>
      <c r="F39" s="82"/>
      <c r="G39" s="83"/>
      <c r="H39" s="82"/>
      <c r="I39" s="83"/>
      <c r="J39" s="82"/>
      <c r="K39" s="83"/>
      <c r="L39" s="82"/>
      <c r="M39" s="83"/>
      <c r="N39" s="82"/>
      <c r="O39" s="83"/>
      <c r="P39" s="82"/>
      <c r="Q39" s="83"/>
      <c r="R39" s="82"/>
      <c r="S39" s="83"/>
      <c r="T39" s="82"/>
      <c r="U39" s="83"/>
      <c r="V39" s="82"/>
      <c r="W39" s="83"/>
      <c r="X39" s="82"/>
      <c r="Y39" s="83"/>
      <c r="Z39" s="278"/>
      <c r="AA39" s="290"/>
      <c r="AB39" s="281"/>
      <c r="AC39" s="281"/>
      <c r="AD39" s="234"/>
      <c r="AE39" s="234"/>
      <c r="AF39" s="234"/>
      <c r="AV39" s="234"/>
    </row>
    <row r="40" spans="1:48" ht="15.75" thickBot="1" x14ac:dyDescent="0.3">
      <c r="AD40" s="234"/>
      <c r="AE40" s="234"/>
      <c r="AF40" s="234"/>
      <c r="AV40" s="234"/>
    </row>
    <row r="41" spans="1:48" ht="15.75" thickBot="1" x14ac:dyDescent="0.3">
      <c r="A41" s="301" t="s">
        <v>109</v>
      </c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2"/>
      <c r="S41" s="302"/>
      <c r="T41" s="302"/>
      <c r="U41" s="302"/>
      <c r="V41" s="302"/>
      <c r="W41" s="302"/>
      <c r="X41" s="302"/>
      <c r="Y41" s="302"/>
      <c r="Z41" s="302"/>
      <c r="AA41" s="303"/>
      <c r="AD41" s="234"/>
      <c r="AE41" s="234"/>
      <c r="AF41" s="234"/>
      <c r="AV41" s="234"/>
    </row>
    <row r="42" spans="1:48" x14ac:dyDescent="0.25">
      <c r="A42" s="50"/>
      <c r="B42" s="162"/>
      <c r="AE42" s="234"/>
      <c r="AV42" s="234"/>
    </row>
    <row r="43" spans="1:48" x14ac:dyDescent="0.25">
      <c r="C43" s="5" t="s">
        <v>32</v>
      </c>
      <c r="D43" s="289" t="s">
        <v>0</v>
      </c>
      <c r="E43" s="289" t="s">
        <v>1</v>
      </c>
      <c r="F43" s="289" t="s">
        <v>2</v>
      </c>
      <c r="G43" s="289" t="s">
        <v>3</v>
      </c>
      <c r="H43" s="289" t="s">
        <v>4</v>
      </c>
      <c r="I43" s="289" t="s">
        <v>5</v>
      </c>
      <c r="J43" s="289" t="s">
        <v>6</v>
      </c>
      <c r="K43" s="289" t="s">
        <v>7</v>
      </c>
      <c r="L43" s="289" t="s">
        <v>8</v>
      </c>
      <c r="M43" s="289" t="s">
        <v>9</v>
      </c>
      <c r="N43" s="289" t="s">
        <v>10</v>
      </c>
      <c r="O43" s="289" t="s">
        <v>11</v>
      </c>
      <c r="P43" s="289" t="s">
        <v>12</v>
      </c>
      <c r="Q43" s="289" t="s">
        <v>13</v>
      </c>
      <c r="R43" s="289" t="s">
        <v>14</v>
      </c>
      <c r="S43" s="289" t="s">
        <v>15</v>
      </c>
      <c r="T43" s="289" t="s">
        <v>16</v>
      </c>
      <c r="U43" s="289" t="s">
        <v>17</v>
      </c>
      <c r="V43" s="289" t="s">
        <v>18</v>
      </c>
      <c r="W43" s="289" t="s">
        <v>19</v>
      </c>
      <c r="X43" s="289" t="s">
        <v>20</v>
      </c>
      <c r="Y43" s="289" t="s">
        <v>21</v>
      </c>
      <c r="Z43" s="289" t="s">
        <v>22</v>
      </c>
      <c r="AA43" s="289" t="s">
        <v>23</v>
      </c>
      <c r="AB43" s="279"/>
      <c r="AE43" s="234"/>
      <c r="AF43" s="234"/>
      <c r="AV43" s="234"/>
    </row>
    <row r="44" spans="1:48" x14ac:dyDescent="0.25">
      <c r="B44" s="201" t="s">
        <v>47</v>
      </c>
      <c r="C44" s="195" t="s">
        <v>29</v>
      </c>
      <c r="D44" s="291">
        <v>530</v>
      </c>
      <c r="E44" s="291">
        <v>310</v>
      </c>
      <c r="F44" s="291">
        <v>550</v>
      </c>
      <c r="G44" s="291">
        <v>220</v>
      </c>
      <c r="H44" s="291">
        <v>310</v>
      </c>
      <c r="I44" s="291">
        <v>410</v>
      </c>
      <c r="J44" s="291">
        <v>440</v>
      </c>
      <c r="K44" s="291">
        <v>350</v>
      </c>
      <c r="L44" s="291">
        <v>540</v>
      </c>
      <c r="M44" s="291">
        <v>550</v>
      </c>
      <c r="N44" s="291">
        <v>390</v>
      </c>
      <c r="O44" s="291">
        <v>530</v>
      </c>
      <c r="P44" s="291">
        <v>300</v>
      </c>
      <c r="Q44" s="291">
        <v>420</v>
      </c>
      <c r="R44" s="291">
        <v>340</v>
      </c>
      <c r="S44" s="291">
        <v>460</v>
      </c>
      <c r="T44" s="291">
        <v>540</v>
      </c>
      <c r="U44" s="291">
        <v>360</v>
      </c>
      <c r="V44" s="291">
        <v>620</v>
      </c>
      <c r="W44" s="291">
        <v>400</v>
      </c>
      <c r="X44" s="291">
        <v>400</v>
      </c>
      <c r="Y44" s="291">
        <v>220</v>
      </c>
      <c r="Z44" s="291">
        <v>210</v>
      </c>
      <c r="AA44" s="291">
        <v>40</v>
      </c>
      <c r="AB44" s="282"/>
      <c r="AE44" s="234"/>
      <c r="AF44" s="234"/>
      <c r="AV44" s="234"/>
    </row>
    <row r="45" spans="1:48" x14ac:dyDescent="0.25">
      <c r="B45" s="201" t="s">
        <v>114</v>
      </c>
      <c r="C45" s="195" t="s">
        <v>29</v>
      </c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82"/>
      <c r="AE45" s="234"/>
      <c r="AF45" s="234"/>
      <c r="AV45" s="234"/>
    </row>
    <row r="46" spans="1:48" x14ac:dyDescent="0.25">
      <c r="B46" s="201" t="s">
        <v>47</v>
      </c>
      <c r="C46" s="190" t="s">
        <v>30</v>
      </c>
      <c r="D46" s="291">
        <v>510</v>
      </c>
      <c r="E46" s="291">
        <v>110</v>
      </c>
      <c r="F46" s="290">
        <v>380</v>
      </c>
      <c r="G46" s="290">
        <v>140</v>
      </c>
      <c r="H46" s="290">
        <v>180</v>
      </c>
      <c r="I46" s="290">
        <v>180</v>
      </c>
      <c r="J46" s="290">
        <v>400</v>
      </c>
      <c r="K46" s="290">
        <v>300</v>
      </c>
      <c r="L46" s="290">
        <v>330</v>
      </c>
      <c r="M46" s="290">
        <v>140</v>
      </c>
      <c r="N46" s="290">
        <v>320</v>
      </c>
      <c r="O46" s="290">
        <v>240</v>
      </c>
      <c r="P46" s="290">
        <v>180</v>
      </c>
      <c r="Q46" s="290">
        <v>420</v>
      </c>
      <c r="R46" s="290">
        <v>210</v>
      </c>
      <c r="S46" s="290">
        <v>140</v>
      </c>
      <c r="T46" s="290">
        <v>240</v>
      </c>
      <c r="U46" s="290">
        <v>140</v>
      </c>
      <c r="V46" s="290">
        <v>150</v>
      </c>
      <c r="W46" s="290">
        <v>250</v>
      </c>
      <c r="X46" s="290">
        <v>270</v>
      </c>
      <c r="Y46" s="290">
        <v>200</v>
      </c>
      <c r="Z46" s="290">
        <v>250</v>
      </c>
      <c r="AA46" s="290">
        <v>40</v>
      </c>
      <c r="AB46" s="281"/>
      <c r="AE46" s="234"/>
      <c r="AF46" s="234"/>
      <c r="AV46" s="234"/>
    </row>
    <row r="47" spans="1:48" x14ac:dyDescent="0.25">
      <c r="B47" s="201" t="s">
        <v>114</v>
      </c>
      <c r="C47" s="190" t="s">
        <v>30</v>
      </c>
      <c r="D47" s="291"/>
      <c r="E47" s="291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290"/>
      <c r="R47" s="290"/>
      <c r="S47" s="290"/>
      <c r="T47" s="290"/>
      <c r="U47" s="290"/>
      <c r="V47" s="290"/>
      <c r="W47" s="290"/>
      <c r="X47" s="290"/>
      <c r="Y47" s="290"/>
      <c r="Z47" s="290"/>
      <c r="AA47" s="290"/>
      <c r="AB47" s="281"/>
      <c r="AE47" s="234"/>
      <c r="AF47" s="234"/>
      <c r="AV47" s="234"/>
    </row>
    <row r="48" spans="1:48" x14ac:dyDescent="0.25">
      <c r="B48" s="201" t="s">
        <v>47</v>
      </c>
      <c r="C48" s="191" t="s">
        <v>31</v>
      </c>
      <c r="D48" s="291">
        <v>520</v>
      </c>
      <c r="E48" s="291">
        <v>320</v>
      </c>
      <c r="F48" s="291">
        <v>310</v>
      </c>
      <c r="G48" s="291">
        <v>210</v>
      </c>
      <c r="H48" s="291">
        <v>300</v>
      </c>
      <c r="I48" s="291">
        <v>330</v>
      </c>
      <c r="J48" s="291">
        <v>380</v>
      </c>
      <c r="K48" s="291">
        <v>270</v>
      </c>
      <c r="L48" s="291">
        <v>170</v>
      </c>
      <c r="M48" s="291">
        <v>120</v>
      </c>
      <c r="N48" s="291">
        <v>100</v>
      </c>
      <c r="O48" s="291">
        <v>220</v>
      </c>
      <c r="P48" s="291">
        <v>300</v>
      </c>
      <c r="Q48" s="291">
        <v>290</v>
      </c>
      <c r="R48" s="291">
        <v>260</v>
      </c>
      <c r="S48" s="291">
        <v>80</v>
      </c>
      <c r="T48" s="291">
        <v>280</v>
      </c>
      <c r="U48" s="291">
        <v>150</v>
      </c>
      <c r="V48" s="291">
        <v>360</v>
      </c>
      <c r="W48" s="291">
        <v>280</v>
      </c>
      <c r="X48" s="291">
        <v>280</v>
      </c>
      <c r="Y48" s="291">
        <v>220</v>
      </c>
      <c r="Z48" s="291">
        <v>20</v>
      </c>
      <c r="AA48" s="291">
        <v>30</v>
      </c>
      <c r="AB48" s="282"/>
      <c r="AC48" s="282"/>
      <c r="AD48" s="234"/>
      <c r="AE48" s="234"/>
      <c r="AF48" s="234"/>
      <c r="AV48" s="234"/>
    </row>
    <row r="49" spans="1:48" x14ac:dyDescent="0.25">
      <c r="B49" s="201" t="s">
        <v>114</v>
      </c>
      <c r="C49" s="191" t="s">
        <v>31</v>
      </c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82"/>
      <c r="AC49" s="281"/>
      <c r="AD49" s="234"/>
      <c r="AE49" s="234"/>
      <c r="AF49" s="234"/>
      <c r="AV49" s="234"/>
    </row>
    <row r="50" spans="1:48" x14ac:dyDescent="0.25">
      <c r="B50" s="201" t="s">
        <v>47</v>
      </c>
      <c r="C50" s="192" t="s">
        <v>44</v>
      </c>
      <c r="D50" s="291">
        <v>360</v>
      </c>
      <c r="E50" s="291">
        <v>60</v>
      </c>
      <c r="F50" s="290">
        <v>80</v>
      </c>
      <c r="G50" s="290">
        <v>10</v>
      </c>
      <c r="H50" s="290">
        <v>160</v>
      </c>
      <c r="I50" s="290">
        <v>80</v>
      </c>
      <c r="J50" s="290">
        <v>40</v>
      </c>
      <c r="K50" s="290">
        <v>120</v>
      </c>
      <c r="L50" s="290">
        <v>170</v>
      </c>
      <c r="M50" s="290">
        <v>80</v>
      </c>
      <c r="N50" s="290">
        <v>150</v>
      </c>
      <c r="O50" s="290">
        <v>40</v>
      </c>
      <c r="P50" s="290">
        <v>40</v>
      </c>
      <c r="Q50" s="290">
        <v>70</v>
      </c>
      <c r="R50" s="290">
        <v>120</v>
      </c>
      <c r="S50" s="290">
        <v>170</v>
      </c>
      <c r="T50" s="290">
        <v>170</v>
      </c>
      <c r="U50" s="290">
        <v>180</v>
      </c>
      <c r="V50" s="290">
        <v>10</v>
      </c>
      <c r="W50" s="290">
        <v>130</v>
      </c>
      <c r="X50" s="290">
        <v>10</v>
      </c>
      <c r="Y50" s="290">
        <v>190</v>
      </c>
      <c r="Z50" s="290">
        <v>110</v>
      </c>
      <c r="AA50" s="290">
        <v>100</v>
      </c>
      <c r="AB50" s="281"/>
      <c r="AC50" s="281"/>
      <c r="AD50" s="234"/>
      <c r="AE50" s="234"/>
      <c r="AF50" s="234"/>
      <c r="AV50" s="234"/>
    </row>
    <row r="51" spans="1:48" x14ac:dyDescent="0.25">
      <c r="B51" s="201" t="s">
        <v>114</v>
      </c>
      <c r="C51" s="192" t="s">
        <v>44</v>
      </c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290"/>
      <c r="X51" s="290"/>
      <c r="Y51" s="290"/>
      <c r="Z51" s="290"/>
      <c r="AA51" s="290"/>
      <c r="AB51" s="281"/>
      <c r="AC51" s="281"/>
      <c r="AD51" s="234"/>
      <c r="AE51" s="234"/>
      <c r="AF51" s="234"/>
      <c r="AV51" s="234"/>
    </row>
    <row r="52" spans="1:48" ht="15.75" thickBot="1" x14ac:dyDescent="0.3">
      <c r="AD52" s="234"/>
      <c r="AE52" s="234"/>
      <c r="AF52" s="234"/>
      <c r="AV52" s="234"/>
    </row>
    <row r="53" spans="1:48" ht="15.75" thickBot="1" x14ac:dyDescent="0.3">
      <c r="A53" s="301" t="s">
        <v>110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302"/>
      <c r="X53" s="302"/>
      <c r="Y53" s="302"/>
      <c r="Z53" s="302"/>
      <c r="AA53" s="303"/>
      <c r="AD53" s="234"/>
      <c r="AE53" s="234"/>
      <c r="AF53" s="234"/>
      <c r="AV53" s="234"/>
    </row>
    <row r="54" spans="1:48" x14ac:dyDescent="0.25">
      <c r="AD54" s="234"/>
      <c r="AE54" s="234"/>
      <c r="AF54" s="234"/>
      <c r="AV54" s="234"/>
    </row>
    <row r="55" spans="1:48" ht="15.75" thickBot="1" x14ac:dyDescent="0.3">
      <c r="C55" s="80" t="s">
        <v>0</v>
      </c>
      <c r="D55" s="80" t="s">
        <v>1</v>
      </c>
      <c r="E55" s="80" t="s">
        <v>2</v>
      </c>
      <c r="F55" s="80" t="s">
        <v>3</v>
      </c>
      <c r="G55" s="80" t="s">
        <v>4</v>
      </c>
      <c r="H55" s="80" t="s">
        <v>5</v>
      </c>
      <c r="I55" s="80" t="s">
        <v>6</v>
      </c>
      <c r="J55" s="80" t="s">
        <v>7</v>
      </c>
      <c r="K55" s="80" t="s">
        <v>8</v>
      </c>
      <c r="L55" s="80" t="s">
        <v>9</v>
      </c>
      <c r="M55" s="80" t="s">
        <v>10</v>
      </c>
      <c r="N55" s="80" t="s">
        <v>11</v>
      </c>
      <c r="O55" s="80" t="s">
        <v>12</v>
      </c>
      <c r="P55" s="80" t="s">
        <v>13</v>
      </c>
      <c r="Q55" s="80" t="s">
        <v>14</v>
      </c>
      <c r="R55" s="80" t="s">
        <v>15</v>
      </c>
      <c r="S55" s="80" t="s">
        <v>16</v>
      </c>
      <c r="T55" s="80" t="s">
        <v>17</v>
      </c>
      <c r="U55" s="80" t="s">
        <v>18</v>
      </c>
      <c r="V55" s="80" t="s">
        <v>19</v>
      </c>
      <c r="W55" s="80" t="s">
        <v>20</v>
      </c>
      <c r="X55" s="80" t="s">
        <v>21</v>
      </c>
      <c r="Y55" s="80" t="s">
        <v>22</v>
      </c>
      <c r="Z55" s="80" t="s">
        <v>23</v>
      </c>
      <c r="AA55" s="277"/>
      <c r="AB55" s="279"/>
      <c r="AC55" s="279"/>
      <c r="AD55" s="234"/>
      <c r="AE55" s="234"/>
      <c r="AF55" s="234"/>
      <c r="AV55" s="234"/>
    </row>
    <row r="56" spans="1:48" ht="15.75" thickBot="1" x14ac:dyDescent="0.3">
      <c r="B56" s="140" t="s">
        <v>111</v>
      </c>
      <c r="C56" s="85">
        <v>1700</v>
      </c>
      <c r="D56" s="85">
        <v>1700</v>
      </c>
      <c r="E56" s="85">
        <v>1700</v>
      </c>
      <c r="F56" s="85">
        <v>1700</v>
      </c>
      <c r="G56" s="85">
        <v>1700</v>
      </c>
      <c r="H56" s="85">
        <v>1700</v>
      </c>
      <c r="I56" s="85">
        <v>1700</v>
      </c>
      <c r="J56" s="85">
        <v>1700</v>
      </c>
      <c r="K56" s="85">
        <v>1700</v>
      </c>
      <c r="L56" s="85">
        <v>1700</v>
      </c>
      <c r="M56" s="85">
        <v>1700</v>
      </c>
      <c r="N56" s="85">
        <v>1700</v>
      </c>
      <c r="O56" s="85">
        <v>1700</v>
      </c>
      <c r="P56" s="85">
        <v>1700</v>
      </c>
      <c r="Q56" s="85">
        <v>1700</v>
      </c>
      <c r="R56" s="85">
        <v>1700</v>
      </c>
      <c r="S56" s="85">
        <v>1700</v>
      </c>
      <c r="T56" s="85">
        <v>1700</v>
      </c>
      <c r="U56" s="85">
        <v>1700</v>
      </c>
      <c r="V56" s="85">
        <v>1700</v>
      </c>
      <c r="W56" s="85">
        <v>1700</v>
      </c>
      <c r="X56" s="85">
        <v>1700</v>
      </c>
      <c r="Y56" s="85">
        <v>1700</v>
      </c>
      <c r="Z56" s="85">
        <v>1700</v>
      </c>
      <c r="AA56" s="85"/>
      <c r="AB56" s="283"/>
      <c r="AC56" s="283"/>
      <c r="AD56" s="234"/>
      <c r="AE56" s="234"/>
      <c r="AF56" s="234"/>
      <c r="AV56" s="234"/>
    </row>
    <row r="57" spans="1:48" s="234" customFormat="1" x14ac:dyDescent="0.25">
      <c r="AB57" s="233"/>
      <c r="AC57" s="233"/>
    </row>
    <row r="58" spans="1:48" s="234" customFormat="1" x14ac:dyDescent="0.25">
      <c r="AB58" s="233"/>
      <c r="AC58" s="233"/>
    </row>
    <row r="59" spans="1:48" s="234" customFormat="1" x14ac:dyDescent="0.25">
      <c r="AB59" s="233"/>
      <c r="AC59" s="233"/>
    </row>
    <row r="60" spans="1:48" s="234" customFormat="1" x14ac:dyDescent="0.25">
      <c r="AB60" s="233"/>
      <c r="AC60" s="233"/>
    </row>
    <row r="61" spans="1:48" s="234" customFormat="1" x14ac:dyDescent="0.25">
      <c r="AB61" s="233"/>
      <c r="AC61" s="233"/>
    </row>
    <row r="62" spans="1:48" s="234" customFormat="1" x14ac:dyDescent="0.25">
      <c r="AB62" s="233"/>
      <c r="AC62" s="233"/>
    </row>
    <row r="63" spans="1:48" s="234" customFormat="1" x14ac:dyDescent="0.25">
      <c r="AB63" s="233"/>
      <c r="AC63" s="233"/>
    </row>
    <row r="64" spans="1:48" s="234" customFormat="1" x14ac:dyDescent="0.25">
      <c r="AB64" s="233"/>
      <c r="AC64" s="233"/>
    </row>
    <row r="65" spans="28:29" s="234" customFormat="1" x14ac:dyDescent="0.25">
      <c r="AB65" s="233"/>
      <c r="AC65" s="233"/>
    </row>
    <row r="66" spans="28:29" s="234" customFormat="1" x14ac:dyDescent="0.25">
      <c r="AB66" s="233"/>
      <c r="AC66" s="233"/>
    </row>
    <row r="67" spans="28:29" s="234" customFormat="1" x14ac:dyDescent="0.25">
      <c r="AB67" s="233"/>
      <c r="AC67" s="233"/>
    </row>
    <row r="68" spans="28:29" s="234" customFormat="1" x14ac:dyDescent="0.25">
      <c r="AB68" s="233"/>
      <c r="AC68" s="233"/>
    </row>
    <row r="69" spans="28:29" s="234" customFormat="1" x14ac:dyDescent="0.25">
      <c r="AB69" s="233"/>
      <c r="AC69" s="233"/>
    </row>
    <row r="70" spans="28:29" s="234" customFormat="1" x14ac:dyDescent="0.25">
      <c r="AB70" s="233"/>
      <c r="AC70" s="233"/>
    </row>
    <row r="71" spans="28:29" s="234" customFormat="1" x14ac:dyDescent="0.25">
      <c r="AB71" s="233"/>
      <c r="AC71" s="233"/>
    </row>
    <row r="72" spans="28:29" s="234" customFormat="1" x14ac:dyDescent="0.25">
      <c r="AB72" s="233"/>
      <c r="AC72" s="233"/>
    </row>
    <row r="73" spans="28:29" s="234" customFormat="1" x14ac:dyDescent="0.25">
      <c r="AB73" s="233"/>
      <c r="AC73" s="233"/>
    </row>
    <row r="74" spans="28:29" s="234" customFormat="1" x14ac:dyDescent="0.25">
      <c r="AB74" s="233"/>
      <c r="AC74" s="233"/>
    </row>
    <row r="75" spans="28:29" s="234" customFormat="1" x14ac:dyDescent="0.25">
      <c r="AB75" s="233"/>
      <c r="AC75" s="233"/>
    </row>
    <row r="76" spans="28:29" s="234" customFormat="1" x14ac:dyDescent="0.25">
      <c r="AB76" s="233"/>
      <c r="AC76" s="233"/>
    </row>
    <row r="77" spans="28:29" s="234" customFormat="1" x14ac:dyDescent="0.25">
      <c r="AB77" s="233"/>
      <c r="AC77" s="233"/>
    </row>
    <row r="78" spans="28:29" s="234" customFormat="1" x14ac:dyDescent="0.25">
      <c r="AB78" s="233"/>
      <c r="AC78" s="233"/>
    </row>
    <row r="79" spans="28:29" s="234" customFormat="1" x14ac:dyDescent="0.25">
      <c r="AB79" s="233"/>
      <c r="AC79" s="233"/>
    </row>
    <row r="80" spans="28:29" s="234" customFormat="1" x14ac:dyDescent="0.25">
      <c r="AB80" s="233"/>
      <c r="AC80" s="233"/>
    </row>
    <row r="81" spans="28:29" s="234" customFormat="1" x14ac:dyDescent="0.25">
      <c r="AB81" s="233"/>
      <c r="AC81" s="233"/>
    </row>
    <row r="82" spans="28:29" s="234" customFormat="1" x14ac:dyDescent="0.25">
      <c r="AB82" s="233"/>
      <c r="AC82" s="233"/>
    </row>
    <row r="83" spans="28:29" s="234" customFormat="1" x14ac:dyDescent="0.25">
      <c r="AB83" s="233"/>
      <c r="AC83" s="233"/>
    </row>
    <row r="84" spans="28:29" s="234" customFormat="1" x14ac:dyDescent="0.25">
      <c r="AB84" s="233"/>
      <c r="AC84" s="233"/>
    </row>
    <row r="85" spans="28:29" s="234" customFormat="1" x14ac:dyDescent="0.25">
      <c r="AB85" s="233"/>
      <c r="AC85" s="233"/>
    </row>
    <row r="86" spans="28:29" s="234" customFormat="1" x14ac:dyDescent="0.25">
      <c r="AB86" s="233"/>
      <c r="AC86" s="233"/>
    </row>
    <row r="87" spans="28:29" s="234" customFormat="1" x14ac:dyDescent="0.25">
      <c r="AB87" s="233"/>
      <c r="AC87" s="233"/>
    </row>
    <row r="88" spans="28:29" s="234" customFormat="1" x14ac:dyDescent="0.25">
      <c r="AB88" s="233"/>
      <c r="AC88" s="233"/>
    </row>
    <row r="89" spans="28:29" s="234" customFormat="1" x14ac:dyDescent="0.25">
      <c r="AB89" s="233"/>
      <c r="AC89" s="233"/>
    </row>
    <row r="90" spans="28:29" s="234" customFormat="1" x14ac:dyDescent="0.25">
      <c r="AB90" s="233"/>
      <c r="AC90" s="233"/>
    </row>
    <row r="91" spans="28:29" s="234" customFormat="1" x14ac:dyDescent="0.25">
      <c r="AB91" s="233"/>
      <c r="AC91" s="233"/>
    </row>
    <row r="92" spans="28:29" s="234" customFormat="1" x14ac:dyDescent="0.25">
      <c r="AB92" s="233"/>
      <c r="AC92" s="233"/>
    </row>
    <row r="93" spans="28:29" s="234" customFormat="1" x14ac:dyDescent="0.25">
      <c r="AB93" s="233"/>
      <c r="AC93" s="233"/>
    </row>
    <row r="94" spans="28:29" s="234" customFormat="1" x14ac:dyDescent="0.25">
      <c r="AB94" s="233"/>
      <c r="AC94" s="233"/>
    </row>
    <row r="95" spans="28:29" s="234" customFormat="1" x14ac:dyDescent="0.25">
      <c r="AB95" s="233"/>
      <c r="AC95" s="233"/>
    </row>
    <row r="96" spans="28:29" s="234" customFormat="1" x14ac:dyDescent="0.25">
      <c r="AB96" s="233"/>
      <c r="AC96" s="233"/>
    </row>
    <row r="97" spans="28:29" s="234" customFormat="1" x14ac:dyDescent="0.25">
      <c r="AB97" s="233"/>
      <c r="AC97" s="233"/>
    </row>
    <row r="98" spans="28:29" s="234" customFormat="1" x14ac:dyDescent="0.25">
      <c r="AB98" s="233"/>
      <c r="AC98" s="233"/>
    </row>
    <row r="99" spans="28:29" s="234" customFormat="1" x14ac:dyDescent="0.25">
      <c r="AB99" s="233"/>
      <c r="AC99" s="233"/>
    </row>
    <row r="100" spans="28:29" s="234" customFormat="1" x14ac:dyDescent="0.25">
      <c r="AB100" s="233"/>
      <c r="AC100" s="233"/>
    </row>
    <row r="101" spans="28:29" s="234" customFormat="1" x14ac:dyDescent="0.25">
      <c r="AB101" s="233"/>
      <c r="AC101" s="233"/>
    </row>
    <row r="102" spans="28:29" s="234" customFormat="1" x14ac:dyDescent="0.25">
      <c r="AB102" s="233"/>
      <c r="AC102" s="233"/>
    </row>
    <row r="103" spans="28:29" s="234" customFormat="1" x14ac:dyDescent="0.25">
      <c r="AB103" s="233"/>
      <c r="AC103" s="233"/>
    </row>
    <row r="104" spans="28:29" s="234" customFormat="1" x14ac:dyDescent="0.25">
      <c r="AB104" s="233"/>
      <c r="AC104" s="233"/>
    </row>
    <row r="105" spans="28:29" s="234" customFormat="1" x14ac:dyDescent="0.25">
      <c r="AB105" s="233"/>
      <c r="AC105" s="233"/>
    </row>
    <row r="106" spans="28:29" s="234" customFormat="1" x14ac:dyDescent="0.25">
      <c r="AB106" s="233"/>
      <c r="AC106" s="233"/>
    </row>
    <row r="107" spans="28:29" s="234" customFormat="1" x14ac:dyDescent="0.25">
      <c r="AB107" s="233"/>
      <c r="AC107" s="233"/>
    </row>
    <row r="108" spans="28:29" s="234" customFormat="1" x14ac:dyDescent="0.25">
      <c r="AB108" s="233"/>
      <c r="AC108" s="233"/>
    </row>
    <row r="109" spans="28:29" s="234" customFormat="1" x14ac:dyDescent="0.25">
      <c r="AB109" s="233"/>
      <c r="AC109" s="233"/>
    </row>
    <row r="110" spans="28:29" s="234" customFormat="1" x14ac:dyDescent="0.25">
      <c r="AB110" s="233"/>
      <c r="AC110" s="233"/>
    </row>
    <row r="111" spans="28:29" s="234" customFormat="1" x14ac:dyDescent="0.25">
      <c r="AB111" s="233"/>
      <c r="AC111" s="233"/>
    </row>
    <row r="112" spans="28:29" s="234" customFormat="1" x14ac:dyDescent="0.25">
      <c r="AB112" s="233"/>
      <c r="AC112" s="233"/>
    </row>
    <row r="113" spans="28:30" s="234" customFormat="1" x14ac:dyDescent="0.25">
      <c r="AB113" s="233"/>
      <c r="AC113" s="233"/>
    </row>
    <row r="114" spans="28:30" s="234" customFormat="1" x14ac:dyDescent="0.25">
      <c r="AB114" s="233"/>
      <c r="AC114" s="233"/>
    </row>
    <row r="115" spans="28:30" s="234" customFormat="1" x14ac:dyDescent="0.25">
      <c r="AB115" s="233"/>
      <c r="AC115" s="233"/>
    </row>
    <row r="116" spans="28:30" s="234" customFormat="1" x14ac:dyDescent="0.25">
      <c r="AB116" s="233"/>
      <c r="AC116" s="233"/>
    </row>
    <row r="117" spans="28:30" x14ac:dyDescent="0.25">
      <c r="AD117" s="234"/>
    </row>
    <row r="118" spans="28:30" x14ac:dyDescent="0.25">
      <c r="AD118" s="234"/>
    </row>
    <row r="119" spans="28:30" x14ac:dyDescent="0.25">
      <c r="AD119" s="234"/>
    </row>
    <row r="120" spans="28:30" x14ac:dyDescent="0.25">
      <c r="AD120" s="234"/>
    </row>
    <row r="121" spans="28:30" x14ac:dyDescent="0.25">
      <c r="AD121" s="234"/>
    </row>
    <row r="122" spans="28:30" x14ac:dyDescent="0.25">
      <c r="AD122" s="234"/>
    </row>
    <row r="123" spans="28:30" x14ac:dyDescent="0.25">
      <c r="AD123" s="234"/>
    </row>
  </sheetData>
  <mergeCells count="5">
    <mergeCell ref="AD3:AF3"/>
    <mergeCell ref="A3:AA3"/>
    <mergeCell ref="A17:AA17"/>
    <mergeCell ref="A41:AA41"/>
    <mergeCell ref="A53:AA53"/>
  </mergeCells>
  <phoneticPr fontId="1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er_S1">
                <anchor moveWithCells="1" sizeWithCells="1">
                  <from>
                    <xdr:col>30</xdr:col>
                    <xdr:colOff>114300</xdr:colOff>
                    <xdr:row>21</xdr:row>
                    <xdr:rowOff>47625</xdr:rowOff>
                  </from>
                  <to>
                    <xdr:col>32</xdr:col>
                    <xdr:colOff>590550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CO673"/>
  <sheetViews>
    <sheetView tabSelected="1" zoomScale="56" zoomScaleNormal="77" workbookViewId="0">
      <selection activeCell="AL17" sqref="AL17"/>
    </sheetView>
  </sheetViews>
  <sheetFormatPr baseColWidth="10" defaultColWidth="11.42578125" defaultRowHeight="15" x14ac:dyDescent="0.25"/>
  <cols>
    <col min="1" max="1" width="10" customWidth="1"/>
    <col min="4" max="4" width="6.5703125" customWidth="1"/>
    <col min="5" max="5" width="6.7109375" style="5" customWidth="1"/>
    <col min="6" max="6" width="6.5703125" customWidth="1"/>
    <col min="7" max="7" width="6.7109375" style="5" customWidth="1"/>
    <col min="8" max="8" width="20.42578125" style="22" customWidth="1"/>
    <col min="9" max="9" width="5.7109375" style="22" customWidth="1"/>
    <col min="10" max="31" width="7.28515625" style="22" customWidth="1"/>
    <col min="32" max="33" width="7.28515625" customWidth="1"/>
    <col min="34" max="34" width="5.7109375" customWidth="1"/>
    <col min="35" max="36" width="6.85546875" style="23" customWidth="1"/>
    <col min="37" max="37" width="7.42578125" style="23" customWidth="1"/>
    <col min="38" max="93" width="11.42578125" style="23"/>
  </cols>
  <sheetData>
    <row r="1" spans="1:93" s="24" customFormat="1" ht="15.75" thickBot="1" x14ac:dyDescent="0.3">
      <c r="E1" s="23"/>
      <c r="G1" s="23"/>
      <c r="H1" s="25"/>
      <c r="I1" s="25"/>
      <c r="J1" s="25"/>
      <c r="K1" s="23" t="s">
        <v>70</v>
      </c>
      <c r="L1" s="23" t="s">
        <v>71</v>
      </c>
      <c r="M1" s="23" t="s">
        <v>72</v>
      </c>
      <c r="N1" s="23"/>
      <c r="O1" s="23" t="s">
        <v>74</v>
      </c>
      <c r="P1" s="23" t="s">
        <v>56</v>
      </c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H1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</row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2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46" t="s">
        <v>102</v>
      </c>
      <c r="I4" s="210" t="s">
        <v>76</v>
      </c>
      <c r="J4" s="210" t="s">
        <v>77</v>
      </c>
      <c r="K4" s="210" t="s">
        <v>78</v>
      </c>
      <c r="L4" s="210" t="s">
        <v>79</v>
      </c>
      <c r="M4" s="210" t="s">
        <v>80</v>
      </c>
      <c r="N4" s="210" t="s">
        <v>81</v>
      </c>
      <c r="O4" s="210" t="s">
        <v>82</v>
      </c>
      <c r="P4" s="210" t="s">
        <v>83</v>
      </c>
      <c r="Q4" s="210" t="s">
        <v>84</v>
      </c>
      <c r="R4" s="210" t="s">
        <v>85</v>
      </c>
      <c r="S4" s="210" t="s">
        <v>86</v>
      </c>
      <c r="T4" s="210" t="s">
        <v>87</v>
      </c>
      <c r="U4" s="210" t="s">
        <v>88</v>
      </c>
      <c r="V4" s="210" t="s">
        <v>89</v>
      </c>
      <c r="W4" s="210" t="s">
        <v>90</v>
      </c>
      <c r="X4" s="210" t="s">
        <v>91</v>
      </c>
      <c r="Y4" s="210" t="s">
        <v>92</v>
      </c>
      <c r="Z4" s="210" t="s">
        <v>93</v>
      </c>
      <c r="AA4" s="210" t="s">
        <v>94</v>
      </c>
      <c r="AB4" s="210" t="s">
        <v>95</v>
      </c>
      <c r="AC4" s="210" t="s">
        <v>96</v>
      </c>
      <c r="AD4" s="210" t="s">
        <v>97</v>
      </c>
      <c r="AE4" s="210" t="s">
        <v>98</v>
      </c>
      <c r="AF4" s="211" t="s">
        <v>99</v>
      </c>
      <c r="AG4" s="210" t="s">
        <v>100</v>
      </c>
      <c r="AH4" s="210"/>
      <c r="AI4" s="210"/>
      <c r="AJ4" s="210"/>
      <c r="AK4" s="210"/>
      <c r="CL4"/>
      <c r="CM4"/>
      <c r="CN4"/>
      <c r="CO4"/>
    </row>
    <row r="5" spans="1:93" ht="22.5" customHeight="1" x14ac:dyDescent="0.25">
      <c r="A5" s="30">
        <v>1000</v>
      </c>
      <c r="B5" s="102" t="s">
        <v>29</v>
      </c>
      <c r="C5" s="103" t="s">
        <v>50</v>
      </c>
      <c r="D5" s="116" t="s">
        <v>33</v>
      </c>
      <c r="E5" s="103" t="s">
        <v>50</v>
      </c>
      <c r="F5" s="116" t="s">
        <v>33</v>
      </c>
      <c r="G5" s="30">
        <v>0</v>
      </c>
      <c r="H5" s="168" t="s">
        <v>115</v>
      </c>
      <c r="I5" s="169"/>
      <c r="J5" s="263">
        <f>J8</f>
        <v>10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/>
      <c r="CN5"/>
      <c r="CO5"/>
    </row>
    <row r="6" spans="1:93" ht="22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50</v>
      </c>
      <c r="F6" s="116" t="s">
        <v>33</v>
      </c>
      <c r="G6" s="30">
        <v>0</v>
      </c>
      <c r="H6" s="168" t="s">
        <v>116</v>
      </c>
      <c r="I6" s="169"/>
      <c r="J6" s="263">
        <f>J10</f>
        <v>210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/>
      <c r="CN6"/>
      <c r="CO6"/>
    </row>
    <row r="7" spans="1:93" ht="22.5" customHeight="1" thickBot="1" x14ac:dyDescent="0.3">
      <c r="A7" s="30">
        <v>1000</v>
      </c>
      <c r="B7" s="102" t="s">
        <v>29</v>
      </c>
      <c r="C7" s="103" t="s">
        <v>50</v>
      </c>
      <c r="D7" s="116" t="s">
        <v>33</v>
      </c>
      <c r="E7" s="103" t="s">
        <v>50</v>
      </c>
      <c r="F7" s="116" t="s">
        <v>33</v>
      </c>
      <c r="G7" s="30">
        <v>0</v>
      </c>
      <c r="H7" s="168" t="s">
        <v>120</v>
      </c>
      <c r="I7" s="38">
        <f>MJ_Initialisation!AF6</f>
        <v>0</v>
      </c>
      <c r="J7" s="293">
        <f>I7+J6-J5</f>
        <v>200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/>
      <c r="CN7"/>
      <c r="CO7"/>
    </row>
    <row r="8" spans="1:93" ht="19.5" customHeight="1" x14ac:dyDescent="0.25">
      <c r="A8" s="30">
        <v>1000</v>
      </c>
      <c r="B8" s="102" t="s">
        <v>29</v>
      </c>
      <c r="C8" s="103" t="s">
        <v>50</v>
      </c>
      <c r="D8" s="116" t="s">
        <v>33</v>
      </c>
      <c r="E8" s="103" t="s">
        <v>50</v>
      </c>
      <c r="F8" s="116" t="s">
        <v>33</v>
      </c>
      <c r="G8" s="30">
        <v>0</v>
      </c>
      <c r="H8" s="27" t="s">
        <v>26</v>
      </c>
      <c r="I8" s="28"/>
      <c r="J8" s="29">
        <f>MJ_Initialisation!D6</f>
        <v>10</v>
      </c>
      <c r="K8" s="29">
        <f>MJ_Initialisation!E6</f>
        <v>60</v>
      </c>
      <c r="L8" s="29">
        <f>MJ_Initialisation!F6</f>
        <v>200</v>
      </c>
      <c r="M8" s="29">
        <f>MJ_Initialisation!G6</f>
        <v>80</v>
      </c>
      <c r="N8" s="29">
        <f>MJ_Initialisation!H6</f>
        <v>70</v>
      </c>
      <c r="O8" s="29">
        <f>MJ_Initialisation!I6</f>
        <v>150</v>
      </c>
      <c r="P8" s="29">
        <f>MJ_Initialisation!J6</f>
        <v>130</v>
      </c>
      <c r="Q8" s="29">
        <f>MJ_Initialisation!K6</f>
        <v>200</v>
      </c>
      <c r="R8" s="29">
        <f>MJ_Initialisation!L6</f>
        <v>70</v>
      </c>
      <c r="S8" s="29">
        <f>MJ_Initialisation!M6</f>
        <v>160</v>
      </c>
      <c r="T8" s="29">
        <f>MJ_Initialisation!N6</f>
        <v>170</v>
      </c>
      <c r="U8" s="29">
        <f>MJ_Initialisation!O6</f>
        <v>130</v>
      </c>
      <c r="V8" s="29">
        <f>MJ_Initialisation!P6</f>
        <v>30</v>
      </c>
      <c r="W8" s="29">
        <f>MJ_Initialisation!Q6</f>
        <v>120</v>
      </c>
      <c r="X8" s="29">
        <f>MJ_Initialisation!R6</f>
        <v>40</v>
      </c>
      <c r="Y8" s="29">
        <f>MJ_Initialisation!S6</f>
        <v>150</v>
      </c>
      <c r="Z8" s="29">
        <f>MJ_Initialisation!T6</f>
        <v>150</v>
      </c>
      <c r="AA8" s="29">
        <f>MJ_Initialisation!U6</f>
        <v>20</v>
      </c>
      <c r="AB8" s="29">
        <f>MJ_Initialisation!V6</f>
        <v>170</v>
      </c>
      <c r="AC8" s="29">
        <f>MJ_Initialisation!W6</f>
        <v>40</v>
      </c>
      <c r="AD8" s="29">
        <f>MJ_Initialisation!X6</f>
        <v>130</v>
      </c>
      <c r="AE8" s="29">
        <f>MJ_Initialisation!Y6</f>
        <v>100</v>
      </c>
      <c r="AF8" s="29">
        <f>MJ_Initialisation!Z6</f>
        <v>190</v>
      </c>
      <c r="AG8" s="29">
        <f>MJ_Initialisation!AA6</f>
        <v>40</v>
      </c>
      <c r="AH8" s="235"/>
      <c r="AI8" s="235"/>
      <c r="AJ8" s="235"/>
      <c r="AK8" s="235"/>
      <c r="CL8"/>
      <c r="CM8"/>
      <c r="CN8"/>
      <c r="CO8"/>
    </row>
    <row r="9" spans="1:93" ht="19.5" customHeight="1" x14ac:dyDescent="0.25">
      <c r="A9" s="30">
        <v>1000</v>
      </c>
      <c r="B9" s="102" t="s">
        <v>29</v>
      </c>
      <c r="C9" s="103" t="s">
        <v>50</v>
      </c>
      <c r="D9" s="116" t="s">
        <v>33</v>
      </c>
      <c r="E9" s="103" t="s">
        <v>50</v>
      </c>
      <c r="F9" s="116" t="s">
        <v>33</v>
      </c>
      <c r="G9" s="30">
        <v>0</v>
      </c>
      <c r="H9" s="125" t="s">
        <v>24</v>
      </c>
      <c r="I9" s="31"/>
      <c r="J9" s="6">
        <v>200</v>
      </c>
      <c r="K9" s="223">
        <v>200</v>
      </c>
      <c r="L9" s="223">
        <v>200</v>
      </c>
      <c r="M9" s="223">
        <v>200</v>
      </c>
      <c r="N9" s="223">
        <v>200</v>
      </c>
      <c r="O9" s="223">
        <v>200</v>
      </c>
      <c r="P9" s="223">
        <v>200</v>
      </c>
      <c r="Q9" s="223">
        <v>200</v>
      </c>
      <c r="R9" s="223">
        <v>200</v>
      </c>
      <c r="S9" s="223">
        <v>200</v>
      </c>
      <c r="T9" s="223">
        <v>200</v>
      </c>
      <c r="U9" s="223">
        <v>200</v>
      </c>
      <c r="V9" s="223">
        <v>200</v>
      </c>
      <c r="W9" s="223">
        <v>200</v>
      </c>
      <c r="X9" s="223">
        <v>200</v>
      </c>
      <c r="Y9" s="223">
        <v>200</v>
      </c>
      <c r="Z9" s="223">
        <v>200</v>
      </c>
      <c r="AA9" s="223">
        <v>200</v>
      </c>
      <c r="AB9" s="223">
        <v>200</v>
      </c>
      <c r="AC9" s="223">
        <v>200</v>
      </c>
      <c r="AD9" s="223">
        <v>200</v>
      </c>
      <c r="AE9" s="223">
        <v>200</v>
      </c>
      <c r="AF9" s="223">
        <v>200</v>
      </c>
      <c r="AG9" s="223">
        <v>200</v>
      </c>
      <c r="AH9" s="223"/>
      <c r="AI9" s="223"/>
      <c r="AJ9" s="223"/>
      <c r="AK9" s="223"/>
      <c r="CL9"/>
      <c r="CM9"/>
      <c r="CN9"/>
      <c r="CO9"/>
    </row>
    <row r="10" spans="1:93" s="10" customFormat="1" ht="19.5" customHeight="1" thickBot="1" x14ac:dyDescent="0.3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50</v>
      </c>
      <c r="F10" s="116" t="s">
        <v>33</v>
      </c>
      <c r="G10" s="30">
        <v>0</v>
      </c>
      <c r="H10" s="32" t="s">
        <v>41</v>
      </c>
      <c r="I10" s="33"/>
      <c r="J10" s="34">
        <f>MJ_Initialisation!D20</f>
        <v>210</v>
      </c>
      <c r="K10" s="34">
        <f>MJ_Initialisation!E20</f>
        <v>60</v>
      </c>
      <c r="L10" s="34">
        <f>MJ_Initialisation!F20</f>
        <v>200</v>
      </c>
      <c r="M10" s="34">
        <f>MJ_Initialisation!G20</f>
        <v>80</v>
      </c>
      <c r="N10" s="34">
        <f>MJ_Initialisation!H20</f>
        <v>70</v>
      </c>
      <c r="O10" s="34">
        <f>MJ_Initialisation!I20</f>
        <v>150</v>
      </c>
      <c r="P10" s="34">
        <f>MJ_Initialisation!J20</f>
        <v>130</v>
      </c>
      <c r="Q10" s="34">
        <f>MJ_Initialisation!K20</f>
        <v>200</v>
      </c>
      <c r="R10" s="34">
        <f>MJ_Initialisation!L20</f>
        <v>70</v>
      </c>
      <c r="S10" s="34">
        <f>MJ_Initialisation!M20</f>
        <v>160</v>
      </c>
      <c r="T10" s="34">
        <f>MJ_Initialisation!N20</f>
        <v>170</v>
      </c>
      <c r="U10" s="34">
        <f>MJ_Initialisation!O20</f>
        <v>130</v>
      </c>
      <c r="V10" s="34">
        <f>MJ_Initialisation!P20</f>
        <v>30</v>
      </c>
      <c r="W10" s="34">
        <f>MJ_Initialisation!Q20</f>
        <v>120</v>
      </c>
      <c r="X10" s="34">
        <f>MJ_Initialisation!R20</f>
        <v>40</v>
      </c>
      <c r="Y10" s="34">
        <f>MJ_Initialisation!S20</f>
        <v>150</v>
      </c>
      <c r="Z10" s="34">
        <f>MJ_Initialisation!T20</f>
        <v>150</v>
      </c>
      <c r="AA10" s="34">
        <f>MJ_Initialisation!U20</f>
        <v>20</v>
      </c>
      <c r="AB10" s="34">
        <f>MJ_Initialisation!V20</f>
        <v>170</v>
      </c>
      <c r="AC10" s="34">
        <f>MJ_Initialisation!W20</f>
        <v>40</v>
      </c>
      <c r="AD10" s="34">
        <f>MJ_Initialisation!X20</f>
        <v>130</v>
      </c>
      <c r="AE10" s="34">
        <f>MJ_Initialisation!Y20</f>
        <v>100</v>
      </c>
      <c r="AF10" s="34">
        <f>MJ_Initialisation!Z20</f>
        <v>190</v>
      </c>
      <c r="AG10" s="34">
        <f>MJ_Initialisation!AA20</f>
        <v>40</v>
      </c>
      <c r="AH10" s="236"/>
      <c r="AI10" s="236"/>
      <c r="AJ10" s="236"/>
      <c r="AK10" s="236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</row>
    <row r="11" spans="1:93" s="11" customFormat="1" ht="19.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50</v>
      </c>
      <c r="F11" s="116" t="s">
        <v>33</v>
      </c>
      <c r="G11" s="30">
        <v>0</v>
      </c>
      <c r="H11" s="35" t="s">
        <v>27</v>
      </c>
      <c r="I11" s="31"/>
      <c r="J11" s="93"/>
      <c r="K11" s="93"/>
      <c r="L11" s="5"/>
      <c r="M11" s="5"/>
      <c r="N11" s="2"/>
      <c r="O11" s="2"/>
      <c r="P11" s="2"/>
      <c r="Q11" s="2"/>
      <c r="R11" s="2"/>
      <c r="S11" s="2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48"/>
      <c r="AG11" s="5"/>
      <c r="AH11" s="222"/>
      <c r="AI11" s="222"/>
      <c r="AJ11" s="222"/>
      <c r="AK11" s="222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</row>
    <row r="12" spans="1:93" s="24" customFormat="1" ht="19.5" customHeight="1" x14ac:dyDescent="0.25">
      <c r="A12" s="30">
        <v>1000</v>
      </c>
      <c r="B12" s="102" t="s">
        <v>29</v>
      </c>
      <c r="C12" s="103" t="s">
        <v>50</v>
      </c>
      <c r="D12" s="116" t="s">
        <v>33</v>
      </c>
      <c r="E12" s="103" t="s">
        <v>49</v>
      </c>
      <c r="F12" s="42" t="s">
        <v>48</v>
      </c>
      <c r="G12" s="30">
        <v>0</v>
      </c>
      <c r="H12" s="126" t="s">
        <v>57</v>
      </c>
      <c r="I12" s="93"/>
      <c r="J12" s="39">
        <f>MAX(J8+J9-J11-I7,0)</f>
        <v>210</v>
      </c>
      <c r="K12" s="238">
        <f>MAX(K8+K9-K11-J13,0)</f>
        <v>60</v>
      </c>
      <c r="L12" s="238">
        <f t="shared" ref="L12:AG12" si="0">MAX(L8+L9-L11-K13,0)</f>
        <v>200</v>
      </c>
      <c r="M12" s="238">
        <f>MAX(M8+M9-M11-L13,0)</f>
        <v>80</v>
      </c>
      <c r="N12" s="238">
        <f t="shared" si="0"/>
        <v>70</v>
      </c>
      <c r="O12" s="238">
        <f t="shared" si="0"/>
        <v>150</v>
      </c>
      <c r="P12" s="238">
        <f t="shared" si="0"/>
        <v>130</v>
      </c>
      <c r="Q12" s="238">
        <f t="shared" si="0"/>
        <v>200</v>
      </c>
      <c r="R12" s="238">
        <f t="shared" si="0"/>
        <v>70</v>
      </c>
      <c r="S12" s="238">
        <f t="shared" si="0"/>
        <v>160</v>
      </c>
      <c r="T12" s="238">
        <f t="shared" si="0"/>
        <v>170</v>
      </c>
      <c r="U12" s="238">
        <f t="shared" si="0"/>
        <v>130</v>
      </c>
      <c r="V12" s="238">
        <f t="shared" si="0"/>
        <v>30</v>
      </c>
      <c r="W12" s="238">
        <f t="shared" si="0"/>
        <v>120</v>
      </c>
      <c r="X12" s="238">
        <f t="shared" si="0"/>
        <v>40</v>
      </c>
      <c r="Y12" s="238">
        <f t="shared" si="0"/>
        <v>150</v>
      </c>
      <c r="Z12" s="238">
        <f t="shared" si="0"/>
        <v>150</v>
      </c>
      <c r="AA12" s="238">
        <f t="shared" si="0"/>
        <v>20</v>
      </c>
      <c r="AB12" s="238">
        <f t="shared" si="0"/>
        <v>170</v>
      </c>
      <c r="AC12" s="238">
        <f t="shared" si="0"/>
        <v>40</v>
      </c>
      <c r="AD12" s="238">
        <f t="shared" si="0"/>
        <v>130</v>
      </c>
      <c r="AE12" s="238">
        <f t="shared" si="0"/>
        <v>100</v>
      </c>
      <c r="AF12" s="238">
        <f t="shared" si="0"/>
        <v>190</v>
      </c>
      <c r="AG12" s="238">
        <f t="shared" si="0"/>
        <v>40</v>
      </c>
      <c r="AH12" s="238"/>
      <c r="AI12" s="238"/>
      <c r="AJ12" s="238"/>
      <c r="AK12" s="238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</row>
    <row r="13" spans="1:93" s="24" customFormat="1" ht="19.5" customHeight="1" x14ac:dyDescent="0.25">
      <c r="A13" s="30">
        <v>1000</v>
      </c>
      <c r="B13" s="102" t="s">
        <v>29</v>
      </c>
      <c r="C13" s="103" t="s">
        <v>50</v>
      </c>
      <c r="D13" s="116" t="s">
        <v>33</v>
      </c>
      <c r="E13" s="103" t="s">
        <v>50</v>
      </c>
      <c r="F13" s="116" t="s">
        <v>33</v>
      </c>
      <c r="G13" s="30">
        <v>0</v>
      </c>
      <c r="H13" s="125" t="s">
        <v>37</v>
      </c>
      <c r="J13" s="39">
        <f>I7+J12+J11-J8</f>
        <v>200</v>
      </c>
      <c r="K13" s="39">
        <f t="shared" ref="K13:AG13" si="1">J13+K12+K11-K8</f>
        <v>200</v>
      </c>
      <c r="L13" s="39">
        <f t="shared" si="1"/>
        <v>200</v>
      </c>
      <c r="M13" s="39">
        <f t="shared" si="1"/>
        <v>200</v>
      </c>
      <c r="N13" s="39">
        <f t="shared" si="1"/>
        <v>200</v>
      </c>
      <c r="O13" s="69">
        <f t="shared" si="1"/>
        <v>200</v>
      </c>
      <c r="P13" s="69">
        <f t="shared" si="1"/>
        <v>200</v>
      </c>
      <c r="Q13" s="69">
        <f t="shared" si="1"/>
        <v>200</v>
      </c>
      <c r="R13" s="69">
        <f t="shared" si="1"/>
        <v>200</v>
      </c>
      <c r="S13" s="69">
        <f t="shared" si="1"/>
        <v>200</v>
      </c>
      <c r="T13" s="69">
        <f t="shared" si="1"/>
        <v>200</v>
      </c>
      <c r="U13" s="69">
        <f t="shared" si="1"/>
        <v>200</v>
      </c>
      <c r="V13" s="69">
        <f t="shared" si="1"/>
        <v>200</v>
      </c>
      <c r="W13" s="69">
        <f t="shared" si="1"/>
        <v>200</v>
      </c>
      <c r="X13" s="69">
        <f t="shared" si="1"/>
        <v>200</v>
      </c>
      <c r="Y13" s="69">
        <f t="shared" si="1"/>
        <v>200</v>
      </c>
      <c r="Z13" s="69">
        <f t="shared" si="1"/>
        <v>200</v>
      </c>
      <c r="AA13" s="69">
        <f t="shared" si="1"/>
        <v>200</v>
      </c>
      <c r="AB13" s="69">
        <f t="shared" si="1"/>
        <v>200</v>
      </c>
      <c r="AC13" s="69">
        <f t="shared" si="1"/>
        <v>200</v>
      </c>
      <c r="AD13" s="69">
        <f t="shared" si="1"/>
        <v>200</v>
      </c>
      <c r="AE13" s="69">
        <f t="shared" si="1"/>
        <v>200</v>
      </c>
      <c r="AF13" s="150">
        <f t="shared" si="1"/>
        <v>200</v>
      </c>
      <c r="AG13" s="39">
        <f t="shared" si="1"/>
        <v>200</v>
      </c>
      <c r="AH13" s="238"/>
      <c r="AI13" s="238"/>
      <c r="AJ13" s="238"/>
      <c r="AK13" s="238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</row>
    <row r="14" spans="1:93" s="24" customFormat="1" ht="4.5" customHeight="1" x14ac:dyDescent="0.25">
      <c r="A14" s="79"/>
      <c r="B14" s="79"/>
      <c r="C14" s="79"/>
      <c r="D14" s="79"/>
      <c r="E14" s="79"/>
      <c r="F14" s="79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77"/>
      <c r="AH14" s="244"/>
      <c r="AI14" s="244"/>
      <c r="AJ14" s="244"/>
      <c r="AK14" s="244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</row>
    <row r="15" spans="1:93" ht="22.5" customHeight="1" x14ac:dyDescent="0.25">
      <c r="A15" s="30">
        <v>2000</v>
      </c>
      <c r="B15" s="121" t="s">
        <v>30</v>
      </c>
      <c r="C15" s="103" t="s">
        <v>50</v>
      </c>
      <c r="D15" s="116" t="s">
        <v>33</v>
      </c>
      <c r="E15" s="103" t="s">
        <v>50</v>
      </c>
      <c r="F15" s="116" t="s">
        <v>33</v>
      </c>
      <c r="G15" s="30">
        <v>0</v>
      </c>
      <c r="H15" s="168" t="s">
        <v>115</v>
      </c>
      <c r="I15" s="169"/>
      <c r="J15" s="263">
        <f>J18</f>
        <v>110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/>
      <c r="CN15"/>
      <c r="CO15"/>
    </row>
    <row r="16" spans="1:93" ht="22.5" customHeight="1" x14ac:dyDescent="0.25">
      <c r="A16" s="30">
        <v>2000</v>
      </c>
      <c r="B16" s="121" t="s">
        <v>30</v>
      </c>
      <c r="C16" s="103" t="s">
        <v>49</v>
      </c>
      <c r="D16" s="42" t="s">
        <v>48</v>
      </c>
      <c r="E16" s="103" t="s">
        <v>50</v>
      </c>
      <c r="F16" s="116" t="s">
        <v>33</v>
      </c>
      <c r="G16" s="30">
        <v>0</v>
      </c>
      <c r="H16" s="168" t="s">
        <v>116</v>
      </c>
      <c r="I16" s="169"/>
      <c r="J16" s="263">
        <f>J20</f>
        <v>310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/>
      <c r="CN16"/>
      <c r="CO16"/>
    </row>
    <row r="17" spans="1:93" ht="22.5" customHeight="1" thickBot="1" x14ac:dyDescent="0.3">
      <c r="A17" s="30">
        <v>2000</v>
      </c>
      <c r="B17" s="121" t="s">
        <v>30</v>
      </c>
      <c r="C17" s="103" t="s">
        <v>50</v>
      </c>
      <c r="D17" s="116" t="s">
        <v>33</v>
      </c>
      <c r="E17" s="103" t="s">
        <v>50</v>
      </c>
      <c r="F17" s="116" t="s">
        <v>33</v>
      </c>
      <c r="G17" s="30">
        <v>0</v>
      </c>
      <c r="H17" s="168" t="s">
        <v>120</v>
      </c>
      <c r="I17" s="38">
        <f>MJ_Initialisation!AF7</f>
        <v>0</v>
      </c>
      <c r="J17" s="293">
        <f>I17+J16-J15</f>
        <v>200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/>
      <c r="CN17"/>
      <c r="CO17"/>
    </row>
    <row r="18" spans="1:93" s="24" customFormat="1" ht="19.5" customHeight="1" x14ac:dyDescent="0.25">
      <c r="A18" s="30">
        <v>2000</v>
      </c>
      <c r="B18" s="121" t="s">
        <v>30</v>
      </c>
      <c r="C18" s="103" t="s">
        <v>50</v>
      </c>
      <c r="D18" s="116" t="s">
        <v>33</v>
      </c>
      <c r="E18" s="103" t="s">
        <v>50</v>
      </c>
      <c r="F18" s="116" t="s">
        <v>33</v>
      </c>
      <c r="G18" s="30">
        <v>0</v>
      </c>
      <c r="H18" s="27" t="s">
        <v>26</v>
      </c>
      <c r="I18" s="28"/>
      <c r="J18" s="29">
        <f>MJ_Initialisation!D7</f>
        <v>110</v>
      </c>
      <c r="K18" s="29">
        <f>MJ_Initialisation!E7</f>
        <v>50</v>
      </c>
      <c r="L18" s="29">
        <f>MJ_Initialisation!F7</f>
        <v>110</v>
      </c>
      <c r="M18" s="29">
        <f>MJ_Initialisation!G7</f>
        <v>50</v>
      </c>
      <c r="N18" s="29">
        <f>MJ_Initialisation!H7</f>
        <v>20</v>
      </c>
      <c r="O18" s="29">
        <f>MJ_Initialisation!I7</f>
        <v>130</v>
      </c>
      <c r="P18" s="29">
        <f>MJ_Initialisation!J7</f>
        <v>170</v>
      </c>
      <c r="Q18" s="29">
        <f>MJ_Initialisation!K7</f>
        <v>180</v>
      </c>
      <c r="R18" s="29">
        <f>MJ_Initialisation!L7</f>
        <v>180</v>
      </c>
      <c r="S18" s="29">
        <f>MJ_Initialisation!M7</f>
        <v>10</v>
      </c>
      <c r="T18" s="29">
        <f>MJ_Initialisation!N7</f>
        <v>100</v>
      </c>
      <c r="U18" s="29">
        <f>MJ_Initialisation!O7</f>
        <v>200</v>
      </c>
      <c r="V18" s="29">
        <f>MJ_Initialisation!P7</f>
        <v>30</v>
      </c>
      <c r="W18" s="29">
        <f>MJ_Initialisation!Q7</f>
        <v>200</v>
      </c>
      <c r="X18" s="29">
        <f>MJ_Initialisation!R7</f>
        <v>50</v>
      </c>
      <c r="Y18" s="29">
        <f>MJ_Initialisation!S7</f>
        <v>40</v>
      </c>
      <c r="Z18" s="29">
        <f>MJ_Initialisation!T7</f>
        <v>40</v>
      </c>
      <c r="AA18" s="29">
        <f>MJ_Initialisation!U7</f>
        <v>10</v>
      </c>
      <c r="AB18" s="29">
        <f>MJ_Initialisation!V7</f>
        <v>40</v>
      </c>
      <c r="AC18" s="29">
        <f>MJ_Initialisation!W7</f>
        <v>100</v>
      </c>
      <c r="AD18" s="29">
        <f>MJ_Initialisation!X7</f>
        <v>150</v>
      </c>
      <c r="AE18" s="29">
        <f>MJ_Initialisation!Y7</f>
        <v>100</v>
      </c>
      <c r="AF18" s="29">
        <f>MJ_Initialisation!Z7</f>
        <v>110</v>
      </c>
      <c r="AG18" s="29">
        <f>MJ_Initialisation!AA7</f>
        <v>40</v>
      </c>
      <c r="AH18" s="235"/>
      <c r="AI18" s="235"/>
      <c r="AJ18" s="235"/>
      <c r="AK18" s="235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</row>
    <row r="19" spans="1:93" s="24" customFormat="1" ht="19.5" customHeight="1" x14ac:dyDescent="0.25">
      <c r="A19" s="30">
        <v>2000</v>
      </c>
      <c r="B19" s="121" t="s">
        <v>30</v>
      </c>
      <c r="C19" s="103" t="s">
        <v>50</v>
      </c>
      <c r="D19" s="116" t="s">
        <v>33</v>
      </c>
      <c r="E19" s="103" t="s">
        <v>50</v>
      </c>
      <c r="F19" s="116" t="s">
        <v>33</v>
      </c>
      <c r="G19" s="30">
        <v>0</v>
      </c>
      <c r="H19" s="299" t="s">
        <v>24</v>
      </c>
      <c r="I19" s="300"/>
      <c r="J19" s="223">
        <v>200</v>
      </c>
      <c r="K19" s="223">
        <v>200</v>
      </c>
      <c r="L19" s="223">
        <v>200</v>
      </c>
      <c r="M19" s="223">
        <v>200</v>
      </c>
      <c r="N19" s="223">
        <v>200</v>
      </c>
      <c r="O19" s="223">
        <v>200</v>
      </c>
      <c r="P19" s="223">
        <v>200</v>
      </c>
      <c r="Q19" s="223">
        <v>200</v>
      </c>
      <c r="R19" s="223">
        <v>200</v>
      </c>
      <c r="S19" s="223">
        <v>200</v>
      </c>
      <c r="T19" s="223">
        <v>200</v>
      </c>
      <c r="U19" s="223">
        <v>200</v>
      </c>
      <c r="V19" s="223">
        <v>200</v>
      </c>
      <c r="W19" s="223">
        <v>200</v>
      </c>
      <c r="X19" s="223">
        <v>200</v>
      </c>
      <c r="Y19" s="223">
        <v>200</v>
      </c>
      <c r="Z19" s="223">
        <v>200</v>
      </c>
      <c r="AA19" s="223">
        <v>200</v>
      </c>
      <c r="AB19" s="223">
        <v>200</v>
      </c>
      <c r="AC19" s="223">
        <v>200</v>
      </c>
      <c r="AD19" s="223">
        <v>200</v>
      </c>
      <c r="AE19" s="223">
        <v>200</v>
      </c>
      <c r="AF19" s="223">
        <v>200</v>
      </c>
      <c r="AG19" s="223">
        <v>200</v>
      </c>
      <c r="AH19" s="223"/>
      <c r="AI19" s="223"/>
      <c r="AJ19" s="223"/>
      <c r="AK19" s="2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</row>
    <row r="20" spans="1:93" s="24" customFormat="1" ht="19.5" customHeight="1" x14ac:dyDescent="0.25">
      <c r="A20" s="30">
        <v>2000</v>
      </c>
      <c r="B20" s="121" t="s">
        <v>30</v>
      </c>
      <c r="C20" s="103" t="s">
        <v>49</v>
      </c>
      <c r="D20" s="42" t="s">
        <v>48</v>
      </c>
      <c r="E20" s="103" t="s">
        <v>50</v>
      </c>
      <c r="F20" s="116" t="s">
        <v>33</v>
      </c>
      <c r="G20" s="30">
        <v>0</v>
      </c>
      <c r="H20" s="32" t="s">
        <v>41</v>
      </c>
      <c r="I20" s="33"/>
      <c r="J20" s="34">
        <f>MJ_Initialisation!D22</f>
        <v>310</v>
      </c>
      <c r="K20" s="34">
        <f>MJ_Initialisation!E22</f>
        <v>50</v>
      </c>
      <c r="L20" s="34">
        <f>MJ_Initialisation!F22</f>
        <v>110</v>
      </c>
      <c r="M20" s="34">
        <f>MJ_Initialisation!G22</f>
        <v>50</v>
      </c>
      <c r="N20" s="34">
        <f>MJ_Initialisation!H22</f>
        <v>20</v>
      </c>
      <c r="O20" s="34">
        <f>MJ_Initialisation!I22</f>
        <v>130</v>
      </c>
      <c r="P20" s="34">
        <f>MJ_Initialisation!J22</f>
        <v>170</v>
      </c>
      <c r="Q20" s="34">
        <f>MJ_Initialisation!K22</f>
        <v>180</v>
      </c>
      <c r="R20" s="34">
        <f>MJ_Initialisation!L22</f>
        <v>180</v>
      </c>
      <c r="S20" s="34">
        <f>MJ_Initialisation!M22</f>
        <v>10</v>
      </c>
      <c r="T20" s="34">
        <f>MJ_Initialisation!N22</f>
        <v>100</v>
      </c>
      <c r="U20" s="34">
        <f>MJ_Initialisation!O22</f>
        <v>200</v>
      </c>
      <c r="V20" s="34">
        <f>MJ_Initialisation!P22</f>
        <v>30</v>
      </c>
      <c r="W20" s="34">
        <f>MJ_Initialisation!Q22</f>
        <v>200</v>
      </c>
      <c r="X20" s="34">
        <f>MJ_Initialisation!R22</f>
        <v>50</v>
      </c>
      <c r="Y20" s="34">
        <f>MJ_Initialisation!S22</f>
        <v>40</v>
      </c>
      <c r="Z20" s="34">
        <f>MJ_Initialisation!T22</f>
        <v>40</v>
      </c>
      <c r="AA20" s="34">
        <f>MJ_Initialisation!U22</f>
        <v>10</v>
      </c>
      <c r="AB20" s="34">
        <f>MJ_Initialisation!V22</f>
        <v>40</v>
      </c>
      <c r="AC20" s="34">
        <f>MJ_Initialisation!W22</f>
        <v>100</v>
      </c>
      <c r="AD20" s="34">
        <f>MJ_Initialisation!X22</f>
        <v>150</v>
      </c>
      <c r="AE20" s="34">
        <f>MJ_Initialisation!Y22</f>
        <v>100</v>
      </c>
      <c r="AF20" s="34">
        <f>MJ_Initialisation!Z22</f>
        <v>110</v>
      </c>
      <c r="AG20" s="34">
        <f>MJ_Initialisation!AA22</f>
        <v>40</v>
      </c>
      <c r="AH20" s="236"/>
      <c r="AI20" s="236"/>
      <c r="AJ20" s="236"/>
      <c r="AK20" s="236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</row>
    <row r="21" spans="1:93" s="24" customFormat="1" ht="19.5" customHeight="1" x14ac:dyDescent="0.25">
      <c r="A21" s="30">
        <v>2000</v>
      </c>
      <c r="B21" s="121" t="s">
        <v>30</v>
      </c>
      <c r="C21" s="103" t="s">
        <v>49</v>
      </c>
      <c r="D21" s="42" t="s">
        <v>48</v>
      </c>
      <c r="E21" s="103" t="s">
        <v>50</v>
      </c>
      <c r="F21" s="116" t="s">
        <v>33</v>
      </c>
      <c r="G21" s="30">
        <v>0</v>
      </c>
      <c r="H21" s="35" t="s">
        <v>27</v>
      </c>
      <c r="I21" s="31"/>
      <c r="J21" s="93"/>
      <c r="K21" s="93"/>
      <c r="L21" s="5"/>
      <c r="M21" s="5"/>
      <c r="N21" s="2"/>
      <c r="O21" s="2"/>
      <c r="P21" s="2"/>
      <c r="Q21" s="2"/>
      <c r="R21" s="2"/>
      <c r="S21" s="2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48"/>
      <c r="AG21" s="5"/>
      <c r="AH21" s="222"/>
      <c r="AI21" s="222"/>
      <c r="AJ21" s="222"/>
      <c r="AK21" s="222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</row>
    <row r="22" spans="1:93" s="24" customFormat="1" ht="19.5" customHeight="1" x14ac:dyDescent="0.25">
      <c r="A22" s="30">
        <v>2000</v>
      </c>
      <c r="B22" s="121" t="s">
        <v>30</v>
      </c>
      <c r="C22" s="103" t="s">
        <v>50</v>
      </c>
      <c r="D22" s="116" t="s">
        <v>33</v>
      </c>
      <c r="E22" s="103" t="s">
        <v>50</v>
      </c>
      <c r="F22" s="116" t="s">
        <v>33</v>
      </c>
      <c r="G22" s="30">
        <v>0</v>
      </c>
      <c r="H22" s="126" t="s">
        <v>57</v>
      </c>
      <c r="I22" s="93"/>
      <c r="J22" s="238">
        <f>MAX(J18+J19-J21-I17,0)</f>
        <v>310</v>
      </c>
      <c r="K22" s="238">
        <f>MAX(K18+K19-K21-J23,0)</f>
        <v>50</v>
      </c>
      <c r="L22" s="238">
        <f t="shared" ref="L22" si="2">MAX(L18+L19-L21-K23,0)</f>
        <v>110</v>
      </c>
      <c r="M22" s="238">
        <f t="shared" ref="M22" si="3">MAX(M18+M19-M21-L23,0)</f>
        <v>50</v>
      </c>
      <c r="N22" s="238">
        <f t="shared" ref="N22" si="4">MAX(N18+N19-N21-M23,0)</f>
        <v>20</v>
      </c>
      <c r="O22" s="238">
        <f t="shared" ref="O22" si="5">MAX(O18+O19-O21-N23,0)</f>
        <v>130</v>
      </c>
      <c r="P22" s="238">
        <f t="shared" ref="P22" si="6">MAX(P18+P19-P21-O23,0)</f>
        <v>170</v>
      </c>
      <c r="Q22" s="238">
        <f t="shared" ref="Q22" si="7">MAX(Q18+Q19-Q21-P23,0)</f>
        <v>180</v>
      </c>
      <c r="R22" s="238">
        <f t="shared" ref="R22" si="8">MAX(R18+R19-R21-Q23,0)</f>
        <v>180</v>
      </c>
      <c r="S22" s="238">
        <f t="shared" ref="S22" si="9">MAX(S18+S19-S21-R23,0)</f>
        <v>10</v>
      </c>
      <c r="T22" s="238">
        <f t="shared" ref="T22" si="10">MAX(T18+T19-T21-S23,0)</f>
        <v>100</v>
      </c>
      <c r="U22" s="238">
        <f t="shared" ref="U22" si="11">MAX(U18+U19-U21-T23,0)</f>
        <v>200</v>
      </c>
      <c r="V22" s="238">
        <f t="shared" ref="V22" si="12">MAX(V18+V19-V21-U23,0)</f>
        <v>30</v>
      </c>
      <c r="W22" s="238">
        <f t="shared" ref="W22" si="13">MAX(W18+W19-W21-V23,0)</f>
        <v>200</v>
      </c>
      <c r="X22" s="238">
        <f t="shared" ref="X22" si="14">MAX(X18+X19-X21-W23,0)</f>
        <v>50</v>
      </c>
      <c r="Y22" s="238">
        <f t="shared" ref="Y22" si="15">MAX(Y18+Y19-Y21-X23,0)</f>
        <v>40</v>
      </c>
      <c r="Z22" s="238">
        <f t="shared" ref="Z22" si="16">MAX(Z18+Z19-Z21-Y23,0)</f>
        <v>40</v>
      </c>
      <c r="AA22" s="238">
        <f t="shared" ref="AA22" si="17">MAX(AA18+AA19-AA21-Z23,0)</f>
        <v>10</v>
      </c>
      <c r="AB22" s="238">
        <f t="shared" ref="AB22" si="18">MAX(AB18+AB19-AB21-AA23,0)</f>
        <v>40</v>
      </c>
      <c r="AC22" s="238">
        <f t="shared" ref="AC22" si="19">MAX(AC18+AC19-AC21-AB23,0)</f>
        <v>100</v>
      </c>
      <c r="AD22" s="238">
        <f t="shared" ref="AD22" si="20">MAX(AD18+AD19-AD21-AC23,0)</f>
        <v>150</v>
      </c>
      <c r="AE22" s="238">
        <f t="shared" ref="AE22" si="21">MAX(AE18+AE19-AE21-AD23,0)</f>
        <v>100</v>
      </c>
      <c r="AF22" s="238">
        <f t="shared" ref="AF22" si="22">MAX(AF18+AF19-AF21-AE23,0)</f>
        <v>110</v>
      </c>
      <c r="AG22" s="238">
        <f t="shared" ref="AG22" si="23">MAX(AG18+AG19-AG21-AF23,0)</f>
        <v>40</v>
      </c>
      <c r="AH22" s="238"/>
      <c r="AI22" s="238"/>
      <c r="AJ22" s="238"/>
      <c r="AK22" s="238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</row>
    <row r="23" spans="1:93" s="24" customFormat="1" ht="18.75" customHeight="1" x14ac:dyDescent="0.25">
      <c r="A23" s="30">
        <v>2000</v>
      </c>
      <c r="B23" s="121" t="s">
        <v>30</v>
      </c>
      <c r="C23" s="103" t="s">
        <v>50</v>
      </c>
      <c r="D23" s="116" t="s">
        <v>33</v>
      </c>
      <c r="E23" s="103" t="s">
        <v>50</v>
      </c>
      <c r="F23" s="116" t="s">
        <v>33</v>
      </c>
      <c r="G23" s="30">
        <v>0</v>
      </c>
      <c r="H23" s="125" t="s">
        <v>37</v>
      </c>
      <c r="J23" s="39">
        <f>I17+J22+J21-J18</f>
        <v>200</v>
      </c>
      <c r="K23" s="39">
        <f t="shared" ref="K23" si="24">J23+K22+K21-K18</f>
        <v>200</v>
      </c>
      <c r="L23" s="39">
        <f t="shared" ref="L23" si="25">K23+L22+L21-L18</f>
        <v>200</v>
      </c>
      <c r="M23" s="39">
        <f t="shared" ref="M23" si="26">L23+M22+M21-M18</f>
        <v>200</v>
      </c>
      <c r="N23" s="39">
        <f t="shared" ref="N23" si="27">M23+N22+N21-N18</f>
        <v>200</v>
      </c>
      <c r="O23" s="69">
        <f t="shared" ref="O23" si="28">N23+O22+O21-O18</f>
        <v>200</v>
      </c>
      <c r="P23" s="69">
        <f t="shared" ref="P23" si="29">O23+P22+P21-P18</f>
        <v>200</v>
      </c>
      <c r="Q23" s="69">
        <f t="shared" ref="Q23" si="30">P23+Q22+Q21-Q18</f>
        <v>200</v>
      </c>
      <c r="R23" s="69">
        <f t="shared" ref="R23" si="31">Q23+R22+R21-R18</f>
        <v>200</v>
      </c>
      <c r="S23" s="69">
        <f t="shared" ref="S23" si="32">R23+S22+S21-S18</f>
        <v>200</v>
      </c>
      <c r="T23" s="69">
        <f t="shared" ref="T23" si="33">S23+T22+T21-T18</f>
        <v>200</v>
      </c>
      <c r="U23" s="69">
        <f t="shared" ref="U23" si="34">T23+U22+U21-U18</f>
        <v>200</v>
      </c>
      <c r="V23" s="69">
        <f t="shared" ref="V23" si="35">U23+V22+V21-V18</f>
        <v>200</v>
      </c>
      <c r="W23" s="69">
        <f t="shared" ref="W23" si="36">V23+W22+W21-W18</f>
        <v>200</v>
      </c>
      <c r="X23" s="69">
        <f t="shared" ref="X23" si="37">W23+X22+X21-X18</f>
        <v>200</v>
      </c>
      <c r="Y23" s="69">
        <f t="shared" ref="Y23" si="38">X23+Y22+Y21-Y18</f>
        <v>200</v>
      </c>
      <c r="Z23" s="69">
        <f t="shared" ref="Z23" si="39">Y23+Z22+Z21-Z18</f>
        <v>200</v>
      </c>
      <c r="AA23" s="69">
        <f t="shared" ref="AA23" si="40">Z23+AA22+AA21-AA18</f>
        <v>200</v>
      </c>
      <c r="AB23" s="69">
        <f t="shared" ref="AB23" si="41">AA23+AB22+AB21-AB18</f>
        <v>200</v>
      </c>
      <c r="AC23" s="69">
        <f t="shared" ref="AC23" si="42">AB23+AC22+AC21-AC18</f>
        <v>200</v>
      </c>
      <c r="AD23" s="69">
        <f t="shared" ref="AD23" si="43">AC23+AD22+AD21-AD18</f>
        <v>200</v>
      </c>
      <c r="AE23" s="69">
        <f t="shared" ref="AE23" si="44">AD23+AE22+AE21-AE18</f>
        <v>200</v>
      </c>
      <c r="AF23" s="150">
        <f t="shared" ref="AF23" si="45">AE23+AF22+AF21-AF18</f>
        <v>200</v>
      </c>
      <c r="AG23" s="39">
        <f t="shared" ref="AG23" si="46">AF23+AG22+AG21-AG18</f>
        <v>200</v>
      </c>
      <c r="AH23" s="238"/>
      <c r="AI23" s="238"/>
      <c r="AJ23" s="238"/>
      <c r="AK23" s="238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</row>
    <row r="24" spans="1:93" s="24" customFormat="1" ht="4.5" customHeight="1" x14ac:dyDescent="0.25">
      <c r="A24" s="77"/>
      <c r="B24" s="77"/>
      <c r="C24" s="77"/>
      <c r="D24" s="74"/>
      <c r="E24" s="77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151"/>
      <c r="AH24" s="258"/>
      <c r="AI24" s="258"/>
      <c r="AJ24" s="258"/>
      <c r="AK24" s="258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</row>
    <row r="25" spans="1:93" ht="22.5" customHeight="1" x14ac:dyDescent="0.25">
      <c r="A25" s="108">
        <v>3000</v>
      </c>
      <c r="B25" s="122" t="s">
        <v>31</v>
      </c>
      <c r="C25" s="103" t="s">
        <v>50</v>
      </c>
      <c r="D25" s="116" t="s">
        <v>33</v>
      </c>
      <c r="E25" s="103" t="s">
        <v>50</v>
      </c>
      <c r="F25" s="116" t="s">
        <v>33</v>
      </c>
      <c r="G25" s="30">
        <v>0</v>
      </c>
      <c r="H25" s="168" t="s">
        <v>115</v>
      </c>
      <c r="I25" s="169"/>
      <c r="J25" s="263">
        <f>J28</f>
        <v>170</v>
      </c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263"/>
      <c r="AI25" s="263"/>
      <c r="AJ25" s="263"/>
      <c r="AK25" s="263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/>
      <c r="CM25"/>
      <c r="CN25"/>
      <c r="CO25"/>
    </row>
    <row r="26" spans="1:93" ht="19.5" customHeight="1" x14ac:dyDescent="0.25">
      <c r="A26" s="108">
        <v>3000</v>
      </c>
      <c r="B26" s="122" t="s">
        <v>31</v>
      </c>
      <c r="C26" s="103" t="s">
        <v>49</v>
      </c>
      <c r="D26" s="42" t="s">
        <v>48</v>
      </c>
      <c r="E26" s="103" t="s">
        <v>50</v>
      </c>
      <c r="F26" s="116" t="s">
        <v>33</v>
      </c>
      <c r="G26" s="30">
        <v>0</v>
      </c>
      <c r="H26" s="168" t="s">
        <v>116</v>
      </c>
      <c r="I26" s="169"/>
      <c r="J26" s="263">
        <f>J30</f>
        <v>370</v>
      </c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263"/>
      <c r="AI26" s="263"/>
      <c r="AJ26" s="263"/>
      <c r="AK26" s="263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/>
      <c r="CM26"/>
      <c r="CN26"/>
      <c r="CO26"/>
    </row>
    <row r="27" spans="1:93" ht="19.5" customHeight="1" thickBot="1" x14ac:dyDescent="0.3">
      <c r="A27" s="108">
        <v>3000</v>
      </c>
      <c r="B27" s="122" t="s">
        <v>31</v>
      </c>
      <c r="C27" s="103" t="s">
        <v>50</v>
      </c>
      <c r="D27" s="116" t="s">
        <v>33</v>
      </c>
      <c r="E27" s="103" t="s">
        <v>50</v>
      </c>
      <c r="F27" s="116" t="s">
        <v>33</v>
      </c>
      <c r="G27" s="30">
        <v>0</v>
      </c>
      <c r="H27" s="168" t="s">
        <v>120</v>
      </c>
      <c r="I27" s="38">
        <f>MJ_Initialisation!AF8</f>
        <v>0</v>
      </c>
      <c r="J27" s="293">
        <f>I27+J26-J25</f>
        <v>200</v>
      </c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263"/>
      <c r="AI27" s="263"/>
      <c r="AJ27" s="263"/>
      <c r="AK27" s="263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/>
      <c r="CM27"/>
      <c r="CN27"/>
      <c r="CO27"/>
    </row>
    <row r="28" spans="1:93" s="24" customFormat="1" ht="19.5" customHeight="1" x14ac:dyDescent="0.25">
      <c r="A28" s="108">
        <v>3000</v>
      </c>
      <c r="B28" s="122" t="s">
        <v>31</v>
      </c>
      <c r="C28" s="103" t="s">
        <v>50</v>
      </c>
      <c r="D28" s="116" t="s">
        <v>33</v>
      </c>
      <c r="E28" s="103" t="s">
        <v>50</v>
      </c>
      <c r="F28" s="116" t="s">
        <v>33</v>
      </c>
      <c r="G28" s="30">
        <v>0</v>
      </c>
      <c r="H28" s="27" t="s">
        <v>26</v>
      </c>
      <c r="I28" s="28"/>
      <c r="J28" s="29">
        <f>MJ_Initialisation!D8</f>
        <v>170</v>
      </c>
      <c r="K28" s="29">
        <f>MJ_Initialisation!E8</f>
        <v>170</v>
      </c>
      <c r="L28" s="29">
        <f>MJ_Initialisation!F8</f>
        <v>110</v>
      </c>
      <c r="M28" s="29">
        <f>MJ_Initialisation!G8</f>
        <v>110</v>
      </c>
      <c r="N28" s="29">
        <f>MJ_Initialisation!H8</f>
        <v>150</v>
      </c>
      <c r="O28" s="29">
        <f>MJ_Initialisation!I8</f>
        <v>180</v>
      </c>
      <c r="P28" s="29">
        <f>MJ_Initialisation!J8</f>
        <v>80</v>
      </c>
      <c r="Q28" s="29">
        <f>MJ_Initialisation!K8</f>
        <v>120</v>
      </c>
      <c r="R28" s="29">
        <f>MJ_Initialisation!L8</f>
        <v>20</v>
      </c>
      <c r="S28" s="29">
        <f>MJ_Initialisation!M8</f>
        <v>20</v>
      </c>
      <c r="T28" s="29">
        <f>MJ_Initialisation!N8</f>
        <v>50</v>
      </c>
      <c r="U28" s="29">
        <f>MJ_Initialisation!O8</f>
        <v>120</v>
      </c>
      <c r="V28" s="29">
        <f>MJ_Initialisation!P8</f>
        <v>150</v>
      </c>
      <c r="W28" s="29">
        <f>MJ_Initialisation!Q8</f>
        <v>140</v>
      </c>
      <c r="X28" s="29">
        <f>MJ_Initialisation!R8</f>
        <v>160</v>
      </c>
      <c r="Y28" s="29">
        <f>MJ_Initialisation!S8</f>
        <v>30</v>
      </c>
      <c r="Z28" s="29">
        <f>MJ_Initialisation!T8</f>
        <v>30</v>
      </c>
      <c r="AA28" s="29">
        <f>MJ_Initialisation!U8</f>
        <v>0</v>
      </c>
      <c r="AB28" s="29">
        <f>MJ_Initialisation!V8</f>
        <v>110</v>
      </c>
      <c r="AC28" s="29">
        <f>MJ_Initialisation!W8</f>
        <v>80</v>
      </c>
      <c r="AD28" s="29">
        <f>MJ_Initialisation!X8</f>
        <v>180</v>
      </c>
      <c r="AE28" s="29">
        <f>MJ_Initialisation!Y8</f>
        <v>170</v>
      </c>
      <c r="AF28" s="29">
        <f>MJ_Initialisation!Z8</f>
        <v>20</v>
      </c>
      <c r="AG28" s="29">
        <f>MJ_Initialisation!AA8</f>
        <v>30</v>
      </c>
      <c r="AH28" s="235"/>
      <c r="AI28" s="235"/>
      <c r="AJ28" s="235"/>
      <c r="AK28" s="235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</row>
    <row r="29" spans="1:93" s="24" customFormat="1" ht="19.5" customHeight="1" x14ac:dyDescent="0.25">
      <c r="A29" s="108">
        <v>3000</v>
      </c>
      <c r="B29" s="122" t="s">
        <v>31</v>
      </c>
      <c r="C29" s="103" t="s">
        <v>50</v>
      </c>
      <c r="D29" s="116" t="s">
        <v>33</v>
      </c>
      <c r="E29" s="103" t="s">
        <v>50</v>
      </c>
      <c r="F29" s="116" t="s">
        <v>33</v>
      </c>
      <c r="G29" s="30">
        <v>0</v>
      </c>
      <c r="H29" s="125" t="s">
        <v>24</v>
      </c>
      <c r="I29" s="31"/>
      <c r="J29" s="223">
        <v>200</v>
      </c>
      <c r="K29" s="223">
        <v>200</v>
      </c>
      <c r="L29" s="223">
        <v>200</v>
      </c>
      <c r="M29" s="223">
        <v>200</v>
      </c>
      <c r="N29" s="223">
        <v>200</v>
      </c>
      <c r="O29" s="223">
        <v>200</v>
      </c>
      <c r="P29" s="223">
        <v>200</v>
      </c>
      <c r="Q29" s="223">
        <v>200</v>
      </c>
      <c r="R29" s="223">
        <v>200</v>
      </c>
      <c r="S29" s="223">
        <v>200</v>
      </c>
      <c r="T29" s="223">
        <v>200</v>
      </c>
      <c r="U29" s="223">
        <v>200</v>
      </c>
      <c r="V29" s="223">
        <v>200</v>
      </c>
      <c r="W29" s="223">
        <v>200</v>
      </c>
      <c r="X29" s="223">
        <v>200</v>
      </c>
      <c r="Y29" s="223">
        <v>200</v>
      </c>
      <c r="Z29" s="223">
        <v>200</v>
      </c>
      <c r="AA29" s="223">
        <v>200</v>
      </c>
      <c r="AB29" s="223">
        <v>200</v>
      </c>
      <c r="AC29" s="223">
        <v>200</v>
      </c>
      <c r="AD29" s="223">
        <v>200</v>
      </c>
      <c r="AE29" s="223">
        <v>200</v>
      </c>
      <c r="AF29" s="223">
        <v>200</v>
      </c>
      <c r="AG29" s="223">
        <v>200</v>
      </c>
      <c r="AH29" s="223"/>
      <c r="AI29" s="223"/>
      <c r="AJ29" s="223"/>
      <c r="AK29" s="2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</row>
    <row r="30" spans="1:93" s="24" customFormat="1" ht="19.5" customHeight="1" x14ac:dyDescent="0.25">
      <c r="A30" s="108">
        <v>3000</v>
      </c>
      <c r="B30" s="122" t="s">
        <v>31</v>
      </c>
      <c r="C30" s="103" t="s">
        <v>49</v>
      </c>
      <c r="D30" s="42" t="s">
        <v>48</v>
      </c>
      <c r="E30" s="103" t="s">
        <v>50</v>
      </c>
      <c r="F30" s="116" t="s">
        <v>33</v>
      </c>
      <c r="G30" s="30">
        <v>0</v>
      </c>
      <c r="H30" s="32" t="s">
        <v>41</v>
      </c>
      <c r="I30" s="33"/>
      <c r="J30" s="34">
        <f>MJ_Initialisation!D24</f>
        <v>370</v>
      </c>
      <c r="K30" s="34">
        <f>MJ_Initialisation!E24</f>
        <v>170</v>
      </c>
      <c r="L30" s="34">
        <f>MJ_Initialisation!F24</f>
        <v>110</v>
      </c>
      <c r="M30" s="34">
        <f>MJ_Initialisation!G24</f>
        <v>110</v>
      </c>
      <c r="N30" s="34">
        <f>MJ_Initialisation!H24</f>
        <v>150</v>
      </c>
      <c r="O30" s="34">
        <f>MJ_Initialisation!I24</f>
        <v>180</v>
      </c>
      <c r="P30" s="34">
        <f>MJ_Initialisation!J24</f>
        <v>80</v>
      </c>
      <c r="Q30" s="34">
        <f>MJ_Initialisation!K24</f>
        <v>120</v>
      </c>
      <c r="R30" s="34">
        <f>MJ_Initialisation!L24</f>
        <v>20</v>
      </c>
      <c r="S30" s="34">
        <f>MJ_Initialisation!M24</f>
        <v>20</v>
      </c>
      <c r="T30" s="34">
        <f>MJ_Initialisation!N24</f>
        <v>50</v>
      </c>
      <c r="U30" s="34">
        <f>MJ_Initialisation!O24</f>
        <v>120</v>
      </c>
      <c r="V30" s="34">
        <f>MJ_Initialisation!P24</f>
        <v>150</v>
      </c>
      <c r="W30" s="34">
        <f>MJ_Initialisation!Q24</f>
        <v>140</v>
      </c>
      <c r="X30" s="34">
        <f>MJ_Initialisation!R24</f>
        <v>160</v>
      </c>
      <c r="Y30" s="34">
        <f>MJ_Initialisation!S24</f>
        <v>30</v>
      </c>
      <c r="Z30" s="34">
        <f>MJ_Initialisation!T24</f>
        <v>30</v>
      </c>
      <c r="AA30" s="34">
        <f>MJ_Initialisation!U24</f>
        <v>0</v>
      </c>
      <c r="AB30" s="34">
        <f>MJ_Initialisation!V24</f>
        <v>110</v>
      </c>
      <c r="AC30" s="34">
        <f>MJ_Initialisation!W24</f>
        <v>80</v>
      </c>
      <c r="AD30" s="34">
        <f>MJ_Initialisation!X24</f>
        <v>180</v>
      </c>
      <c r="AE30" s="34">
        <f>MJ_Initialisation!Y24</f>
        <v>170</v>
      </c>
      <c r="AF30" s="34">
        <f>MJ_Initialisation!Z24</f>
        <v>20</v>
      </c>
      <c r="AG30" s="34">
        <f>MJ_Initialisation!AA24</f>
        <v>30</v>
      </c>
      <c r="AH30" s="236"/>
      <c r="AI30" s="236"/>
      <c r="AJ30" s="236"/>
      <c r="AK30" s="236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</row>
    <row r="31" spans="1:93" s="24" customFormat="1" ht="19.5" customHeight="1" x14ac:dyDescent="0.25">
      <c r="A31" s="108">
        <v>3000</v>
      </c>
      <c r="B31" s="122" t="s">
        <v>31</v>
      </c>
      <c r="C31" s="103" t="s">
        <v>49</v>
      </c>
      <c r="D31" s="42" t="s">
        <v>48</v>
      </c>
      <c r="E31" s="103" t="s">
        <v>50</v>
      </c>
      <c r="F31" s="116" t="s">
        <v>33</v>
      </c>
      <c r="G31" s="30">
        <v>0</v>
      </c>
      <c r="H31" s="35" t="s">
        <v>27</v>
      </c>
      <c r="I31" s="31"/>
      <c r="J31" s="93"/>
      <c r="K31" s="93"/>
      <c r="L31" s="5"/>
      <c r="M31" s="5"/>
      <c r="N31" s="2"/>
      <c r="O31" s="2"/>
      <c r="P31" s="2"/>
      <c r="Q31" s="2"/>
      <c r="R31" s="2"/>
      <c r="S31" s="2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148"/>
      <c r="AG31" s="5"/>
      <c r="AH31" s="222"/>
      <c r="AI31" s="222"/>
      <c r="AJ31" s="222"/>
      <c r="AK31" s="222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</row>
    <row r="32" spans="1:93" s="24" customFormat="1" ht="19.5" customHeight="1" x14ac:dyDescent="0.25">
      <c r="A32" s="108">
        <v>3000</v>
      </c>
      <c r="B32" s="122" t="s">
        <v>31</v>
      </c>
      <c r="C32" s="103" t="s">
        <v>50</v>
      </c>
      <c r="D32" s="116" t="s">
        <v>33</v>
      </c>
      <c r="E32" s="103" t="s">
        <v>50</v>
      </c>
      <c r="F32" s="116" t="s">
        <v>33</v>
      </c>
      <c r="G32" s="30">
        <v>0</v>
      </c>
      <c r="H32" s="126" t="s">
        <v>57</v>
      </c>
      <c r="I32" s="93"/>
      <c r="J32" s="238">
        <f>MAX(J28+J29-J31-I27,0)</f>
        <v>370</v>
      </c>
      <c r="K32" s="238">
        <f>MAX(K28+K29-K31-J33,0)</f>
        <v>170</v>
      </c>
      <c r="L32" s="238">
        <f t="shared" ref="L32" si="47">MAX(L28+L29-L31-K33,0)</f>
        <v>110</v>
      </c>
      <c r="M32" s="238">
        <f t="shared" ref="M32" si="48">MAX(M28+M29-M31-L33,0)</f>
        <v>110</v>
      </c>
      <c r="N32" s="238">
        <f t="shared" ref="N32" si="49">MAX(N28+N29-N31-M33,0)</f>
        <v>150</v>
      </c>
      <c r="O32" s="238">
        <f t="shared" ref="O32" si="50">MAX(O28+O29-O31-N33,0)</f>
        <v>180</v>
      </c>
      <c r="P32" s="238">
        <f t="shared" ref="P32" si="51">MAX(P28+P29-P31-O33,0)</f>
        <v>80</v>
      </c>
      <c r="Q32" s="238">
        <f t="shared" ref="Q32" si="52">MAX(Q28+Q29-Q31-P33,0)</f>
        <v>120</v>
      </c>
      <c r="R32" s="238">
        <f t="shared" ref="R32" si="53">MAX(R28+R29-R31-Q33,0)</f>
        <v>20</v>
      </c>
      <c r="S32" s="238">
        <f t="shared" ref="S32" si="54">MAX(S28+S29-S31-R33,0)</f>
        <v>20</v>
      </c>
      <c r="T32" s="238">
        <f t="shared" ref="T32" si="55">MAX(T28+T29-T31-S33,0)</f>
        <v>50</v>
      </c>
      <c r="U32" s="238">
        <f t="shared" ref="U32" si="56">MAX(U28+U29-U31-T33,0)</f>
        <v>120</v>
      </c>
      <c r="V32" s="238">
        <f t="shared" ref="V32" si="57">MAX(V28+V29-V31-U33,0)</f>
        <v>150</v>
      </c>
      <c r="W32" s="238">
        <f t="shared" ref="W32" si="58">MAX(W28+W29-W31-V33,0)</f>
        <v>140</v>
      </c>
      <c r="X32" s="238">
        <f t="shared" ref="X32" si="59">MAX(X28+X29-X31-W33,0)</f>
        <v>160</v>
      </c>
      <c r="Y32" s="238">
        <f t="shared" ref="Y32" si="60">MAX(Y28+Y29-Y31-X33,0)</f>
        <v>30</v>
      </c>
      <c r="Z32" s="238">
        <f t="shared" ref="Z32" si="61">MAX(Z28+Z29-Z31-Y33,0)</f>
        <v>30</v>
      </c>
      <c r="AA32" s="238">
        <f t="shared" ref="AA32" si="62">MAX(AA28+AA29-AA31-Z33,0)</f>
        <v>0</v>
      </c>
      <c r="AB32" s="238">
        <f t="shared" ref="AB32" si="63">MAX(AB28+AB29-AB31-AA33,0)</f>
        <v>110</v>
      </c>
      <c r="AC32" s="238">
        <f t="shared" ref="AC32" si="64">MAX(AC28+AC29-AC31-AB33,0)</f>
        <v>80</v>
      </c>
      <c r="AD32" s="238">
        <f t="shared" ref="AD32" si="65">MAX(AD28+AD29-AD31-AC33,0)</f>
        <v>180</v>
      </c>
      <c r="AE32" s="238">
        <f t="shared" ref="AE32" si="66">MAX(AE28+AE29-AE31-AD33,0)</f>
        <v>170</v>
      </c>
      <c r="AF32" s="238">
        <f t="shared" ref="AF32" si="67">MAX(AF28+AF29-AF31-AE33,0)</f>
        <v>20</v>
      </c>
      <c r="AG32" s="238">
        <f t="shared" ref="AG32" si="68">MAX(AG28+AG29-AG31-AF33,0)</f>
        <v>30</v>
      </c>
      <c r="AH32" s="238"/>
      <c r="AI32" s="238"/>
      <c r="AJ32" s="238"/>
      <c r="AK32" s="238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</row>
    <row r="33" spans="1:93" s="24" customFormat="1" ht="19.5" customHeight="1" x14ac:dyDescent="0.25">
      <c r="A33" s="108">
        <v>3000</v>
      </c>
      <c r="B33" s="122" t="s">
        <v>31</v>
      </c>
      <c r="C33" s="103" t="s">
        <v>50</v>
      </c>
      <c r="D33" s="116" t="s">
        <v>33</v>
      </c>
      <c r="E33" s="103" t="s">
        <v>50</v>
      </c>
      <c r="F33" s="116" t="s">
        <v>33</v>
      </c>
      <c r="G33" s="30">
        <v>0</v>
      </c>
      <c r="H33" s="125" t="s">
        <v>37</v>
      </c>
      <c r="J33" s="39">
        <f>I27+J32+J31-J28</f>
        <v>200</v>
      </c>
      <c r="K33" s="39">
        <f t="shared" ref="K33" si="69">J33+K32+K31-K28</f>
        <v>200</v>
      </c>
      <c r="L33" s="39">
        <f t="shared" ref="L33" si="70">K33+L32+L31-L28</f>
        <v>200</v>
      </c>
      <c r="M33" s="39">
        <f t="shared" ref="M33" si="71">L33+M32+M31-M28</f>
        <v>200</v>
      </c>
      <c r="N33" s="39">
        <f t="shared" ref="N33" si="72">M33+N32+N31-N28</f>
        <v>200</v>
      </c>
      <c r="O33" s="69">
        <f t="shared" ref="O33" si="73">N33+O32+O31-O28</f>
        <v>200</v>
      </c>
      <c r="P33" s="69">
        <f t="shared" ref="P33" si="74">O33+P32+P31-P28</f>
        <v>200</v>
      </c>
      <c r="Q33" s="69">
        <f t="shared" ref="Q33" si="75">P33+Q32+Q31-Q28</f>
        <v>200</v>
      </c>
      <c r="R33" s="69">
        <f t="shared" ref="R33" si="76">Q33+R32+R31-R28</f>
        <v>200</v>
      </c>
      <c r="S33" s="69">
        <f t="shared" ref="S33" si="77">R33+S32+S31-S28</f>
        <v>200</v>
      </c>
      <c r="T33" s="69">
        <f t="shared" ref="T33" si="78">S33+T32+T31-T28</f>
        <v>200</v>
      </c>
      <c r="U33" s="69">
        <f t="shared" ref="U33" si="79">T33+U32+U31-U28</f>
        <v>200</v>
      </c>
      <c r="V33" s="69">
        <f t="shared" ref="V33" si="80">U33+V32+V31-V28</f>
        <v>200</v>
      </c>
      <c r="W33" s="69">
        <f t="shared" ref="W33" si="81">V33+W32+W31-W28</f>
        <v>200</v>
      </c>
      <c r="X33" s="69">
        <f t="shared" ref="X33" si="82">W33+X32+X31-X28</f>
        <v>200</v>
      </c>
      <c r="Y33" s="69">
        <f t="shared" ref="Y33" si="83">X33+Y32+Y31-Y28</f>
        <v>200</v>
      </c>
      <c r="Z33" s="69">
        <f t="shared" ref="Z33" si="84">Y33+Z32+Z31-Z28</f>
        <v>200</v>
      </c>
      <c r="AA33" s="69">
        <f t="shared" ref="AA33" si="85">Z33+AA32+AA31-AA28</f>
        <v>200</v>
      </c>
      <c r="AB33" s="69">
        <f t="shared" ref="AB33" si="86">AA33+AB32+AB31-AB28</f>
        <v>200</v>
      </c>
      <c r="AC33" s="69">
        <f t="shared" ref="AC33" si="87">AB33+AC32+AC31-AC28</f>
        <v>200</v>
      </c>
      <c r="AD33" s="69">
        <f t="shared" ref="AD33" si="88">AC33+AD32+AD31-AD28</f>
        <v>200</v>
      </c>
      <c r="AE33" s="69">
        <f t="shared" ref="AE33" si="89">AD33+AE32+AE31-AE28</f>
        <v>200</v>
      </c>
      <c r="AF33" s="150">
        <f t="shared" ref="AF33" si="90">AE33+AF32+AF31-AF28</f>
        <v>200</v>
      </c>
      <c r="AG33" s="39">
        <f t="shared" ref="AG33" si="91">AF33+AG32+AG31-AG28</f>
        <v>200</v>
      </c>
      <c r="AH33" s="238"/>
      <c r="AI33" s="238"/>
      <c r="AJ33" s="238"/>
      <c r="AK33" s="238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</row>
    <row r="34" spans="1:93" s="24" customFormat="1" ht="14.25" customHeight="1" thickBot="1" x14ac:dyDescent="0.3">
      <c r="A34" s="77"/>
      <c r="B34" s="77"/>
      <c r="C34" s="77"/>
      <c r="D34" s="77"/>
      <c r="E34" s="77"/>
      <c r="F34" s="77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151"/>
      <c r="AH34" s="258"/>
      <c r="AI34" s="258"/>
      <c r="AJ34" s="258"/>
      <c r="AK34" s="258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</row>
    <row r="35" spans="1:93" ht="22.5" customHeight="1" thickBot="1" x14ac:dyDescent="0.3">
      <c r="A35" s="26">
        <v>4000</v>
      </c>
      <c r="B35" s="123" t="s">
        <v>44</v>
      </c>
      <c r="C35" s="103" t="s">
        <v>50</v>
      </c>
      <c r="D35" s="116" t="s">
        <v>33</v>
      </c>
      <c r="E35" s="103" t="s">
        <v>50</v>
      </c>
      <c r="F35" s="116" t="s">
        <v>33</v>
      </c>
      <c r="G35" s="30">
        <v>0</v>
      </c>
      <c r="H35" s="168" t="s">
        <v>115</v>
      </c>
      <c r="I35" s="169"/>
      <c r="J35" s="263">
        <f>J38</f>
        <v>160</v>
      </c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263"/>
      <c r="AI35" s="263"/>
      <c r="AJ35" s="263"/>
      <c r="AK35" s="263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/>
      <c r="CM35"/>
      <c r="CN35"/>
      <c r="CO35"/>
    </row>
    <row r="36" spans="1:93" ht="19.5" customHeight="1" thickBot="1" x14ac:dyDescent="0.3">
      <c r="A36" s="26">
        <v>4000</v>
      </c>
      <c r="B36" s="123" t="s">
        <v>44</v>
      </c>
      <c r="C36" s="103" t="s">
        <v>49</v>
      </c>
      <c r="D36" s="42" t="s">
        <v>48</v>
      </c>
      <c r="E36" s="103" t="s">
        <v>50</v>
      </c>
      <c r="F36" s="116" t="s">
        <v>33</v>
      </c>
      <c r="G36" s="30">
        <v>0</v>
      </c>
      <c r="H36" s="168" t="s">
        <v>116</v>
      </c>
      <c r="I36" s="169"/>
      <c r="J36" s="263">
        <f>J40</f>
        <v>360</v>
      </c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263"/>
      <c r="AI36" s="263"/>
      <c r="AJ36" s="263"/>
      <c r="AK36" s="263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/>
      <c r="CM36"/>
      <c r="CN36"/>
      <c r="CO36"/>
    </row>
    <row r="37" spans="1:93" ht="19.5" customHeight="1" thickBot="1" x14ac:dyDescent="0.3">
      <c r="A37" s="26">
        <v>4000</v>
      </c>
      <c r="B37" s="123" t="s">
        <v>44</v>
      </c>
      <c r="C37" s="103" t="s">
        <v>50</v>
      </c>
      <c r="D37" s="116" t="s">
        <v>33</v>
      </c>
      <c r="E37" s="103" t="s">
        <v>50</v>
      </c>
      <c r="F37" s="116" t="s">
        <v>33</v>
      </c>
      <c r="G37" s="30">
        <v>0</v>
      </c>
      <c r="H37" s="168" t="s">
        <v>120</v>
      </c>
      <c r="I37" s="38">
        <f>MJ_Initialisation!AF9</f>
        <v>0</v>
      </c>
      <c r="J37" s="293">
        <f>I37+J36-J35</f>
        <v>200</v>
      </c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263"/>
      <c r="AI37" s="263"/>
      <c r="AJ37" s="263"/>
      <c r="AK37" s="263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/>
      <c r="CM37"/>
      <c r="CN37"/>
      <c r="CO37"/>
    </row>
    <row r="38" spans="1:93" s="24" customFormat="1" ht="19.5" customHeight="1" thickBot="1" x14ac:dyDescent="0.3">
      <c r="A38" s="26">
        <v>4000</v>
      </c>
      <c r="B38" s="123" t="s">
        <v>44</v>
      </c>
      <c r="C38" s="103" t="s">
        <v>50</v>
      </c>
      <c r="D38" s="116" t="s">
        <v>33</v>
      </c>
      <c r="E38" s="103" t="s">
        <v>50</v>
      </c>
      <c r="F38" s="116" t="s">
        <v>33</v>
      </c>
      <c r="G38" s="30">
        <v>0</v>
      </c>
      <c r="H38" s="27" t="s">
        <v>26</v>
      </c>
      <c r="I38" s="28"/>
      <c r="J38" s="29">
        <f>MJ_Initialisation!D9</f>
        <v>160</v>
      </c>
      <c r="K38" s="29">
        <f>MJ_Initialisation!E9</f>
        <v>60</v>
      </c>
      <c r="L38" s="29">
        <f>MJ_Initialisation!F9</f>
        <v>80</v>
      </c>
      <c r="M38" s="29">
        <f>MJ_Initialisation!G9</f>
        <v>10</v>
      </c>
      <c r="N38" s="29">
        <f>MJ_Initialisation!H9</f>
        <v>160</v>
      </c>
      <c r="O38" s="29">
        <f>MJ_Initialisation!I9</f>
        <v>80</v>
      </c>
      <c r="P38" s="29">
        <f>MJ_Initialisation!J9</f>
        <v>40</v>
      </c>
      <c r="Q38" s="29">
        <f>MJ_Initialisation!K9</f>
        <v>120</v>
      </c>
      <c r="R38" s="29">
        <f>MJ_Initialisation!L9</f>
        <v>170</v>
      </c>
      <c r="S38" s="29">
        <f>MJ_Initialisation!M9</f>
        <v>80</v>
      </c>
      <c r="T38" s="29">
        <f>MJ_Initialisation!N9</f>
        <v>150</v>
      </c>
      <c r="U38" s="29">
        <f>MJ_Initialisation!O9</f>
        <v>40</v>
      </c>
      <c r="V38" s="29">
        <f>MJ_Initialisation!P9</f>
        <v>40</v>
      </c>
      <c r="W38" s="29">
        <f>MJ_Initialisation!Q9</f>
        <v>70</v>
      </c>
      <c r="X38" s="29">
        <f>MJ_Initialisation!R9</f>
        <v>120</v>
      </c>
      <c r="Y38" s="29">
        <f>MJ_Initialisation!S9</f>
        <v>170</v>
      </c>
      <c r="Z38" s="29">
        <f>MJ_Initialisation!T9</f>
        <v>170</v>
      </c>
      <c r="AA38" s="29">
        <f>MJ_Initialisation!U9</f>
        <v>180</v>
      </c>
      <c r="AB38" s="29">
        <f>MJ_Initialisation!V9</f>
        <v>10</v>
      </c>
      <c r="AC38" s="29">
        <f>MJ_Initialisation!W9</f>
        <v>130</v>
      </c>
      <c r="AD38" s="29">
        <f>MJ_Initialisation!X9</f>
        <v>10</v>
      </c>
      <c r="AE38" s="29">
        <f>MJ_Initialisation!Y9</f>
        <v>190</v>
      </c>
      <c r="AF38" s="29">
        <f>MJ_Initialisation!Z9</f>
        <v>110</v>
      </c>
      <c r="AG38" s="29">
        <f>MJ_Initialisation!AA9</f>
        <v>100</v>
      </c>
      <c r="AH38" s="235"/>
      <c r="AI38" s="235"/>
      <c r="AJ38" s="235"/>
      <c r="AK38" s="235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</row>
    <row r="39" spans="1:93" s="24" customFormat="1" ht="19.5" customHeight="1" thickBot="1" x14ac:dyDescent="0.3">
      <c r="A39" s="26">
        <v>4000</v>
      </c>
      <c r="B39" s="123" t="s">
        <v>44</v>
      </c>
      <c r="C39" s="103" t="s">
        <v>50</v>
      </c>
      <c r="D39" s="116" t="s">
        <v>33</v>
      </c>
      <c r="E39" s="103" t="s">
        <v>50</v>
      </c>
      <c r="F39" s="116" t="s">
        <v>33</v>
      </c>
      <c r="G39" s="30">
        <v>0</v>
      </c>
      <c r="H39" s="125" t="s">
        <v>24</v>
      </c>
      <c r="I39" s="31"/>
      <c r="J39" s="223">
        <v>200</v>
      </c>
      <c r="K39" s="223">
        <v>200</v>
      </c>
      <c r="L39" s="223">
        <v>200</v>
      </c>
      <c r="M39" s="223">
        <v>200</v>
      </c>
      <c r="N39" s="223">
        <v>200</v>
      </c>
      <c r="O39" s="223">
        <v>200</v>
      </c>
      <c r="P39" s="223">
        <v>200</v>
      </c>
      <c r="Q39" s="223">
        <v>200</v>
      </c>
      <c r="R39" s="223">
        <v>200</v>
      </c>
      <c r="S39" s="223">
        <v>200</v>
      </c>
      <c r="T39" s="223">
        <v>200</v>
      </c>
      <c r="U39" s="223">
        <v>200</v>
      </c>
      <c r="V39" s="223">
        <v>200</v>
      </c>
      <c r="W39" s="223">
        <v>200</v>
      </c>
      <c r="X39" s="223">
        <v>200</v>
      </c>
      <c r="Y39" s="223">
        <v>200</v>
      </c>
      <c r="Z39" s="223">
        <v>200</v>
      </c>
      <c r="AA39" s="223">
        <v>200</v>
      </c>
      <c r="AB39" s="223">
        <v>200</v>
      </c>
      <c r="AC39" s="223">
        <v>200</v>
      </c>
      <c r="AD39" s="223">
        <v>200</v>
      </c>
      <c r="AE39" s="223">
        <v>200</v>
      </c>
      <c r="AF39" s="223">
        <v>200</v>
      </c>
      <c r="AG39" s="223">
        <v>200</v>
      </c>
      <c r="AH39" s="223"/>
      <c r="AI39" s="223"/>
      <c r="AJ39" s="223"/>
      <c r="AK39" s="2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</row>
    <row r="40" spans="1:93" s="24" customFormat="1" ht="19.5" customHeight="1" thickBot="1" x14ac:dyDescent="0.3">
      <c r="A40" s="26">
        <v>4000</v>
      </c>
      <c r="B40" s="123" t="s">
        <v>44</v>
      </c>
      <c r="C40" s="103" t="s">
        <v>49</v>
      </c>
      <c r="D40" s="42" t="s">
        <v>48</v>
      </c>
      <c r="E40" s="103" t="s">
        <v>50</v>
      </c>
      <c r="F40" s="116" t="s">
        <v>33</v>
      </c>
      <c r="G40" s="30">
        <v>0</v>
      </c>
      <c r="H40" s="32" t="s">
        <v>41</v>
      </c>
      <c r="I40" s="33"/>
      <c r="J40" s="34">
        <f>MJ_Initialisation!D26</f>
        <v>360</v>
      </c>
      <c r="K40" s="34">
        <f>MJ_Initialisation!E26</f>
        <v>60</v>
      </c>
      <c r="L40" s="34">
        <f>MJ_Initialisation!F26</f>
        <v>80</v>
      </c>
      <c r="M40" s="34">
        <f>MJ_Initialisation!G26</f>
        <v>10</v>
      </c>
      <c r="N40" s="34">
        <f>MJ_Initialisation!H26</f>
        <v>160</v>
      </c>
      <c r="O40" s="34">
        <f>MJ_Initialisation!I26</f>
        <v>80</v>
      </c>
      <c r="P40" s="34">
        <f>MJ_Initialisation!J26</f>
        <v>40</v>
      </c>
      <c r="Q40" s="34">
        <f>MJ_Initialisation!K26</f>
        <v>120</v>
      </c>
      <c r="R40" s="34">
        <f>MJ_Initialisation!L26</f>
        <v>170</v>
      </c>
      <c r="S40" s="34">
        <f>MJ_Initialisation!M26</f>
        <v>80</v>
      </c>
      <c r="T40" s="34">
        <f>MJ_Initialisation!N26</f>
        <v>150</v>
      </c>
      <c r="U40" s="34">
        <f>MJ_Initialisation!O26</f>
        <v>40</v>
      </c>
      <c r="V40" s="34">
        <f>MJ_Initialisation!P26</f>
        <v>40</v>
      </c>
      <c r="W40" s="34">
        <f>MJ_Initialisation!Q26</f>
        <v>70</v>
      </c>
      <c r="X40" s="34">
        <f>MJ_Initialisation!R26</f>
        <v>120</v>
      </c>
      <c r="Y40" s="34">
        <f>MJ_Initialisation!S26</f>
        <v>170</v>
      </c>
      <c r="Z40" s="34">
        <f>MJ_Initialisation!T26</f>
        <v>170</v>
      </c>
      <c r="AA40" s="34">
        <f>MJ_Initialisation!U26</f>
        <v>180</v>
      </c>
      <c r="AB40" s="34">
        <f>MJ_Initialisation!V26</f>
        <v>10</v>
      </c>
      <c r="AC40" s="34">
        <f>MJ_Initialisation!W26</f>
        <v>130</v>
      </c>
      <c r="AD40" s="34">
        <f>MJ_Initialisation!X26</f>
        <v>10</v>
      </c>
      <c r="AE40" s="34">
        <f>MJ_Initialisation!Y26</f>
        <v>190</v>
      </c>
      <c r="AF40" s="34">
        <f>MJ_Initialisation!Z26</f>
        <v>110</v>
      </c>
      <c r="AG40" s="34">
        <f>MJ_Initialisation!AA26</f>
        <v>100</v>
      </c>
      <c r="AH40" s="236"/>
      <c r="AI40" s="236"/>
      <c r="AJ40" s="236"/>
      <c r="AK40" s="236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</row>
    <row r="41" spans="1:93" s="24" customFormat="1" ht="19.5" customHeight="1" thickBot="1" x14ac:dyDescent="0.3">
      <c r="A41" s="26">
        <v>4000</v>
      </c>
      <c r="B41" s="123" t="s">
        <v>44</v>
      </c>
      <c r="C41" s="103" t="s">
        <v>49</v>
      </c>
      <c r="D41" s="42" t="s">
        <v>48</v>
      </c>
      <c r="E41" s="103" t="s">
        <v>50</v>
      </c>
      <c r="F41" s="116" t="s">
        <v>33</v>
      </c>
      <c r="G41" s="30">
        <v>0</v>
      </c>
      <c r="H41" s="35" t="s">
        <v>27</v>
      </c>
      <c r="I41" s="31"/>
      <c r="J41" s="93"/>
      <c r="K41" s="93"/>
      <c r="L41" s="5"/>
      <c r="M41" s="5"/>
      <c r="N41" s="2"/>
      <c r="O41" s="2"/>
      <c r="P41" s="2"/>
      <c r="Q41" s="2"/>
      <c r="R41" s="2"/>
      <c r="S41" s="2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148"/>
      <c r="AG41" s="5"/>
      <c r="AH41" s="222"/>
      <c r="AI41" s="222"/>
      <c r="AJ41" s="222"/>
      <c r="AK41" s="222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</row>
    <row r="42" spans="1:93" s="24" customFormat="1" ht="19.5" customHeight="1" thickBot="1" x14ac:dyDescent="0.3">
      <c r="A42" s="26">
        <v>4000</v>
      </c>
      <c r="B42" s="123" t="s">
        <v>44</v>
      </c>
      <c r="C42" s="103" t="s">
        <v>50</v>
      </c>
      <c r="D42" s="116" t="s">
        <v>33</v>
      </c>
      <c r="E42" s="103" t="s">
        <v>50</v>
      </c>
      <c r="F42" s="116" t="s">
        <v>33</v>
      </c>
      <c r="G42" s="30">
        <v>0</v>
      </c>
      <c r="H42" s="126" t="s">
        <v>57</v>
      </c>
      <c r="I42" s="93"/>
      <c r="J42" s="238">
        <f>MAX(J38+J39-J41-I37,0)</f>
        <v>360</v>
      </c>
      <c r="K42" s="238">
        <f>MAX(K38+K39-K41-J43,0)</f>
        <v>60</v>
      </c>
      <c r="L42" s="238">
        <f t="shared" ref="L42" si="92">MAX(L38+L39-L41-K43,0)</f>
        <v>80</v>
      </c>
      <c r="M42" s="238">
        <f t="shared" ref="M42" si="93">MAX(M38+M39-M41-L43,0)</f>
        <v>10</v>
      </c>
      <c r="N42" s="238">
        <f t="shared" ref="N42" si="94">MAX(N38+N39-N41-M43,0)</f>
        <v>160</v>
      </c>
      <c r="O42" s="238">
        <f t="shared" ref="O42" si="95">MAX(O38+O39-O41-N43,0)</f>
        <v>80</v>
      </c>
      <c r="P42" s="238">
        <f t="shared" ref="P42" si="96">MAX(P38+P39-P41-O43,0)</f>
        <v>40</v>
      </c>
      <c r="Q42" s="238">
        <f t="shared" ref="Q42" si="97">MAX(Q38+Q39-Q41-P43,0)</f>
        <v>120</v>
      </c>
      <c r="R42" s="238">
        <f t="shared" ref="R42" si="98">MAX(R38+R39-R41-Q43,0)</f>
        <v>170</v>
      </c>
      <c r="S42" s="238">
        <f t="shared" ref="S42" si="99">MAX(S38+S39-S41-R43,0)</f>
        <v>80</v>
      </c>
      <c r="T42" s="238">
        <f t="shared" ref="T42" si="100">MAX(T38+T39-T41-S43,0)</f>
        <v>150</v>
      </c>
      <c r="U42" s="238">
        <f t="shared" ref="U42" si="101">MAX(U38+U39-U41-T43,0)</f>
        <v>40</v>
      </c>
      <c r="V42" s="238">
        <f t="shared" ref="V42" si="102">MAX(V38+V39-V41-U43,0)</f>
        <v>40</v>
      </c>
      <c r="W42" s="238">
        <f t="shared" ref="W42" si="103">MAX(W38+W39-W41-V43,0)</f>
        <v>70</v>
      </c>
      <c r="X42" s="238">
        <f t="shared" ref="X42" si="104">MAX(X38+X39-X41-W43,0)</f>
        <v>120</v>
      </c>
      <c r="Y42" s="238">
        <f t="shared" ref="Y42" si="105">MAX(Y38+Y39-Y41-X43,0)</f>
        <v>170</v>
      </c>
      <c r="Z42" s="238">
        <f t="shared" ref="Z42" si="106">MAX(Z38+Z39-Z41-Y43,0)</f>
        <v>170</v>
      </c>
      <c r="AA42" s="238">
        <f t="shared" ref="AA42" si="107">MAX(AA38+AA39-AA41-Z43,0)</f>
        <v>180</v>
      </c>
      <c r="AB42" s="238">
        <f t="shared" ref="AB42" si="108">MAX(AB38+AB39-AB41-AA43,0)</f>
        <v>10</v>
      </c>
      <c r="AC42" s="238">
        <f t="shared" ref="AC42" si="109">MAX(AC38+AC39-AC41-AB43,0)</f>
        <v>130</v>
      </c>
      <c r="AD42" s="238">
        <f t="shared" ref="AD42" si="110">MAX(AD38+AD39-AD41-AC43,0)</f>
        <v>10</v>
      </c>
      <c r="AE42" s="238">
        <f t="shared" ref="AE42" si="111">MAX(AE38+AE39-AE41-AD43,0)</f>
        <v>190</v>
      </c>
      <c r="AF42" s="238">
        <f t="shared" ref="AF42" si="112">MAX(AF38+AF39-AF41-AE43,0)</f>
        <v>110</v>
      </c>
      <c r="AG42" s="238">
        <f t="shared" ref="AG42" si="113">MAX(AG38+AG39-AG41-AF43,0)</f>
        <v>100</v>
      </c>
      <c r="AH42" s="238"/>
      <c r="AI42" s="238"/>
      <c r="AJ42" s="238"/>
      <c r="AK42" s="238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</row>
    <row r="43" spans="1:93" s="24" customFormat="1" ht="19.5" customHeight="1" x14ac:dyDescent="0.25">
      <c r="A43" s="26">
        <v>4000</v>
      </c>
      <c r="B43" s="123" t="s">
        <v>44</v>
      </c>
      <c r="C43" s="103" t="s">
        <v>50</v>
      </c>
      <c r="D43" s="116" t="s">
        <v>33</v>
      </c>
      <c r="E43" s="103" t="s">
        <v>50</v>
      </c>
      <c r="F43" s="116" t="s">
        <v>33</v>
      </c>
      <c r="G43" s="30">
        <v>0</v>
      </c>
      <c r="H43" s="125" t="s">
        <v>37</v>
      </c>
      <c r="J43" s="39">
        <f>I37+J42+J41-J38</f>
        <v>200</v>
      </c>
      <c r="K43" s="39">
        <f t="shared" ref="K43" si="114">J43+K42+K41-K38</f>
        <v>200</v>
      </c>
      <c r="L43" s="39">
        <f t="shared" ref="L43" si="115">K43+L42+L41-L38</f>
        <v>200</v>
      </c>
      <c r="M43" s="39">
        <f t="shared" ref="M43" si="116">L43+M42+M41-M38</f>
        <v>200</v>
      </c>
      <c r="N43" s="39">
        <f t="shared" ref="N43" si="117">M43+N42+N41-N38</f>
        <v>200</v>
      </c>
      <c r="O43" s="69">
        <f t="shared" ref="O43" si="118">N43+O42+O41-O38</f>
        <v>200</v>
      </c>
      <c r="P43" s="69">
        <f t="shared" ref="P43" si="119">O43+P42+P41-P38</f>
        <v>200</v>
      </c>
      <c r="Q43" s="69">
        <f t="shared" ref="Q43" si="120">P43+Q42+Q41-Q38</f>
        <v>200</v>
      </c>
      <c r="R43" s="69">
        <f t="shared" ref="R43" si="121">Q43+R42+R41-R38</f>
        <v>200</v>
      </c>
      <c r="S43" s="69">
        <f t="shared" ref="S43" si="122">R43+S42+S41-S38</f>
        <v>200</v>
      </c>
      <c r="T43" s="69">
        <f t="shared" ref="T43" si="123">S43+T42+T41-T38</f>
        <v>200</v>
      </c>
      <c r="U43" s="69">
        <f t="shared" ref="U43" si="124">T43+U42+U41-U38</f>
        <v>200</v>
      </c>
      <c r="V43" s="69">
        <f t="shared" ref="V43" si="125">U43+V42+V41-V38</f>
        <v>200</v>
      </c>
      <c r="W43" s="69">
        <f t="shared" ref="W43" si="126">V43+W42+W41-W38</f>
        <v>200</v>
      </c>
      <c r="X43" s="69">
        <f t="shared" ref="X43" si="127">W43+X42+X41-X38</f>
        <v>200</v>
      </c>
      <c r="Y43" s="69">
        <f t="shared" ref="Y43" si="128">X43+Y42+Y41-Y38</f>
        <v>200</v>
      </c>
      <c r="Z43" s="69">
        <f t="shared" ref="Z43" si="129">Y43+Z42+Z41-Z38</f>
        <v>200</v>
      </c>
      <c r="AA43" s="69">
        <f t="shared" ref="AA43" si="130">Z43+AA42+AA41-AA38</f>
        <v>200</v>
      </c>
      <c r="AB43" s="69">
        <f t="shared" ref="AB43" si="131">AA43+AB42+AB41-AB38</f>
        <v>200</v>
      </c>
      <c r="AC43" s="69">
        <f t="shared" ref="AC43" si="132">AB43+AC42+AC41-AC38</f>
        <v>200</v>
      </c>
      <c r="AD43" s="69">
        <f t="shared" ref="AD43" si="133">AC43+AD42+AD41-AD38</f>
        <v>200</v>
      </c>
      <c r="AE43" s="69">
        <f t="shared" ref="AE43" si="134">AD43+AE42+AE41-AE38</f>
        <v>200</v>
      </c>
      <c r="AF43" s="150">
        <f t="shared" ref="AF43" si="135">AE43+AF42+AF41-AF38</f>
        <v>200</v>
      </c>
      <c r="AG43" s="39">
        <f t="shared" ref="AG43" si="136">AF43+AG42+AG41-AG38</f>
        <v>200</v>
      </c>
      <c r="AH43" s="238"/>
      <c r="AI43" s="238"/>
      <c r="AJ43" s="238"/>
      <c r="AK43" s="238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</row>
    <row r="44" spans="1:93" s="24" customFormat="1" ht="19.5" customHeight="1" x14ac:dyDescent="0.25">
      <c r="A44" s="11"/>
      <c r="B44" s="11"/>
      <c r="C44" s="11"/>
      <c r="D44" s="77"/>
      <c r="E44" s="11"/>
      <c r="F44" s="77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11"/>
      <c r="AD44" s="11"/>
      <c r="AE44" s="11"/>
      <c r="AF44" s="62"/>
      <c r="AG44" s="77"/>
      <c r="AH44" s="244"/>
      <c r="AI44" s="244"/>
      <c r="AJ44" s="244"/>
      <c r="AK44" s="244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</row>
    <row r="45" spans="1:93" s="23" customFormat="1" x14ac:dyDescent="0.25">
      <c r="A45" s="30">
        <v>1000</v>
      </c>
      <c r="B45" s="102" t="s">
        <v>29</v>
      </c>
      <c r="C45" s="103" t="s">
        <v>49</v>
      </c>
      <c r="D45" s="42" t="s">
        <v>48</v>
      </c>
      <c r="E45" s="103" t="s">
        <v>50</v>
      </c>
      <c r="F45" s="116" t="s">
        <v>33</v>
      </c>
      <c r="G45" s="30">
        <v>0</v>
      </c>
      <c r="H45" s="98" t="s">
        <v>56</v>
      </c>
      <c r="I45" s="93"/>
      <c r="J45" s="34">
        <f>PA_CDC!I17</f>
        <v>210</v>
      </c>
      <c r="K45" s="34">
        <f>PA_CDC!J17</f>
        <v>60</v>
      </c>
      <c r="L45" s="34">
        <f ca="1">PA_CDC!K17</f>
        <v>200</v>
      </c>
      <c r="M45" s="34">
        <f ca="1">PA_CDC!L17</f>
        <v>80</v>
      </c>
      <c r="N45" s="34">
        <f ca="1">PA_CDC!M17</f>
        <v>70</v>
      </c>
      <c r="O45" s="34">
        <f ca="1">PA_CDC!N17</f>
        <v>150</v>
      </c>
      <c r="P45" s="34">
        <f ca="1">PA_CDC!O17</f>
        <v>130</v>
      </c>
      <c r="Q45" s="34">
        <f ca="1">PA_CDC!P17</f>
        <v>200</v>
      </c>
      <c r="R45" s="34">
        <f ca="1">PA_CDC!Q17</f>
        <v>70</v>
      </c>
      <c r="S45" s="34">
        <f ca="1">PA_CDC!R17</f>
        <v>160</v>
      </c>
      <c r="T45" s="34">
        <f ca="1">PA_CDC!S17</f>
        <v>170</v>
      </c>
      <c r="U45" s="34">
        <f ca="1">PA_CDC!T17</f>
        <v>130</v>
      </c>
      <c r="V45" s="34">
        <f ca="1">PA_CDC!U17</f>
        <v>30</v>
      </c>
      <c r="W45" s="34">
        <f ca="1">PA_CDC!V17</f>
        <v>120</v>
      </c>
      <c r="X45" s="34">
        <f ca="1">PA_CDC!W17</f>
        <v>40</v>
      </c>
      <c r="Y45" s="34">
        <f ca="1">PA_CDC!X17</f>
        <v>150</v>
      </c>
      <c r="Z45" s="34">
        <f ca="1">PA_CDC!Y17</f>
        <v>150</v>
      </c>
      <c r="AA45" s="34">
        <f ca="1">PA_CDC!Z17</f>
        <v>20</v>
      </c>
      <c r="AB45" s="34">
        <f ca="1">PA_CDC!AA17</f>
        <v>170</v>
      </c>
      <c r="AC45" s="34">
        <f ca="1">PA_CDC!AB17</f>
        <v>40</v>
      </c>
      <c r="AD45" s="34">
        <f ca="1">PA_CDC!AC17</f>
        <v>130</v>
      </c>
      <c r="AE45" s="34">
        <f ca="1">PA_CDC!AD17</f>
        <v>100</v>
      </c>
      <c r="AF45" s="34">
        <f ca="1">PA_CDC!AE17</f>
        <v>190</v>
      </c>
      <c r="AG45" s="34">
        <f ca="1">PA_CDC!AF17</f>
        <v>40</v>
      </c>
      <c r="AH45" s="236"/>
      <c r="AI45" s="236"/>
      <c r="AJ45" s="236"/>
      <c r="AK45" s="236"/>
    </row>
    <row r="46" spans="1:93" s="23" customFormat="1" x14ac:dyDescent="0.25">
      <c r="A46" s="30">
        <v>2000</v>
      </c>
      <c r="B46" s="121" t="s">
        <v>30</v>
      </c>
      <c r="C46" s="103" t="s">
        <v>49</v>
      </c>
      <c r="D46" s="42" t="s">
        <v>48</v>
      </c>
      <c r="E46" s="103" t="s">
        <v>50</v>
      </c>
      <c r="F46" s="116" t="s">
        <v>33</v>
      </c>
      <c r="G46" s="30">
        <v>0</v>
      </c>
      <c r="H46" s="98" t="s">
        <v>56</v>
      </c>
      <c r="I46" s="93"/>
      <c r="J46" s="34">
        <f>PA_CDC!I51</f>
        <v>310</v>
      </c>
      <c r="K46" s="34">
        <f>PA_CDC!J51</f>
        <v>50</v>
      </c>
      <c r="L46" s="34">
        <f ca="1">PA_CDC!K51</f>
        <v>110</v>
      </c>
      <c r="M46" s="34">
        <f ca="1">PA_CDC!L51</f>
        <v>50</v>
      </c>
      <c r="N46" s="34">
        <f ca="1">PA_CDC!M51</f>
        <v>20</v>
      </c>
      <c r="O46" s="34">
        <f ca="1">PA_CDC!N51</f>
        <v>130</v>
      </c>
      <c r="P46" s="34">
        <f ca="1">PA_CDC!O51</f>
        <v>170</v>
      </c>
      <c r="Q46" s="34">
        <f ca="1">PA_CDC!P51</f>
        <v>180</v>
      </c>
      <c r="R46" s="34">
        <f ca="1">PA_CDC!Q51</f>
        <v>180</v>
      </c>
      <c r="S46" s="34">
        <f ca="1">PA_CDC!R51</f>
        <v>10</v>
      </c>
      <c r="T46" s="34">
        <f ca="1">PA_CDC!S51</f>
        <v>100</v>
      </c>
      <c r="U46" s="34">
        <f ca="1">PA_CDC!T51</f>
        <v>200</v>
      </c>
      <c r="V46" s="34">
        <f ca="1">PA_CDC!U51</f>
        <v>30</v>
      </c>
      <c r="W46" s="34">
        <f ca="1">PA_CDC!V51</f>
        <v>200</v>
      </c>
      <c r="X46" s="34">
        <f ca="1">PA_CDC!W51</f>
        <v>50</v>
      </c>
      <c r="Y46" s="34">
        <f ca="1">PA_CDC!X51</f>
        <v>40</v>
      </c>
      <c r="Z46" s="34">
        <f ca="1">PA_CDC!Y51</f>
        <v>40</v>
      </c>
      <c r="AA46" s="34">
        <f ca="1">PA_CDC!Z51</f>
        <v>10</v>
      </c>
      <c r="AB46" s="34">
        <f ca="1">PA_CDC!AA51</f>
        <v>40</v>
      </c>
      <c r="AC46" s="34">
        <f ca="1">PA_CDC!AB51</f>
        <v>100</v>
      </c>
      <c r="AD46" s="34">
        <f ca="1">PA_CDC!AC51</f>
        <v>150</v>
      </c>
      <c r="AE46" s="34">
        <f ca="1">PA_CDC!AD51</f>
        <v>100</v>
      </c>
      <c r="AF46" s="34">
        <f ca="1">PA_CDC!AE51</f>
        <v>110</v>
      </c>
      <c r="AG46" s="34">
        <f ca="1">PA_CDC!AF51</f>
        <v>40</v>
      </c>
      <c r="AH46" s="236"/>
      <c r="AI46" s="236"/>
      <c r="AJ46" s="236"/>
      <c r="AK46" s="236"/>
    </row>
    <row r="47" spans="1:93" s="23" customFormat="1" ht="15.75" thickBot="1" x14ac:dyDescent="0.3">
      <c r="A47" s="108">
        <v>3000</v>
      </c>
      <c r="B47" s="122" t="s">
        <v>31</v>
      </c>
      <c r="C47" s="103" t="s">
        <v>49</v>
      </c>
      <c r="D47" s="42" t="s">
        <v>48</v>
      </c>
      <c r="E47" s="103" t="s">
        <v>50</v>
      </c>
      <c r="F47" s="116" t="s">
        <v>33</v>
      </c>
      <c r="G47" s="30">
        <v>0</v>
      </c>
      <c r="H47" s="98" t="s">
        <v>56</v>
      </c>
      <c r="I47" s="93"/>
      <c r="J47" s="34">
        <f>PA_CDC!I80</f>
        <v>370</v>
      </c>
      <c r="K47" s="34">
        <f>PA_CDC!J80</f>
        <v>170</v>
      </c>
      <c r="L47" s="34">
        <f ca="1">PA_CDC!K80</f>
        <v>110</v>
      </c>
      <c r="M47" s="34">
        <f ca="1">PA_CDC!L80</f>
        <v>110</v>
      </c>
      <c r="N47" s="34">
        <f ca="1">PA_CDC!M80</f>
        <v>150</v>
      </c>
      <c r="O47" s="34">
        <f ca="1">PA_CDC!N80</f>
        <v>180</v>
      </c>
      <c r="P47" s="34">
        <f ca="1">PA_CDC!O80</f>
        <v>80</v>
      </c>
      <c r="Q47" s="34">
        <f ca="1">PA_CDC!P80</f>
        <v>120</v>
      </c>
      <c r="R47" s="34">
        <f ca="1">PA_CDC!Q80</f>
        <v>20</v>
      </c>
      <c r="S47" s="34">
        <f ca="1">PA_CDC!R80</f>
        <v>20</v>
      </c>
      <c r="T47" s="34">
        <f ca="1">PA_CDC!S80</f>
        <v>50</v>
      </c>
      <c r="U47" s="34">
        <f ca="1">PA_CDC!T80</f>
        <v>120</v>
      </c>
      <c r="V47" s="34">
        <f ca="1">PA_CDC!U80</f>
        <v>150</v>
      </c>
      <c r="W47" s="34">
        <f ca="1">PA_CDC!V80</f>
        <v>140</v>
      </c>
      <c r="X47" s="34">
        <f ca="1">PA_CDC!W80</f>
        <v>160</v>
      </c>
      <c r="Y47" s="34">
        <f ca="1">PA_CDC!X80</f>
        <v>30</v>
      </c>
      <c r="Z47" s="34">
        <f ca="1">PA_CDC!Y80</f>
        <v>30</v>
      </c>
      <c r="AA47" s="34">
        <f ca="1">PA_CDC!Z80</f>
        <v>0</v>
      </c>
      <c r="AB47" s="34">
        <f ca="1">PA_CDC!AA80</f>
        <v>110</v>
      </c>
      <c r="AC47" s="34">
        <f ca="1">PA_CDC!AB80</f>
        <v>80</v>
      </c>
      <c r="AD47" s="34">
        <f ca="1">PA_CDC!AC80</f>
        <v>180</v>
      </c>
      <c r="AE47" s="34">
        <f ca="1">PA_CDC!AD80</f>
        <v>170</v>
      </c>
      <c r="AF47" s="34">
        <f ca="1">PA_CDC!AE80</f>
        <v>20</v>
      </c>
      <c r="AG47" s="34">
        <f ca="1">PA_CDC!AF80</f>
        <v>30</v>
      </c>
      <c r="AH47" s="236"/>
      <c r="AI47" s="236"/>
      <c r="AJ47" s="236"/>
      <c r="AK47" s="236"/>
    </row>
    <row r="48" spans="1:93" s="23" customFormat="1" x14ac:dyDescent="0.25">
      <c r="A48" s="26">
        <v>4000</v>
      </c>
      <c r="B48" s="123" t="s">
        <v>44</v>
      </c>
      <c r="C48" s="103" t="s">
        <v>49</v>
      </c>
      <c r="D48" s="42" t="s">
        <v>48</v>
      </c>
      <c r="E48" s="103" t="s">
        <v>50</v>
      </c>
      <c r="F48" s="116" t="s">
        <v>33</v>
      </c>
      <c r="G48" s="30">
        <v>0</v>
      </c>
      <c r="H48" s="98" t="s">
        <v>56</v>
      </c>
      <c r="I48" s="93"/>
      <c r="J48" s="164">
        <f>PA_CDC!I99</f>
        <v>360</v>
      </c>
      <c r="K48" s="164">
        <f>PA_CDC!J99</f>
        <v>60</v>
      </c>
      <c r="L48" s="164">
        <f ca="1">PA_CDC!K99</f>
        <v>80</v>
      </c>
      <c r="M48" s="164">
        <f ca="1">PA_CDC!L99</f>
        <v>10</v>
      </c>
      <c r="N48" s="164">
        <f ca="1">PA_CDC!M99</f>
        <v>160</v>
      </c>
      <c r="O48" s="164">
        <f ca="1">PA_CDC!N99</f>
        <v>80</v>
      </c>
      <c r="P48" s="164">
        <f ca="1">PA_CDC!O99</f>
        <v>40</v>
      </c>
      <c r="Q48" s="164">
        <f ca="1">PA_CDC!P99</f>
        <v>120</v>
      </c>
      <c r="R48" s="164">
        <f ca="1">PA_CDC!Q99</f>
        <v>170</v>
      </c>
      <c r="S48" s="164">
        <f ca="1">PA_CDC!R99</f>
        <v>80</v>
      </c>
      <c r="T48" s="164">
        <f ca="1">PA_CDC!S99</f>
        <v>150</v>
      </c>
      <c r="U48" s="164">
        <f ca="1">PA_CDC!T99</f>
        <v>40</v>
      </c>
      <c r="V48" s="164">
        <f ca="1">PA_CDC!U99</f>
        <v>40</v>
      </c>
      <c r="W48" s="164">
        <f ca="1">PA_CDC!V99</f>
        <v>70</v>
      </c>
      <c r="X48" s="164">
        <f ca="1">PA_CDC!W99</f>
        <v>120</v>
      </c>
      <c r="Y48" s="164">
        <f ca="1">PA_CDC!X99</f>
        <v>170</v>
      </c>
      <c r="Z48" s="164">
        <f ca="1">PA_CDC!Y99</f>
        <v>170</v>
      </c>
      <c r="AA48" s="164">
        <f ca="1">PA_CDC!Z99</f>
        <v>180</v>
      </c>
      <c r="AB48" s="164">
        <f ca="1">PA_CDC!AA99</f>
        <v>10</v>
      </c>
      <c r="AC48" s="164">
        <f ca="1">PA_CDC!AB99</f>
        <v>130</v>
      </c>
      <c r="AD48" s="164">
        <f ca="1">PA_CDC!AC99</f>
        <v>10</v>
      </c>
      <c r="AE48" s="164">
        <f ca="1">PA_CDC!AD99</f>
        <v>190</v>
      </c>
      <c r="AF48" s="164">
        <f ca="1">PA_CDC!AE99</f>
        <v>110</v>
      </c>
      <c r="AG48" s="164">
        <f ca="1">PA_CDC!AF99</f>
        <v>100</v>
      </c>
      <c r="AH48" s="262"/>
      <c r="AI48" s="262"/>
      <c r="AJ48" s="262"/>
      <c r="AK48" s="262"/>
    </row>
    <row r="49" spans="8:34" s="23" customFormat="1" x14ac:dyDescent="0.25"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H49"/>
    </row>
    <row r="50" spans="8:34" s="23" customFormat="1" x14ac:dyDescent="0.25"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H50"/>
    </row>
    <row r="51" spans="8:34" s="23" customFormat="1" x14ac:dyDescent="0.25"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H51"/>
    </row>
    <row r="52" spans="8:34" s="23" customFormat="1" x14ac:dyDescent="0.25"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H52"/>
    </row>
    <row r="53" spans="8:34" s="23" customFormat="1" x14ac:dyDescent="0.25"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H53"/>
    </row>
    <row r="54" spans="8:34" s="23" customFormat="1" x14ac:dyDescent="0.25"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H54"/>
    </row>
    <row r="55" spans="8:34" s="23" customFormat="1" x14ac:dyDescent="0.25"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H55"/>
    </row>
    <row r="56" spans="8:34" s="23" customFormat="1" x14ac:dyDescent="0.25"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H56"/>
    </row>
    <row r="57" spans="8:34" s="23" customFormat="1" x14ac:dyDescent="0.25"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H57"/>
    </row>
    <row r="58" spans="8:34" s="23" customFormat="1" x14ac:dyDescent="0.25"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H58"/>
    </row>
    <row r="59" spans="8:34" s="23" customFormat="1" x14ac:dyDescent="0.25"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H59"/>
    </row>
    <row r="60" spans="8:34" s="23" customFormat="1" x14ac:dyDescent="0.25"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H60"/>
    </row>
    <row r="61" spans="8:34" s="23" customFormat="1" x14ac:dyDescent="0.25"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H61"/>
    </row>
    <row r="62" spans="8:34" s="23" customFormat="1" x14ac:dyDescent="0.25"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H62"/>
    </row>
    <row r="63" spans="8:34" s="23" customFormat="1" x14ac:dyDescent="0.25"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H63"/>
    </row>
    <row r="64" spans="8:34" s="23" customFormat="1" x14ac:dyDescent="0.25"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H64"/>
    </row>
    <row r="65" spans="8:34" s="23" customFormat="1" x14ac:dyDescent="0.25"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H65"/>
    </row>
    <row r="66" spans="8:34" s="23" customFormat="1" x14ac:dyDescent="0.25"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H66"/>
    </row>
    <row r="67" spans="8:34" s="23" customFormat="1" x14ac:dyDescent="0.25"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H67"/>
    </row>
    <row r="68" spans="8:34" s="23" customFormat="1" x14ac:dyDescent="0.25"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H68"/>
    </row>
    <row r="69" spans="8:34" s="23" customFormat="1" x14ac:dyDescent="0.25"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H69"/>
    </row>
    <row r="70" spans="8:34" s="23" customFormat="1" x14ac:dyDescent="0.25"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H70"/>
    </row>
    <row r="71" spans="8:34" s="23" customFormat="1" x14ac:dyDescent="0.25"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H71"/>
    </row>
    <row r="72" spans="8:34" s="23" customFormat="1" x14ac:dyDescent="0.25"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H72"/>
    </row>
    <row r="73" spans="8:34" s="23" customFormat="1" x14ac:dyDescent="0.25"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H73"/>
    </row>
    <row r="74" spans="8:34" s="23" customFormat="1" x14ac:dyDescent="0.25"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H74"/>
    </row>
    <row r="75" spans="8:34" s="23" customFormat="1" x14ac:dyDescent="0.25"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H75"/>
    </row>
    <row r="76" spans="8:34" s="23" customFormat="1" x14ac:dyDescent="0.25"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H76"/>
    </row>
    <row r="77" spans="8:34" s="23" customFormat="1" x14ac:dyDescent="0.25"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H77"/>
    </row>
    <row r="78" spans="8:34" s="23" customFormat="1" x14ac:dyDescent="0.25"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H78"/>
    </row>
    <row r="79" spans="8:34" s="23" customFormat="1" x14ac:dyDescent="0.25"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H79"/>
    </row>
    <row r="80" spans="8:34" s="23" customFormat="1" x14ac:dyDescent="0.25"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H80"/>
    </row>
    <row r="81" spans="8:34" s="23" customFormat="1" x14ac:dyDescent="0.25"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H81"/>
    </row>
    <row r="82" spans="8:34" s="23" customFormat="1" x14ac:dyDescent="0.25"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H82"/>
    </row>
    <row r="83" spans="8:34" s="23" customFormat="1" x14ac:dyDescent="0.25"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H83"/>
    </row>
    <row r="84" spans="8:34" s="23" customFormat="1" x14ac:dyDescent="0.25"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H84"/>
    </row>
    <row r="85" spans="8:34" s="23" customFormat="1" x14ac:dyDescent="0.25"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H85"/>
    </row>
    <row r="86" spans="8:34" s="23" customFormat="1" x14ac:dyDescent="0.25"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H86"/>
    </row>
    <row r="87" spans="8:34" s="23" customFormat="1" x14ac:dyDescent="0.25"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H87"/>
    </row>
    <row r="88" spans="8:34" s="23" customFormat="1" x14ac:dyDescent="0.25"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H88"/>
    </row>
    <row r="89" spans="8:34" s="23" customFormat="1" x14ac:dyDescent="0.25"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H89"/>
    </row>
    <row r="90" spans="8:34" s="23" customFormat="1" x14ac:dyDescent="0.25"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H90"/>
    </row>
    <row r="91" spans="8:34" s="23" customFormat="1" x14ac:dyDescent="0.25"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H91"/>
    </row>
    <row r="92" spans="8:34" s="23" customFormat="1" x14ac:dyDescent="0.25"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H92"/>
    </row>
    <row r="93" spans="8:34" s="23" customFormat="1" x14ac:dyDescent="0.25"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H93"/>
    </row>
    <row r="94" spans="8:34" s="23" customFormat="1" x14ac:dyDescent="0.25"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H94"/>
    </row>
    <row r="95" spans="8:34" s="23" customFormat="1" x14ac:dyDescent="0.25"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H95"/>
    </row>
    <row r="96" spans="8:34" s="23" customFormat="1" x14ac:dyDescent="0.25"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H96"/>
    </row>
    <row r="97" spans="8:34" s="23" customFormat="1" x14ac:dyDescent="0.25"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H97"/>
    </row>
    <row r="98" spans="8:34" s="23" customFormat="1" x14ac:dyDescent="0.25"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H98"/>
    </row>
    <row r="99" spans="8:34" s="23" customFormat="1" x14ac:dyDescent="0.25"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H99"/>
    </row>
    <row r="100" spans="8:34" s="23" customFormat="1" x14ac:dyDescent="0.25"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H100"/>
    </row>
    <row r="101" spans="8:34" s="23" customFormat="1" x14ac:dyDescent="0.25"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H101"/>
    </row>
    <row r="102" spans="8:34" s="23" customFormat="1" x14ac:dyDescent="0.25"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H102"/>
    </row>
    <row r="103" spans="8:34" s="23" customFormat="1" x14ac:dyDescent="0.25"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H103"/>
    </row>
    <row r="104" spans="8:34" s="23" customFormat="1" x14ac:dyDescent="0.25"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H104"/>
    </row>
    <row r="105" spans="8:34" s="23" customFormat="1" x14ac:dyDescent="0.25"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H105"/>
    </row>
    <row r="106" spans="8:34" s="23" customFormat="1" x14ac:dyDescent="0.25"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H106"/>
    </row>
    <row r="107" spans="8:34" s="23" customFormat="1" x14ac:dyDescent="0.25"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H107"/>
    </row>
    <row r="108" spans="8:34" s="23" customFormat="1" x14ac:dyDescent="0.25"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H108"/>
    </row>
    <row r="109" spans="8:34" s="23" customFormat="1" x14ac:dyDescent="0.25"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H109"/>
    </row>
    <row r="110" spans="8:34" s="23" customFormat="1" x14ac:dyDescent="0.25"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H110"/>
    </row>
    <row r="111" spans="8:34" s="23" customFormat="1" x14ac:dyDescent="0.25"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H111"/>
    </row>
    <row r="112" spans="8:34" s="23" customFormat="1" x14ac:dyDescent="0.25"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H112"/>
    </row>
    <row r="113" spans="8:34" s="23" customFormat="1" x14ac:dyDescent="0.25"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H113"/>
    </row>
    <row r="114" spans="8:34" s="23" customFormat="1" x14ac:dyDescent="0.25"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H114"/>
    </row>
    <row r="115" spans="8:34" s="23" customFormat="1" x14ac:dyDescent="0.25"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H115"/>
    </row>
    <row r="116" spans="8:34" s="23" customFormat="1" x14ac:dyDescent="0.25"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H116"/>
    </row>
    <row r="117" spans="8:34" s="23" customFormat="1" x14ac:dyDescent="0.25"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H117"/>
    </row>
    <row r="118" spans="8:34" s="23" customFormat="1" x14ac:dyDescent="0.25"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H118"/>
    </row>
    <row r="119" spans="8:34" s="23" customFormat="1" x14ac:dyDescent="0.25"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H119"/>
    </row>
    <row r="120" spans="8:34" s="23" customFormat="1" x14ac:dyDescent="0.25"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H120"/>
    </row>
    <row r="121" spans="8:34" s="23" customFormat="1" x14ac:dyDescent="0.25"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H121"/>
    </row>
    <row r="122" spans="8:34" s="23" customFormat="1" x14ac:dyDescent="0.25"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H122"/>
    </row>
    <row r="123" spans="8:34" s="23" customFormat="1" x14ac:dyDescent="0.25"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H123"/>
    </row>
    <row r="124" spans="8:34" s="23" customFormat="1" x14ac:dyDescent="0.25"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H124"/>
    </row>
    <row r="125" spans="8:34" s="23" customFormat="1" x14ac:dyDescent="0.25"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H125"/>
    </row>
    <row r="126" spans="8:34" s="23" customFormat="1" x14ac:dyDescent="0.25"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H126"/>
    </row>
    <row r="127" spans="8:34" s="23" customFormat="1" x14ac:dyDescent="0.25"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H127"/>
    </row>
    <row r="128" spans="8:34" s="23" customFormat="1" x14ac:dyDescent="0.25"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H128"/>
    </row>
    <row r="129" spans="8:34" s="23" customFormat="1" x14ac:dyDescent="0.25"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H129"/>
    </row>
    <row r="130" spans="8:34" s="23" customFormat="1" x14ac:dyDescent="0.25"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H130"/>
    </row>
    <row r="131" spans="8:34" s="23" customFormat="1" x14ac:dyDescent="0.25"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H131"/>
    </row>
    <row r="132" spans="8:34" s="23" customFormat="1" x14ac:dyDescent="0.25"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H132"/>
    </row>
    <row r="133" spans="8:34" s="23" customFormat="1" x14ac:dyDescent="0.25"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H133"/>
    </row>
    <row r="134" spans="8:34" s="23" customFormat="1" x14ac:dyDescent="0.25"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H134"/>
    </row>
    <row r="135" spans="8:34" s="23" customFormat="1" x14ac:dyDescent="0.25"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H135"/>
    </row>
    <row r="136" spans="8:34" s="23" customFormat="1" x14ac:dyDescent="0.25"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H136"/>
    </row>
    <row r="137" spans="8:34" s="23" customFormat="1" x14ac:dyDescent="0.25"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H137"/>
    </row>
    <row r="138" spans="8:34" s="23" customFormat="1" x14ac:dyDescent="0.25"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H138"/>
    </row>
    <row r="139" spans="8:34" s="23" customFormat="1" x14ac:dyDescent="0.25"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H139"/>
    </row>
    <row r="140" spans="8:34" s="23" customFormat="1" x14ac:dyDescent="0.25"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H140"/>
    </row>
    <row r="141" spans="8:34" s="23" customFormat="1" x14ac:dyDescent="0.25"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H141"/>
    </row>
    <row r="142" spans="8:34" s="23" customFormat="1" x14ac:dyDescent="0.25"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H142"/>
    </row>
    <row r="143" spans="8:34" s="23" customFormat="1" x14ac:dyDescent="0.25"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H143"/>
    </row>
    <row r="144" spans="8:34" s="23" customFormat="1" x14ac:dyDescent="0.25"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H144"/>
    </row>
    <row r="145" spans="8:34" s="23" customFormat="1" x14ac:dyDescent="0.25"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H145"/>
    </row>
    <row r="146" spans="8:34" s="23" customFormat="1" x14ac:dyDescent="0.25"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H146"/>
    </row>
    <row r="147" spans="8:34" s="23" customFormat="1" x14ac:dyDescent="0.25"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H147"/>
    </row>
    <row r="148" spans="8:34" s="23" customFormat="1" x14ac:dyDescent="0.25"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H148"/>
    </row>
    <row r="149" spans="8:34" s="23" customFormat="1" x14ac:dyDescent="0.25"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H149"/>
    </row>
    <row r="150" spans="8:34" s="23" customFormat="1" x14ac:dyDescent="0.25"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H150"/>
    </row>
    <row r="151" spans="8:34" s="23" customFormat="1" x14ac:dyDescent="0.25"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H151"/>
    </row>
    <row r="152" spans="8:34" s="23" customFormat="1" x14ac:dyDescent="0.25"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H152"/>
    </row>
    <row r="153" spans="8:34" s="23" customFormat="1" x14ac:dyDescent="0.25"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H153"/>
    </row>
    <row r="154" spans="8:34" s="23" customFormat="1" x14ac:dyDescent="0.25"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H154"/>
    </row>
    <row r="155" spans="8:34" s="23" customFormat="1" x14ac:dyDescent="0.25"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H155"/>
    </row>
    <row r="156" spans="8:34" s="23" customFormat="1" x14ac:dyDescent="0.25"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H156"/>
    </row>
    <row r="157" spans="8:34" s="23" customFormat="1" x14ac:dyDescent="0.25"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H157"/>
    </row>
    <row r="158" spans="8:34" s="23" customFormat="1" x14ac:dyDescent="0.25"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H158"/>
    </row>
    <row r="159" spans="8:34" s="23" customFormat="1" x14ac:dyDescent="0.25"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H159"/>
    </row>
    <row r="160" spans="8:34" s="23" customFormat="1" x14ac:dyDescent="0.25"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H160"/>
    </row>
    <row r="161" spans="8:34" s="23" customFormat="1" x14ac:dyDescent="0.25"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H161"/>
    </row>
    <row r="162" spans="8:34" s="23" customFormat="1" x14ac:dyDescent="0.25"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H162"/>
    </row>
    <row r="163" spans="8:34" s="23" customFormat="1" x14ac:dyDescent="0.25"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H163"/>
    </row>
    <row r="164" spans="8:34" s="23" customFormat="1" x14ac:dyDescent="0.25"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H164"/>
    </row>
    <row r="165" spans="8:34" s="23" customFormat="1" x14ac:dyDescent="0.25"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H165"/>
    </row>
    <row r="166" spans="8:34" s="23" customFormat="1" x14ac:dyDescent="0.25"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H166"/>
    </row>
    <row r="167" spans="8:34" s="23" customFormat="1" x14ac:dyDescent="0.25"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H167"/>
    </row>
    <row r="168" spans="8:34" s="23" customFormat="1" x14ac:dyDescent="0.25"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H168"/>
    </row>
    <row r="169" spans="8:34" s="23" customFormat="1" x14ac:dyDescent="0.25"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H169"/>
    </row>
    <row r="170" spans="8:34" s="23" customFormat="1" x14ac:dyDescent="0.25"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H170"/>
    </row>
    <row r="171" spans="8:34" s="23" customFormat="1" x14ac:dyDescent="0.25"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H171"/>
    </row>
    <row r="172" spans="8:34" s="23" customFormat="1" x14ac:dyDescent="0.25"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H172"/>
    </row>
    <row r="173" spans="8:34" s="23" customFormat="1" x14ac:dyDescent="0.25"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H173"/>
    </row>
    <row r="174" spans="8:34" s="23" customFormat="1" x14ac:dyDescent="0.25"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H174"/>
    </row>
    <row r="175" spans="8:34" s="23" customFormat="1" x14ac:dyDescent="0.25"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H175"/>
    </row>
    <row r="176" spans="8:34" s="23" customFormat="1" x14ac:dyDescent="0.25"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H176"/>
    </row>
    <row r="177" spans="8:34" s="23" customFormat="1" x14ac:dyDescent="0.25"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H177"/>
    </row>
    <row r="178" spans="8:34" s="23" customFormat="1" x14ac:dyDescent="0.25"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H178"/>
    </row>
    <row r="179" spans="8:34" s="23" customFormat="1" x14ac:dyDescent="0.25"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H179"/>
    </row>
    <row r="180" spans="8:34" s="23" customFormat="1" x14ac:dyDescent="0.25"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H180"/>
    </row>
    <row r="181" spans="8:34" s="23" customFormat="1" x14ac:dyDescent="0.25"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H181"/>
    </row>
    <row r="182" spans="8:34" s="23" customFormat="1" x14ac:dyDescent="0.25"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H182"/>
    </row>
    <row r="183" spans="8:34" s="23" customFormat="1" x14ac:dyDescent="0.25"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H183"/>
    </row>
    <row r="184" spans="8:34" s="23" customFormat="1" x14ac:dyDescent="0.25"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H184"/>
    </row>
    <row r="185" spans="8:34" s="23" customFormat="1" x14ac:dyDescent="0.25"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H185"/>
    </row>
    <row r="186" spans="8:34" s="23" customFormat="1" x14ac:dyDescent="0.25"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H186"/>
    </row>
    <row r="187" spans="8:34" s="23" customFormat="1" x14ac:dyDescent="0.25"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H187"/>
    </row>
    <row r="188" spans="8:34" s="23" customFormat="1" x14ac:dyDescent="0.25"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H188"/>
    </row>
    <row r="189" spans="8:34" s="23" customFormat="1" x14ac:dyDescent="0.25"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H189"/>
    </row>
    <row r="190" spans="8:34" s="23" customFormat="1" x14ac:dyDescent="0.25"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H190"/>
    </row>
    <row r="191" spans="8:34" s="23" customFormat="1" x14ac:dyDescent="0.25"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H191"/>
    </row>
    <row r="192" spans="8:34" s="23" customFormat="1" x14ac:dyDescent="0.25"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H192"/>
    </row>
    <row r="193" spans="8:34" s="23" customFormat="1" x14ac:dyDescent="0.25"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H193"/>
    </row>
    <row r="194" spans="8:34" s="23" customFormat="1" x14ac:dyDescent="0.25"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H194"/>
    </row>
    <row r="195" spans="8:34" s="23" customFormat="1" x14ac:dyDescent="0.25"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H195"/>
    </row>
    <row r="196" spans="8:34" s="23" customFormat="1" x14ac:dyDescent="0.25"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H196"/>
    </row>
    <row r="197" spans="8:34" s="23" customFormat="1" x14ac:dyDescent="0.25"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H197"/>
    </row>
    <row r="198" spans="8:34" s="23" customFormat="1" x14ac:dyDescent="0.25"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H198"/>
    </row>
    <row r="199" spans="8:34" s="23" customFormat="1" x14ac:dyDescent="0.25"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H199"/>
    </row>
    <row r="200" spans="8:34" s="23" customFormat="1" x14ac:dyDescent="0.25"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H200"/>
    </row>
    <row r="201" spans="8:34" s="23" customFormat="1" x14ac:dyDescent="0.25"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H201"/>
    </row>
    <row r="202" spans="8:34" s="23" customFormat="1" x14ac:dyDescent="0.25"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H202"/>
    </row>
    <row r="203" spans="8:34" s="23" customFormat="1" x14ac:dyDescent="0.25"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H203"/>
    </row>
    <row r="204" spans="8:34" s="23" customFormat="1" x14ac:dyDescent="0.25"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H204"/>
    </row>
    <row r="205" spans="8:34" s="23" customFormat="1" x14ac:dyDescent="0.25"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H205"/>
    </row>
    <row r="206" spans="8:34" s="23" customFormat="1" x14ac:dyDescent="0.25"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H206"/>
    </row>
    <row r="207" spans="8:34" s="23" customFormat="1" x14ac:dyDescent="0.25"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H207"/>
    </row>
    <row r="208" spans="8:34" s="23" customFormat="1" x14ac:dyDescent="0.25"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H208"/>
    </row>
    <row r="209" spans="8:34" s="23" customFormat="1" x14ac:dyDescent="0.25"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H209"/>
    </row>
    <row r="210" spans="8:34" s="23" customFormat="1" x14ac:dyDescent="0.25"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H210"/>
    </row>
    <row r="211" spans="8:34" s="23" customFormat="1" x14ac:dyDescent="0.25"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H211"/>
    </row>
    <row r="212" spans="8:34" s="23" customFormat="1" x14ac:dyDescent="0.25"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H212"/>
    </row>
    <row r="213" spans="8:34" s="23" customFormat="1" x14ac:dyDescent="0.25"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H213"/>
    </row>
    <row r="214" spans="8:34" s="23" customFormat="1" x14ac:dyDescent="0.25"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H214"/>
    </row>
    <row r="215" spans="8:34" s="23" customFormat="1" x14ac:dyDescent="0.25"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H215"/>
    </row>
    <row r="216" spans="8:34" s="23" customFormat="1" x14ac:dyDescent="0.25"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H216"/>
    </row>
    <row r="217" spans="8:34" s="23" customFormat="1" x14ac:dyDescent="0.25"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H217"/>
    </row>
    <row r="218" spans="8:34" s="23" customFormat="1" x14ac:dyDescent="0.25"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H218"/>
    </row>
    <row r="219" spans="8:34" s="23" customFormat="1" x14ac:dyDescent="0.25"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H219"/>
    </row>
    <row r="220" spans="8:34" s="23" customFormat="1" x14ac:dyDescent="0.25"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H220"/>
    </row>
    <row r="221" spans="8:34" s="23" customFormat="1" x14ac:dyDescent="0.25"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H221"/>
    </row>
    <row r="222" spans="8:34" s="23" customFormat="1" x14ac:dyDescent="0.25"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H222"/>
    </row>
    <row r="223" spans="8:34" s="23" customFormat="1" x14ac:dyDescent="0.25"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H223"/>
    </row>
    <row r="224" spans="8:34" s="23" customFormat="1" x14ac:dyDescent="0.25"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H224"/>
    </row>
    <row r="225" spans="8:34" s="23" customFormat="1" x14ac:dyDescent="0.25"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H225"/>
    </row>
    <row r="226" spans="8:34" s="23" customFormat="1" x14ac:dyDescent="0.25"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H226"/>
    </row>
    <row r="227" spans="8:34" s="23" customFormat="1" x14ac:dyDescent="0.25"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H227"/>
    </row>
    <row r="228" spans="8:34" s="23" customFormat="1" x14ac:dyDescent="0.25"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H228"/>
    </row>
    <row r="229" spans="8:34" s="23" customFormat="1" x14ac:dyDescent="0.25"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H229"/>
    </row>
    <row r="230" spans="8:34" s="23" customFormat="1" x14ac:dyDescent="0.25"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H230"/>
    </row>
    <row r="231" spans="8:34" s="23" customFormat="1" x14ac:dyDescent="0.25"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H231"/>
    </row>
    <row r="232" spans="8:34" s="23" customFormat="1" x14ac:dyDescent="0.25"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H232"/>
    </row>
    <row r="233" spans="8:34" s="23" customFormat="1" x14ac:dyDescent="0.25"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H233"/>
    </row>
    <row r="234" spans="8:34" s="23" customFormat="1" x14ac:dyDescent="0.25"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H234"/>
    </row>
    <row r="235" spans="8:34" s="23" customFormat="1" x14ac:dyDescent="0.25"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H235"/>
    </row>
    <row r="236" spans="8:34" s="23" customFormat="1" x14ac:dyDescent="0.25"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H236"/>
    </row>
    <row r="237" spans="8:34" s="23" customFormat="1" x14ac:dyDescent="0.25"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H237"/>
    </row>
    <row r="238" spans="8:34" s="23" customFormat="1" x14ac:dyDescent="0.25"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H238"/>
    </row>
    <row r="239" spans="8:34" s="23" customFormat="1" x14ac:dyDescent="0.25"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H239"/>
    </row>
    <row r="240" spans="8:34" s="23" customFormat="1" x14ac:dyDescent="0.25"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H240"/>
    </row>
    <row r="241" spans="8:34" s="23" customFormat="1" x14ac:dyDescent="0.25"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H241"/>
    </row>
    <row r="242" spans="8:34" s="23" customFormat="1" x14ac:dyDescent="0.25"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H242"/>
    </row>
    <row r="243" spans="8:34" s="23" customFormat="1" x14ac:dyDescent="0.25"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H243"/>
    </row>
    <row r="244" spans="8:34" s="23" customFormat="1" x14ac:dyDescent="0.25"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H244"/>
    </row>
    <row r="245" spans="8:34" s="23" customFormat="1" x14ac:dyDescent="0.25"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H245"/>
    </row>
    <row r="246" spans="8:34" s="23" customFormat="1" x14ac:dyDescent="0.25"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H246"/>
    </row>
    <row r="247" spans="8:34" s="23" customFormat="1" x14ac:dyDescent="0.25"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H247"/>
    </row>
    <row r="248" spans="8:34" s="23" customFormat="1" x14ac:dyDescent="0.25"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H248"/>
    </row>
    <row r="249" spans="8:34" s="23" customFormat="1" x14ac:dyDescent="0.25"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H249"/>
    </row>
    <row r="250" spans="8:34" s="23" customFormat="1" x14ac:dyDescent="0.25"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H250"/>
    </row>
    <row r="251" spans="8:34" s="23" customFormat="1" x14ac:dyDescent="0.25"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H251"/>
    </row>
    <row r="252" spans="8:34" s="23" customFormat="1" x14ac:dyDescent="0.25"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H252"/>
    </row>
    <row r="253" spans="8:34" s="23" customFormat="1" x14ac:dyDescent="0.25"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H253"/>
    </row>
    <row r="254" spans="8:34" s="23" customFormat="1" x14ac:dyDescent="0.25"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H254"/>
    </row>
    <row r="255" spans="8:34" s="23" customFormat="1" x14ac:dyDescent="0.25"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H255"/>
    </row>
    <row r="256" spans="8:34" s="23" customFormat="1" x14ac:dyDescent="0.25"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H256"/>
    </row>
    <row r="257" spans="8:34" s="23" customFormat="1" x14ac:dyDescent="0.25"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H257"/>
    </row>
    <row r="258" spans="8:34" s="23" customFormat="1" x14ac:dyDescent="0.25"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H258"/>
    </row>
    <row r="259" spans="8:34" s="23" customFormat="1" x14ac:dyDescent="0.25"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H259"/>
    </row>
    <row r="260" spans="8:34" s="23" customFormat="1" x14ac:dyDescent="0.25"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H260"/>
    </row>
    <row r="261" spans="8:34" s="23" customFormat="1" x14ac:dyDescent="0.25"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H261"/>
    </row>
    <row r="262" spans="8:34" s="23" customFormat="1" x14ac:dyDescent="0.25"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H262"/>
    </row>
    <row r="263" spans="8:34" s="23" customFormat="1" x14ac:dyDescent="0.25"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H263"/>
    </row>
    <row r="264" spans="8:34" s="23" customFormat="1" x14ac:dyDescent="0.25"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H264"/>
    </row>
    <row r="265" spans="8:34" s="23" customFormat="1" x14ac:dyDescent="0.25"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H265"/>
    </row>
    <row r="266" spans="8:34" s="23" customFormat="1" x14ac:dyDescent="0.25"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H266"/>
    </row>
    <row r="267" spans="8:34" s="23" customFormat="1" x14ac:dyDescent="0.25"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H267"/>
    </row>
    <row r="268" spans="8:34" s="23" customFormat="1" x14ac:dyDescent="0.25"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H268"/>
    </row>
    <row r="269" spans="8:34" s="23" customFormat="1" x14ac:dyDescent="0.25"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H269"/>
    </row>
    <row r="270" spans="8:34" s="23" customFormat="1" x14ac:dyDescent="0.25"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H270"/>
    </row>
    <row r="271" spans="8:34" s="23" customFormat="1" x14ac:dyDescent="0.25"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H271"/>
    </row>
    <row r="272" spans="8:34" s="23" customFormat="1" x14ac:dyDescent="0.25"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H272"/>
    </row>
    <row r="273" spans="8:34" s="23" customFormat="1" x14ac:dyDescent="0.25"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H273"/>
    </row>
    <row r="274" spans="8:34" s="23" customFormat="1" x14ac:dyDescent="0.25"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H274"/>
    </row>
    <row r="275" spans="8:34" s="23" customFormat="1" x14ac:dyDescent="0.25"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H275"/>
    </row>
    <row r="276" spans="8:34" s="23" customFormat="1" x14ac:dyDescent="0.25"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H276"/>
    </row>
    <row r="277" spans="8:34" s="23" customFormat="1" x14ac:dyDescent="0.25"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H277"/>
    </row>
    <row r="278" spans="8:34" s="23" customFormat="1" x14ac:dyDescent="0.25"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H278"/>
    </row>
    <row r="279" spans="8:34" s="23" customFormat="1" x14ac:dyDescent="0.25"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H279"/>
    </row>
    <row r="280" spans="8:34" s="23" customFormat="1" x14ac:dyDescent="0.25"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H280"/>
    </row>
    <row r="281" spans="8:34" s="23" customFormat="1" x14ac:dyDescent="0.25"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H281"/>
    </row>
    <row r="282" spans="8:34" s="23" customFormat="1" x14ac:dyDescent="0.25"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H282"/>
    </row>
    <row r="283" spans="8:34" s="23" customFormat="1" x14ac:dyDescent="0.25"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H283"/>
    </row>
    <row r="284" spans="8:34" s="23" customFormat="1" x14ac:dyDescent="0.25"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H284"/>
    </row>
    <row r="285" spans="8:34" s="23" customFormat="1" x14ac:dyDescent="0.25"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H285"/>
    </row>
    <row r="286" spans="8:34" s="23" customFormat="1" x14ac:dyDescent="0.25"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H286"/>
    </row>
    <row r="287" spans="8:34" s="23" customFormat="1" x14ac:dyDescent="0.25"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H287"/>
    </row>
    <row r="288" spans="8:34" s="23" customFormat="1" x14ac:dyDescent="0.25"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H288"/>
    </row>
    <row r="289" spans="8:34" s="23" customFormat="1" x14ac:dyDescent="0.25"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H289"/>
    </row>
    <row r="290" spans="8:34" s="23" customFormat="1" x14ac:dyDescent="0.25"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H290"/>
    </row>
    <row r="291" spans="8:34" s="23" customFormat="1" x14ac:dyDescent="0.25"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H291"/>
    </row>
    <row r="292" spans="8:34" s="23" customFormat="1" x14ac:dyDescent="0.25"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H292"/>
    </row>
    <row r="293" spans="8:34" s="23" customFormat="1" x14ac:dyDescent="0.25"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H293"/>
    </row>
    <row r="294" spans="8:34" s="23" customFormat="1" x14ac:dyDescent="0.25"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H294"/>
    </row>
    <row r="295" spans="8:34" s="23" customFormat="1" x14ac:dyDescent="0.25"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H295"/>
    </row>
    <row r="296" spans="8:34" s="23" customFormat="1" x14ac:dyDescent="0.25"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H296"/>
    </row>
    <row r="297" spans="8:34" s="23" customFormat="1" x14ac:dyDescent="0.25"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H297"/>
    </row>
    <row r="298" spans="8:34" s="23" customFormat="1" x14ac:dyDescent="0.25"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H298"/>
    </row>
    <row r="299" spans="8:34" s="23" customFormat="1" x14ac:dyDescent="0.25"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H299"/>
    </row>
    <row r="300" spans="8:34" s="23" customFormat="1" x14ac:dyDescent="0.25"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H300"/>
    </row>
    <row r="301" spans="8:34" s="23" customFormat="1" x14ac:dyDescent="0.25"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H301"/>
    </row>
    <row r="302" spans="8:34" s="23" customFormat="1" x14ac:dyDescent="0.25"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H302"/>
    </row>
    <row r="303" spans="8:34" s="23" customFormat="1" x14ac:dyDescent="0.25"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H303"/>
    </row>
    <row r="304" spans="8:34" s="23" customFormat="1" x14ac:dyDescent="0.25"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H304"/>
    </row>
    <row r="305" spans="8:34" s="23" customFormat="1" x14ac:dyDescent="0.25"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H305"/>
    </row>
    <row r="306" spans="8:34" s="23" customFormat="1" x14ac:dyDescent="0.25"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H306"/>
    </row>
    <row r="307" spans="8:34" s="23" customFormat="1" x14ac:dyDescent="0.25"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H307"/>
    </row>
    <row r="308" spans="8:34" s="23" customFormat="1" x14ac:dyDescent="0.25"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H308"/>
    </row>
    <row r="309" spans="8:34" s="23" customFormat="1" x14ac:dyDescent="0.25"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H309"/>
    </row>
    <row r="310" spans="8:34" s="23" customFormat="1" x14ac:dyDescent="0.25"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H310"/>
    </row>
    <row r="311" spans="8:34" s="23" customFormat="1" x14ac:dyDescent="0.25"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H311"/>
    </row>
    <row r="312" spans="8:34" s="23" customFormat="1" x14ac:dyDescent="0.25"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H312"/>
    </row>
    <row r="313" spans="8:34" s="23" customFormat="1" x14ac:dyDescent="0.25"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H313"/>
    </row>
    <row r="314" spans="8:34" s="23" customFormat="1" x14ac:dyDescent="0.25"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H314"/>
    </row>
    <row r="315" spans="8:34" s="23" customFormat="1" x14ac:dyDescent="0.25"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H315"/>
    </row>
    <row r="316" spans="8:34" s="23" customFormat="1" x14ac:dyDescent="0.25"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H316"/>
    </row>
    <row r="317" spans="8:34" s="23" customFormat="1" x14ac:dyDescent="0.25"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H317"/>
    </row>
    <row r="318" spans="8:34" s="23" customFormat="1" x14ac:dyDescent="0.25"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  <c r="AD318" s="78"/>
      <c r="AE318" s="78"/>
      <c r="AH318"/>
    </row>
    <row r="319" spans="8:34" s="23" customFormat="1" x14ac:dyDescent="0.25"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H319"/>
    </row>
    <row r="320" spans="8:34" s="23" customFormat="1" x14ac:dyDescent="0.25"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H320"/>
    </row>
    <row r="321" spans="8:34" s="23" customFormat="1" x14ac:dyDescent="0.25"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H321"/>
    </row>
    <row r="322" spans="8:34" s="23" customFormat="1" x14ac:dyDescent="0.25"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H322"/>
    </row>
    <row r="323" spans="8:34" s="23" customFormat="1" x14ac:dyDescent="0.25"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H323"/>
    </row>
    <row r="324" spans="8:34" s="23" customFormat="1" x14ac:dyDescent="0.25"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H324"/>
    </row>
    <row r="325" spans="8:34" s="23" customFormat="1" x14ac:dyDescent="0.25"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H325"/>
    </row>
    <row r="326" spans="8:34" s="23" customFormat="1" x14ac:dyDescent="0.25"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H326"/>
    </row>
    <row r="327" spans="8:34" s="23" customFormat="1" x14ac:dyDescent="0.25"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H327"/>
    </row>
    <row r="328" spans="8:34" s="23" customFormat="1" x14ac:dyDescent="0.25"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H328"/>
    </row>
    <row r="329" spans="8:34" s="23" customFormat="1" x14ac:dyDescent="0.25"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H329"/>
    </row>
    <row r="330" spans="8:34" s="23" customFormat="1" x14ac:dyDescent="0.25"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H330"/>
    </row>
    <row r="331" spans="8:34" s="23" customFormat="1" x14ac:dyDescent="0.25"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H331"/>
    </row>
    <row r="332" spans="8:34" s="23" customFormat="1" x14ac:dyDescent="0.25"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H332"/>
    </row>
    <row r="333" spans="8:34" s="23" customFormat="1" x14ac:dyDescent="0.25"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H333"/>
    </row>
    <row r="334" spans="8:34" s="23" customFormat="1" x14ac:dyDescent="0.25"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H334"/>
    </row>
    <row r="335" spans="8:34" s="23" customFormat="1" x14ac:dyDescent="0.25"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H335"/>
    </row>
    <row r="336" spans="8:34" s="23" customFormat="1" x14ac:dyDescent="0.25"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H336"/>
    </row>
    <row r="337" spans="8:34" s="23" customFormat="1" x14ac:dyDescent="0.25"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H337"/>
    </row>
    <row r="338" spans="8:34" s="23" customFormat="1" x14ac:dyDescent="0.25"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H338"/>
    </row>
    <row r="339" spans="8:34" s="23" customFormat="1" x14ac:dyDescent="0.25"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H339"/>
    </row>
    <row r="340" spans="8:34" s="23" customFormat="1" x14ac:dyDescent="0.25"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H340"/>
    </row>
    <row r="341" spans="8:34" s="23" customFormat="1" x14ac:dyDescent="0.25"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H341"/>
    </row>
    <row r="342" spans="8:34" s="23" customFormat="1" x14ac:dyDescent="0.25"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H342"/>
    </row>
    <row r="343" spans="8:34" s="23" customFormat="1" x14ac:dyDescent="0.25"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H343"/>
    </row>
    <row r="344" spans="8:34" s="23" customFormat="1" x14ac:dyDescent="0.25"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H344"/>
    </row>
    <row r="345" spans="8:34" s="23" customFormat="1" x14ac:dyDescent="0.25"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H345"/>
    </row>
    <row r="346" spans="8:34" s="23" customFormat="1" x14ac:dyDescent="0.25"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H346"/>
    </row>
    <row r="347" spans="8:34" s="23" customFormat="1" x14ac:dyDescent="0.25"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H347"/>
    </row>
    <row r="348" spans="8:34" s="23" customFormat="1" x14ac:dyDescent="0.25"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H348"/>
    </row>
    <row r="349" spans="8:34" s="23" customFormat="1" x14ac:dyDescent="0.25"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H349"/>
    </row>
    <row r="350" spans="8:34" s="23" customFormat="1" x14ac:dyDescent="0.25"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H350"/>
    </row>
    <row r="351" spans="8:34" s="23" customFormat="1" x14ac:dyDescent="0.25"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H351"/>
    </row>
    <row r="352" spans="8:34" s="23" customFormat="1" x14ac:dyDescent="0.25"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H352"/>
    </row>
    <row r="353" spans="8:34" s="23" customFormat="1" x14ac:dyDescent="0.25"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H353"/>
    </row>
    <row r="354" spans="8:34" s="23" customFormat="1" x14ac:dyDescent="0.25"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H354"/>
    </row>
    <row r="355" spans="8:34" s="23" customFormat="1" x14ac:dyDescent="0.25"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H355"/>
    </row>
    <row r="356" spans="8:34" s="23" customFormat="1" x14ac:dyDescent="0.25"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H356"/>
    </row>
    <row r="357" spans="8:34" s="23" customFormat="1" x14ac:dyDescent="0.25"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H357"/>
    </row>
    <row r="358" spans="8:34" s="23" customFormat="1" x14ac:dyDescent="0.25"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H358"/>
    </row>
    <row r="359" spans="8:34" s="23" customFormat="1" x14ac:dyDescent="0.25"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H359"/>
    </row>
    <row r="360" spans="8:34" s="23" customFormat="1" x14ac:dyDescent="0.25"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H360"/>
    </row>
    <row r="361" spans="8:34" s="23" customFormat="1" x14ac:dyDescent="0.25"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H361"/>
    </row>
    <row r="362" spans="8:34" s="23" customFormat="1" x14ac:dyDescent="0.25"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H362"/>
    </row>
    <row r="363" spans="8:34" s="23" customFormat="1" x14ac:dyDescent="0.25"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H363"/>
    </row>
    <row r="364" spans="8:34" s="23" customFormat="1" x14ac:dyDescent="0.25"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H364"/>
    </row>
    <row r="365" spans="8:34" s="23" customFormat="1" x14ac:dyDescent="0.25"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H365"/>
    </row>
    <row r="366" spans="8:34" s="23" customFormat="1" x14ac:dyDescent="0.25"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H366"/>
    </row>
    <row r="367" spans="8:34" s="23" customFormat="1" x14ac:dyDescent="0.25"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H367"/>
    </row>
    <row r="368" spans="8:34" s="23" customFormat="1" x14ac:dyDescent="0.25"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H368"/>
    </row>
    <row r="369" spans="8:34" s="23" customFormat="1" x14ac:dyDescent="0.25"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H369"/>
    </row>
    <row r="370" spans="8:34" s="23" customFormat="1" x14ac:dyDescent="0.25"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H370"/>
    </row>
    <row r="371" spans="8:34" s="23" customFormat="1" x14ac:dyDescent="0.25"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H371"/>
    </row>
    <row r="372" spans="8:34" s="23" customFormat="1" x14ac:dyDescent="0.25"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H372"/>
    </row>
    <row r="373" spans="8:34" s="23" customFormat="1" x14ac:dyDescent="0.25"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H373"/>
    </row>
    <row r="374" spans="8:34" s="23" customFormat="1" x14ac:dyDescent="0.25"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H374"/>
    </row>
    <row r="375" spans="8:34" s="23" customFormat="1" x14ac:dyDescent="0.25"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H375"/>
    </row>
    <row r="376" spans="8:34" s="23" customFormat="1" x14ac:dyDescent="0.25"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H376"/>
    </row>
    <row r="377" spans="8:34" s="23" customFormat="1" x14ac:dyDescent="0.25"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H377"/>
    </row>
    <row r="378" spans="8:34" s="23" customFormat="1" x14ac:dyDescent="0.25"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H378"/>
    </row>
    <row r="379" spans="8:34" s="23" customFormat="1" x14ac:dyDescent="0.25"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H379"/>
    </row>
    <row r="380" spans="8:34" s="23" customFormat="1" x14ac:dyDescent="0.25"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H380"/>
    </row>
    <row r="381" spans="8:34" s="23" customFormat="1" x14ac:dyDescent="0.25"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H381"/>
    </row>
    <row r="382" spans="8:34" s="23" customFormat="1" x14ac:dyDescent="0.25"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H382"/>
    </row>
    <row r="383" spans="8:34" s="23" customFormat="1" x14ac:dyDescent="0.25"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H383"/>
    </row>
    <row r="384" spans="8:34" s="23" customFormat="1" x14ac:dyDescent="0.25"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H384"/>
    </row>
    <row r="385" spans="8:34" s="23" customFormat="1" x14ac:dyDescent="0.25"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H385"/>
    </row>
    <row r="386" spans="8:34" s="23" customFormat="1" x14ac:dyDescent="0.25"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H386"/>
    </row>
    <row r="387" spans="8:34" s="23" customFormat="1" x14ac:dyDescent="0.25"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H387"/>
    </row>
    <row r="388" spans="8:34" s="23" customFormat="1" x14ac:dyDescent="0.25"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H388"/>
    </row>
    <row r="389" spans="8:34" s="23" customFormat="1" x14ac:dyDescent="0.25"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H389"/>
    </row>
    <row r="390" spans="8:34" s="23" customFormat="1" x14ac:dyDescent="0.25"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H390"/>
    </row>
    <row r="391" spans="8:34" s="23" customFormat="1" x14ac:dyDescent="0.25"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H391"/>
    </row>
    <row r="392" spans="8:34" s="23" customFormat="1" x14ac:dyDescent="0.25"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H392"/>
    </row>
    <row r="393" spans="8:34" s="23" customFormat="1" x14ac:dyDescent="0.25"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H393"/>
    </row>
    <row r="394" spans="8:34" s="23" customFormat="1" x14ac:dyDescent="0.25"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H394"/>
    </row>
    <row r="395" spans="8:34" s="23" customFormat="1" x14ac:dyDescent="0.25"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H395"/>
    </row>
    <row r="396" spans="8:34" s="23" customFormat="1" x14ac:dyDescent="0.25"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H396"/>
    </row>
    <row r="397" spans="8:34" s="23" customFormat="1" x14ac:dyDescent="0.25"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H397"/>
    </row>
    <row r="398" spans="8:34" s="23" customFormat="1" x14ac:dyDescent="0.25"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H398"/>
    </row>
    <row r="399" spans="8:34" s="23" customFormat="1" x14ac:dyDescent="0.25"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H399"/>
    </row>
    <row r="400" spans="8:34" s="23" customFormat="1" x14ac:dyDescent="0.25"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H400"/>
    </row>
    <row r="401" spans="8:34" s="23" customFormat="1" x14ac:dyDescent="0.25"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H401"/>
    </row>
    <row r="402" spans="8:34" s="23" customFormat="1" x14ac:dyDescent="0.25"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H402"/>
    </row>
    <row r="403" spans="8:34" s="23" customFormat="1" x14ac:dyDescent="0.25"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H403"/>
    </row>
    <row r="404" spans="8:34" s="23" customFormat="1" x14ac:dyDescent="0.25"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H404"/>
    </row>
    <row r="405" spans="8:34" s="23" customFormat="1" x14ac:dyDescent="0.25"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H405"/>
    </row>
    <row r="406" spans="8:34" s="23" customFormat="1" x14ac:dyDescent="0.25"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H406"/>
    </row>
    <row r="407" spans="8:34" s="23" customFormat="1" x14ac:dyDescent="0.25"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H407"/>
    </row>
    <row r="408" spans="8:34" s="23" customFormat="1" x14ac:dyDescent="0.25"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H408"/>
    </row>
    <row r="409" spans="8:34" s="23" customFormat="1" x14ac:dyDescent="0.25"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H409"/>
    </row>
    <row r="410" spans="8:34" s="23" customFormat="1" x14ac:dyDescent="0.25"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H410"/>
    </row>
    <row r="411" spans="8:34" s="23" customFormat="1" x14ac:dyDescent="0.25"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H411"/>
    </row>
    <row r="412" spans="8:34" s="23" customFormat="1" x14ac:dyDescent="0.25"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H412"/>
    </row>
    <row r="413" spans="8:34" s="23" customFormat="1" x14ac:dyDescent="0.25"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H413"/>
    </row>
    <row r="414" spans="8:34" s="23" customFormat="1" x14ac:dyDescent="0.25"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H414"/>
    </row>
    <row r="415" spans="8:34" s="23" customFormat="1" x14ac:dyDescent="0.25"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H415"/>
    </row>
    <row r="416" spans="8:34" s="23" customFormat="1" x14ac:dyDescent="0.25"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H416"/>
    </row>
    <row r="417" spans="8:34" s="23" customFormat="1" x14ac:dyDescent="0.25"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H417"/>
    </row>
    <row r="418" spans="8:34" s="23" customFormat="1" x14ac:dyDescent="0.25"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H418"/>
    </row>
    <row r="419" spans="8:34" s="23" customFormat="1" x14ac:dyDescent="0.25"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H419"/>
    </row>
    <row r="420" spans="8:34" s="23" customFormat="1" x14ac:dyDescent="0.25"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H420"/>
    </row>
    <row r="421" spans="8:34" s="23" customFormat="1" x14ac:dyDescent="0.25"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H421"/>
    </row>
    <row r="422" spans="8:34" s="23" customFormat="1" x14ac:dyDescent="0.25"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H422"/>
    </row>
    <row r="423" spans="8:34" s="23" customFormat="1" x14ac:dyDescent="0.25"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H423"/>
    </row>
    <row r="424" spans="8:34" s="23" customFormat="1" x14ac:dyDescent="0.25"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H424"/>
    </row>
    <row r="425" spans="8:34" s="23" customFormat="1" x14ac:dyDescent="0.25"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H425"/>
    </row>
    <row r="426" spans="8:34" s="23" customFormat="1" x14ac:dyDescent="0.25"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H426"/>
    </row>
    <row r="427" spans="8:34" s="23" customFormat="1" x14ac:dyDescent="0.25"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H427"/>
    </row>
    <row r="428" spans="8:34" s="23" customFormat="1" x14ac:dyDescent="0.25"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H428"/>
    </row>
    <row r="429" spans="8:34" s="23" customFormat="1" x14ac:dyDescent="0.25"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H429"/>
    </row>
    <row r="430" spans="8:34" s="23" customFormat="1" x14ac:dyDescent="0.25"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H430"/>
    </row>
    <row r="431" spans="8:34" s="23" customFormat="1" x14ac:dyDescent="0.25"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H431"/>
    </row>
    <row r="432" spans="8:34" s="23" customFormat="1" x14ac:dyDescent="0.25"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H432"/>
    </row>
    <row r="433" spans="8:34" s="23" customFormat="1" x14ac:dyDescent="0.25"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H433"/>
    </row>
    <row r="434" spans="8:34" s="23" customFormat="1" x14ac:dyDescent="0.25"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H434"/>
    </row>
    <row r="435" spans="8:34" s="23" customFormat="1" x14ac:dyDescent="0.25"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H435"/>
    </row>
    <row r="436" spans="8:34" s="23" customFormat="1" x14ac:dyDescent="0.25"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H436"/>
    </row>
    <row r="437" spans="8:34" s="23" customFormat="1" x14ac:dyDescent="0.25"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H437"/>
    </row>
    <row r="438" spans="8:34" s="23" customFormat="1" x14ac:dyDescent="0.25"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H438"/>
    </row>
    <row r="439" spans="8:34" s="23" customFormat="1" x14ac:dyDescent="0.25"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H439"/>
    </row>
    <row r="440" spans="8:34" s="23" customFormat="1" x14ac:dyDescent="0.25"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H440"/>
    </row>
    <row r="441" spans="8:34" s="23" customFormat="1" x14ac:dyDescent="0.25"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H441"/>
    </row>
    <row r="442" spans="8:34" s="23" customFormat="1" x14ac:dyDescent="0.25"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H442"/>
    </row>
    <row r="443" spans="8:34" s="23" customFormat="1" x14ac:dyDescent="0.25"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H443"/>
    </row>
    <row r="444" spans="8:34" s="23" customFormat="1" x14ac:dyDescent="0.25"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H444"/>
    </row>
    <row r="445" spans="8:34" s="23" customFormat="1" x14ac:dyDescent="0.25"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H445"/>
    </row>
    <row r="446" spans="8:34" s="23" customFormat="1" x14ac:dyDescent="0.25"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H446"/>
    </row>
    <row r="447" spans="8:34" s="23" customFormat="1" x14ac:dyDescent="0.25"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H447"/>
    </row>
    <row r="448" spans="8:34" s="23" customFormat="1" x14ac:dyDescent="0.25"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H448"/>
    </row>
    <row r="449" spans="8:34" s="23" customFormat="1" x14ac:dyDescent="0.25"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H449"/>
    </row>
    <row r="450" spans="8:34" s="23" customFormat="1" x14ac:dyDescent="0.25"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H450"/>
    </row>
    <row r="451" spans="8:34" s="23" customFormat="1" x14ac:dyDescent="0.25"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H451"/>
    </row>
    <row r="452" spans="8:34" s="23" customFormat="1" x14ac:dyDescent="0.25"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H452"/>
    </row>
    <row r="453" spans="8:34" s="23" customFormat="1" x14ac:dyDescent="0.25"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/>
      <c r="AC453" s="78"/>
      <c r="AD453" s="78"/>
      <c r="AE453" s="78"/>
      <c r="AH453"/>
    </row>
    <row r="454" spans="8:34" s="23" customFormat="1" x14ac:dyDescent="0.25"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H454"/>
    </row>
    <row r="455" spans="8:34" s="23" customFormat="1" x14ac:dyDescent="0.25"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H455"/>
    </row>
    <row r="456" spans="8:34" s="23" customFormat="1" x14ac:dyDescent="0.25"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H456"/>
    </row>
    <row r="457" spans="8:34" s="23" customFormat="1" x14ac:dyDescent="0.25"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H457"/>
    </row>
    <row r="458" spans="8:34" s="23" customFormat="1" x14ac:dyDescent="0.25"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H458"/>
    </row>
    <row r="459" spans="8:34" s="23" customFormat="1" x14ac:dyDescent="0.25"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H459"/>
    </row>
    <row r="460" spans="8:34" s="23" customFormat="1" x14ac:dyDescent="0.25"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H460"/>
    </row>
    <row r="461" spans="8:34" s="23" customFormat="1" x14ac:dyDescent="0.25"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H461"/>
    </row>
    <row r="462" spans="8:34" s="23" customFormat="1" x14ac:dyDescent="0.25"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H462"/>
    </row>
    <row r="463" spans="8:34" s="23" customFormat="1" x14ac:dyDescent="0.25"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H463"/>
    </row>
    <row r="464" spans="8:34" s="23" customFormat="1" x14ac:dyDescent="0.25"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H464"/>
    </row>
    <row r="465" spans="8:34" s="23" customFormat="1" x14ac:dyDescent="0.25"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H465"/>
    </row>
    <row r="466" spans="8:34" s="23" customFormat="1" x14ac:dyDescent="0.25"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H466"/>
    </row>
    <row r="467" spans="8:34" s="23" customFormat="1" x14ac:dyDescent="0.25"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H467"/>
    </row>
    <row r="468" spans="8:34" s="23" customFormat="1" x14ac:dyDescent="0.25"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H468"/>
    </row>
    <row r="469" spans="8:34" s="23" customFormat="1" x14ac:dyDescent="0.25"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H469"/>
    </row>
    <row r="470" spans="8:34" s="23" customFormat="1" x14ac:dyDescent="0.25"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H470"/>
    </row>
    <row r="471" spans="8:34" s="23" customFormat="1" x14ac:dyDescent="0.25"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H471"/>
    </row>
    <row r="472" spans="8:34" s="23" customFormat="1" x14ac:dyDescent="0.25"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H472"/>
    </row>
    <row r="473" spans="8:34" s="23" customFormat="1" x14ac:dyDescent="0.25"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H473"/>
    </row>
    <row r="474" spans="8:34" s="23" customFormat="1" x14ac:dyDescent="0.25"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H474"/>
    </row>
    <row r="475" spans="8:34" s="23" customFormat="1" x14ac:dyDescent="0.25"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H475"/>
    </row>
    <row r="476" spans="8:34" s="23" customFormat="1" x14ac:dyDescent="0.25"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H476"/>
    </row>
    <row r="477" spans="8:34" s="23" customFormat="1" x14ac:dyDescent="0.25"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H477"/>
    </row>
    <row r="478" spans="8:34" s="23" customFormat="1" x14ac:dyDescent="0.25"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H478"/>
    </row>
    <row r="479" spans="8:34" s="23" customFormat="1" x14ac:dyDescent="0.25"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H479"/>
    </row>
    <row r="480" spans="8:34" s="23" customFormat="1" x14ac:dyDescent="0.25"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H480"/>
    </row>
    <row r="481" spans="8:34" s="23" customFormat="1" x14ac:dyDescent="0.25"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H481"/>
    </row>
    <row r="482" spans="8:34" s="23" customFormat="1" x14ac:dyDescent="0.25"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H482"/>
    </row>
    <row r="483" spans="8:34" s="23" customFormat="1" x14ac:dyDescent="0.25"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  <c r="AA483" s="78"/>
      <c r="AB483" s="78"/>
      <c r="AC483" s="78"/>
      <c r="AD483" s="78"/>
      <c r="AE483" s="78"/>
      <c r="AH483"/>
    </row>
    <row r="484" spans="8:34" s="23" customFormat="1" x14ac:dyDescent="0.25"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H484"/>
    </row>
    <row r="485" spans="8:34" s="23" customFormat="1" x14ac:dyDescent="0.25"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H485"/>
    </row>
    <row r="486" spans="8:34" s="23" customFormat="1" x14ac:dyDescent="0.25"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H486"/>
    </row>
    <row r="487" spans="8:34" s="23" customFormat="1" x14ac:dyDescent="0.25"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H487"/>
    </row>
    <row r="488" spans="8:34" s="23" customFormat="1" x14ac:dyDescent="0.25"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H488"/>
    </row>
    <row r="489" spans="8:34" s="23" customFormat="1" x14ac:dyDescent="0.25"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H489"/>
    </row>
    <row r="490" spans="8:34" s="23" customFormat="1" x14ac:dyDescent="0.25"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H490"/>
    </row>
    <row r="491" spans="8:34" s="23" customFormat="1" x14ac:dyDescent="0.25"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H491"/>
    </row>
    <row r="492" spans="8:34" s="23" customFormat="1" x14ac:dyDescent="0.25"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H492"/>
    </row>
    <row r="493" spans="8:34" s="23" customFormat="1" x14ac:dyDescent="0.25"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H493"/>
    </row>
    <row r="494" spans="8:34" s="23" customFormat="1" x14ac:dyDescent="0.25"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H494"/>
    </row>
    <row r="495" spans="8:34" s="23" customFormat="1" x14ac:dyDescent="0.25"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H495"/>
    </row>
    <row r="496" spans="8:34" s="23" customFormat="1" x14ac:dyDescent="0.25"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H496"/>
    </row>
    <row r="497" spans="8:34" s="23" customFormat="1" x14ac:dyDescent="0.25"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H497"/>
    </row>
    <row r="498" spans="8:34" s="23" customFormat="1" x14ac:dyDescent="0.25"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H498"/>
    </row>
    <row r="499" spans="8:34" s="23" customFormat="1" x14ac:dyDescent="0.25"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H499"/>
    </row>
    <row r="500" spans="8:34" s="23" customFormat="1" x14ac:dyDescent="0.25"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H500"/>
    </row>
    <row r="501" spans="8:34" s="23" customFormat="1" x14ac:dyDescent="0.25"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H501"/>
    </row>
    <row r="502" spans="8:34" s="23" customFormat="1" x14ac:dyDescent="0.25"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H502"/>
    </row>
    <row r="503" spans="8:34" s="23" customFormat="1" x14ac:dyDescent="0.25"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H503"/>
    </row>
    <row r="504" spans="8:34" s="23" customFormat="1" x14ac:dyDescent="0.25"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H504"/>
    </row>
    <row r="505" spans="8:34" s="23" customFormat="1" x14ac:dyDescent="0.25"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H505"/>
    </row>
    <row r="506" spans="8:34" s="23" customFormat="1" x14ac:dyDescent="0.25"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H506"/>
    </row>
    <row r="507" spans="8:34" s="23" customFormat="1" x14ac:dyDescent="0.25"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H507"/>
    </row>
    <row r="508" spans="8:34" s="23" customFormat="1" x14ac:dyDescent="0.25"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H508"/>
    </row>
    <row r="509" spans="8:34" s="23" customFormat="1" x14ac:dyDescent="0.25"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H509"/>
    </row>
    <row r="510" spans="8:34" s="23" customFormat="1" x14ac:dyDescent="0.25"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H510"/>
    </row>
    <row r="511" spans="8:34" s="23" customFormat="1" x14ac:dyDescent="0.25"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H511"/>
    </row>
    <row r="512" spans="8:34" s="23" customFormat="1" x14ac:dyDescent="0.25"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H512"/>
    </row>
    <row r="513" spans="8:34" s="23" customFormat="1" x14ac:dyDescent="0.25"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H513"/>
    </row>
    <row r="514" spans="8:34" s="23" customFormat="1" x14ac:dyDescent="0.25"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H514"/>
    </row>
    <row r="515" spans="8:34" s="23" customFormat="1" x14ac:dyDescent="0.25"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H515"/>
    </row>
    <row r="516" spans="8:34" s="23" customFormat="1" x14ac:dyDescent="0.25"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H516"/>
    </row>
    <row r="517" spans="8:34" s="23" customFormat="1" x14ac:dyDescent="0.25"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H517"/>
    </row>
    <row r="518" spans="8:34" s="23" customFormat="1" x14ac:dyDescent="0.25"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H518"/>
    </row>
    <row r="519" spans="8:34" s="23" customFormat="1" x14ac:dyDescent="0.25"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H519"/>
    </row>
    <row r="520" spans="8:34" s="23" customFormat="1" x14ac:dyDescent="0.25"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H520"/>
    </row>
    <row r="521" spans="8:34" s="23" customFormat="1" x14ac:dyDescent="0.25"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H521"/>
    </row>
    <row r="522" spans="8:34" s="23" customFormat="1" x14ac:dyDescent="0.25"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H522"/>
    </row>
    <row r="523" spans="8:34" s="23" customFormat="1" x14ac:dyDescent="0.25"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H523"/>
    </row>
    <row r="524" spans="8:34" s="23" customFormat="1" x14ac:dyDescent="0.25"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H524"/>
    </row>
    <row r="525" spans="8:34" s="23" customFormat="1" x14ac:dyDescent="0.25"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H525"/>
    </row>
    <row r="526" spans="8:34" s="23" customFormat="1" x14ac:dyDescent="0.25"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H526"/>
    </row>
    <row r="527" spans="8:34" s="23" customFormat="1" x14ac:dyDescent="0.25"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H527"/>
    </row>
    <row r="528" spans="8:34" s="23" customFormat="1" x14ac:dyDescent="0.25"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H528"/>
    </row>
    <row r="529" spans="8:34" s="23" customFormat="1" x14ac:dyDescent="0.25"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H529"/>
    </row>
    <row r="530" spans="8:34" s="23" customFormat="1" x14ac:dyDescent="0.25"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H530"/>
    </row>
    <row r="531" spans="8:34" s="23" customFormat="1" x14ac:dyDescent="0.25"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H531"/>
    </row>
    <row r="532" spans="8:34" s="23" customFormat="1" x14ac:dyDescent="0.25"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H532"/>
    </row>
    <row r="533" spans="8:34" s="23" customFormat="1" x14ac:dyDescent="0.25"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H533"/>
    </row>
    <row r="534" spans="8:34" s="23" customFormat="1" x14ac:dyDescent="0.25"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H534"/>
    </row>
    <row r="535" spans="8:34" s="23" customFormat="1" x14ac:dyDescent="0.25"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H535"/>
    </row>
    <row r="536" spans="8:34" s="23" customFormat="1" x14ac:dyDescent="0.25"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H536"/>
    </row>
    <row r="537" spans="8:34" s="23" customFormat="1" x14ac:dyDescent="0.25"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H537"/>
    </row>
    <row r="538" spans="8:34" s="23" customFormat="1" x14ac:dyDescent="0.25"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H538"/>
    </row>
    <row r="539" spans="8:34" s="23" customFormat="1" x14ac:dyDescent="0.25"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H539"/>
    </row>
    <row r="540" spans="8:34" s="23" customFormat="1" x14ac:dyDescent="0.25"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H540"/>
    </row>
    <row r="541" spans="8:34" s="23" customFormat="1" x14ac:dyDescent="0.25"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H541"/>
    </row>
    <row r="542" spans="8:34" s="23" customFormat="1" x14ac:dyDescent="0.25"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H542"/>
    </row>
    <row r="543" spans="8:34" s="23" customFormat="1" x14ac:dyDescent="0.25"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H543"/>
    </row>
    <row r="544" spans="8:34" s="23" customFormat="1" x14ac:dyDescent="0.25"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H544"/>
    </row>
    <row r="545" spans="8:34" s="23" customFormat="1" x14ac:dyDescent="0.25"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H545"/>
    </row>
    <row r="546" spans="8:34" s="23" customFormat="1" x14ac:dyDescent="0.25"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H546"/>
    </row>
    <row r="547" spans="8:34" s="23" customFormat="1" x14ac:dyDescent="0.25"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H547"/>
    </row>
    <row r="548" spans="8:34" s="23" customFormat="1" x14ac:dyDescent="0.25"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H548"/>
    </row>
    <row r="549" spans="8:34" s="23" customFormat="1" x14ac:dyDescent="0.25"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H549"/>
    </row>
    <row r="550" spans="8:34" s="23" customFormat="1" x14ac:dyDescent="0.25"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H550"/>
    </row>
    <row r="551" spans="8:34" s="23" customFormat="1" x14ac:dyDescent="0.25"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H551"/>
    </row>
    <row r="552" spans="8:34" s="23" customFormat="1" x14ac:dyDescent="0.25"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H552"/>
    </row>
    <row r="553" spans="8:34" s="23" customFormat="1" x14ac:dyDescent="0.25"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H553"/>
    </row>
    <row r="554" spans="8:34" s="23" customFormat="1" x14ac:dyDescent="0.25"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H554"/>
    </row>
    <row r="555" spans="8:34" s="23" customFormat="1" x14ac:dyDescent="0.25"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H555"/>
    </row>
    <row r="556" spans="8:34" s="23" customFormat="1" x14ac:dyDescent="0.25"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H556"/>
    </row>
    <row r="557" spans="8:34" s="23" customFormat="1" x14ac:dyDescent="0.25"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H557"/>
    </row>
    <row r="558" spans="8:34" s="23" customFormat="1" x14ac:dyDescent="0.25"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H558"/>
    </row>
    <row r="559" spans="8:34" s="23" customFormat="1" x14ac:dyDescent="0.25"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H559"/>
    </row>
    <row r="560" spans="8:34" s="23" customFormat="1" x14ac:dyDescent="0.25"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H560"/>
    </row>
    <row r="561" spans="8:34" s="23" customFormat="1" x14ac:dyDescent="0.25"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H561"/>
    </row>
    <row r="562" spans="8:34" s="23" customFormat="1" x14ac:dyDescent="0.25"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H562"/>
    </row>
    <row r="563" spans="8:34" s="23" customFormat="1" x14ac:dyDescent="0.25"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H563"/>
    </row>
    <row r="564" spans="8:34" s="23" customFormat="1" x14ac:dyDescent="0.25"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H564"/>
    </row>
    <row r="565" spans="8:34" s="23" customFormat="1" x14ac:dyDescent="0.25"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H565"/>
    </row>
    <row r="566" spans="8:34" s="23" customFormat="1" x14ac:dyDescent="0.25"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H566"/>
    </row>
    <row r="567" spans="8:34" s="23" customFormat="1" x14ac:dyDescent="0.25"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H567"/>
    </row>
    <row r="568" spans="8:34" s="23" customFormat="1" x14ac:dyDescent="0.25"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H568"/>
    </row>
    <row r="569" spans="8:34" s="23" customFormat="1" x14ac:dyDescent="0.25"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H569"/>
    </row>
    <row r="570" spans="8:34" s="23" customFormat="1" x14ac:dyDescent="0.25"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H570"/>
    </row>
    <row r="571" spans="8:34" s="23" customFormat="1" x14ac:dyDescent="0.25"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H571"/>
    </row>
    <row r="572" spans="8:34" s="23" customFormat="1" x14ac:dyDescent="0.25"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H572"/>
    </row>
    <row r="573" spans="8:34" s="23" customFormat="1" x14ac:dyDescent="0.25"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H573"/>
    </row>
    <row r="574" spans="8:34" s="23" customFormat="1" x14ac:dyDescent="0.25"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H574"/>
    </row>
    <row r="575" spans="8:34" s="23" customFormat="1" x14ac:dyDescent="0.25"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H575"/>
    </row>
    <row r="576" spans="8:34" s="23" customFormat="1" x14ac:dyDescent="0.25"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H576"/>
    </row>
    <row r="577" spans="8:34" s="23" customFormat="1" x14ac:dyDescent="0.25"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H577"/>
    </row>
    <row r="578" spans="8:34" s="23" customFormat="1" x14ac:dyDescent="0.25"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H578"/>
    </row>
    <row r="579" spans="8:34" s="23" customFormat="1" x14ac:dyDescent="0.25"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H579"/>
    </row>
    <row r="580" spans="8:34" s="23" customFormat="1" x14ac:dyDescent="0.25"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H580"/>
    </row>
    <row r="581" spans="8:34" s="23" customFormat="1" x14ac:dyDescent="0.25"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H581"/>
    </row>
    <row r="582" spans="8:34" s="23" customFormat="1" x14ac:dyDescent="0.25"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H582"/>
    </row>
    <row r="583" spans="8:34" s="23" customFormat="1" x14ac:dyDescent="0.25"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H583"/>
    </row>
    <row r="584" spans="8:34" s="23" customFormat="1" x14ac:dyDescent="0.25"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H584"/>
    </row>
    <row r="585" spans="8:34" s="23" customFormat="1" x14ac:dyDescent="0.25"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H585"/>
    </row>
    <row r="586" spans="8:34" s="23" customFormat="1" x14ac:dyDescent="0.25"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H586"/>
    </row>
    <row r="587" spans="8:34" s="23" customFormat="1" x14ac:dyDescent="0.25"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H587"/>
    </row>
    <row r="588" spans="8:34" s="23" customFormat="1" x14ac:dyDescent="0.25"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H588"/>
    </row>
    <row r="589" spans="8:34" s="23" customFormat="1" x14ac:dyDescent="0.25"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H589"/>
    </row>
    <row r="590" spans="8:34" s="23" customFormat="1" x14ac:dyDescent="0.25"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H590"/>
    </row>
    <row r="591" spans="8:34" s="23" customFormat="1" x14ac:dyDescent="0.25"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H591"/>
    </row>
    <row r="592" spans="8:34" s="23" customFormat="1" x14ac:dyDescent="0.25"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H592"/>
    </row>
    <row r="593" spans="8:34" s="23" customFormat="1" x14ac:dyDescent="0.25"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H593"/>
    </row>
    <row r="594" spans="8:34" s="23" customFormat="1" x14ac:dyDescent="0.25"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H594"/>
    </row>
    <row r="595" spans="8:34" s="23" customFormat="1" x14ac:dyDescent="0.25"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  <c r="AH595"/>
    </row>
    <row r="596" spans="8:34" s="23" customFormat="1" x14ac:dyDescent="0.25"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  <c r="AH596"/>
    </row>
    <row r="597" spans="8:34" s="23" customFormat="1" x14ac:dyDescent="0.25"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H597"/>
    </row>
    <row r="598" spans="8:34" s="23" customFormat="1" x14ac:dyDescent="0.25"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H598"/>
    </row>
    <row r="599" spans="8:34" s="23" customFormat="1" x14ac:dyDescent="0.25"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H599"/>
    </row>
    <row r="600" spans="8:34" s="23" customFormat="1" x14ac:dyDescent="0.25"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  <c r="AH600"/>
    </row>
    <row r="601" spans="8:34" s="23" customFormat="1" x14ac:dyDescent="0.25"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H601"/>
    </row>
    <row r="602" spans="8:34" s="23" customFormat="1" x14ac:dyDescent="0.25"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H602"/>
    </row>
    <row r="603" spans="8:34" s="23" customFormat="1" x14ac:dyDescent="0.25"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H603"/>
    </row>
    <row r="604" spans="8:34" s="23" customFormat="1" x14ac:dyDescent="0.25"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  <c r="AH604"/>
    </row>
    <row r="605" spans="8:34" s="23" customFormat="1" x14ac:dyDescent="0.25"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  <c r="AH605"/>
    </row>
    <row r="606" spans="8:34" s="23" customFormat="1" x14ac:dyDescent="0.25"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H606"/>
    </row>
    <row r="607" spans="8:34" s="23" customFormat="1" x14ac:dyDescent="0.25"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H607"/>
    </row>
    <row r="608" spans="8:34" s="23" customFormat="1" x14ac:dyDescent="0.25"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  <c r="AH608"/>
    </row>
    <row r="609" spans="8:34" s="23" customFormat="1" x14ac:dyDescent="0.25"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H609"/>
    </row>
    <row r="610" spans="8:34" s="23" customFormat="1" x14ac:dyDescent="0.25"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  <c r="AH610"/>
    </row>
    <row r="611" spans="8:34" s="23" customFormat="1" x14ac:dyDescent="0.25"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  <c r="AH611"/>
    </row>
    <row r="612" spans="8:34" s="23" customFormat="1" x14ac:dyDescent="0.25"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  <c r="AH612"/>
    </row>
    <row r="613" spans="8:34" s="23" customFormat="1" x14ac:dyDescent="0.25"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  <c r="AH613"/>
    </row>
    <row r="614" spans="8:34" s="23" customFormat="1" x14ac:dyDescent="0.25"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H614"/>
    </row>
    <row r="615" spans="8:34" s="23" customFormat="1" x14ac:dyDescent="0.25"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H615"/>
    </row>
    <row r="616" spans="8:34" s="23" customFormat="1" x14ac:dyDescent="0.25"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  <c r="AH616"/>
    </row>
    <row r="617" spans="8:34" s="23" customFormat="1" x14ac:dyDescent="0.25"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H617"/>
    </row>
    <row r="618" spans="8:34" s="23" customFormat="1" x14ac:dyDescent="0.25"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  <c r="AH618"/>
    </row>
    <row r="619" spans="8:34" s="23" customFormat="1" x14ac:dyDescent="0.25"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  <c r="AH619"/>
    </row>
    <row r="620" spans="8:34" s="23" customFormat="1" x14ac:dyDescent="0.25"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H620"/>
    </row>
    <row r="621" spans="8:34" s="23" customFormat="1" x14ac:dyDescent="0.25"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  <c r="AH621"/>
    </row>
    <row r="622" spans="8:34" s="23" customFormat="1" x14ac:dyDescent="0.25"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  <c r="AH622"/>
    </row>
    <row r="623" spans="8:34" s="23" customFormat="1" x14ac:dyDescent="0.25"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  <c r="AH623"/>
    </row>
    <row r="624" spans="8:34" s="23" customFormat="1" x14ac:dyDescent="0.25"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H624"/>
    </row>
    <row r="625" spans="8:34" s="23" customFormat="1" x14ac:dyDescent="0.25"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H625"/>
    </row>
    <row r="626" spans="8:34" s="23" customFormat="1" x14ac:dyDescent="0.25"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H626"/>
    </row>
    <row r="627" spans="8:34" s="23" customFormat="1" x14ac:dyDescent="0.25"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  <c r="AH627"/>
    </row>
    <row r="628" spans="8:34" s="23" customFormat="1" x14ac:dyDescent="0.25"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  <c r="AH628"/>
    </row>
    <row r="629" spans="8:34" s="23" customFormat="1" x14ac:dyDescent="0.25"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  <c r="AH629"/>
    </row>
    <row r="630" spans="8:34" s="23" customFormat="1" x14ac:dyDescent="0.25"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H630"/>
    </row>
    <row r="631" spans="8:34" s="23" customFormat="1" x14ac:dyDescent="0.25"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H631"/>
    </row>
    <row r="632" spans="8:34" s="23" customFormat="1" x14ac:dyDescent="0.25"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  <c r="AH632"/>
    </row>
    <row r="633" spans="8:34" s="23" customFormat="1" x14ac:dyDescent="0.25"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H633"/>
    </row>
    <row r="634" spans="8:34" s="23" customFormat="1" x14ac:dyDescent="0.25"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H634"/>
    </row>
    <row r="635" spans="8:34" s="23" customFormat="1" x14ac:dyDescent="0.25"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H635"/>
    </row>
    <row r="636" spans="8:34" s="23" customFormat="1" x14ac:dyDescent="0.25"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H636"/>
    </row>
    <row r="637" spans="8:34" s="23" customFormat="1" x14ac:dyDescent="0.25"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H637"/>
    </row>
    <row r="638" spans="8:34" s="23" customFormat="1" x14ac:dyDescent="0.25"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H638"/>
    </row>
    <row r="639" spans="8:34" s="23" customFormat="1" x14ac:dyDescent="0.25"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  <c r="AH639"/>
    </row>
    <row r="640" spans="8:34" s="23" customFormat="1" x14ac:dyDescent="0.25"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H640"/>
    </row>
    <row r="641" spans="8:34" s="23" customFormat="1" x14ac:dyDescent="0.25"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H641"/>
    </row>
    <row r="642" spans="8:34" s="23" customFormat="1" x14ac:dyDescent="0.25"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H642"/>
    </row>
    <row r="643" spans="8:34" s="23" customFormat="1" x14ac:dyDescent="0.25"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  <c r="AH643"/>
    </row>
    <row r="644" spans="8:34" s="23" customFormat="1" x14ac:dyDescent="0.25"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  <c r="AH644"/>
    </row>
    <row r="645" spans="8:34" s="23" customFormat="1" x14ac:dyDescent="0.25"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H645"/>
    </row>
    <row r="646" spans="8:34" s="23" customFormat="1" x14ac:dyDescent="0.25"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  <c r="AH646"/>
    </row>
    <row r="647" spans="8:34" s="23" customFormat="1" x14ac:dyDescent="0.25"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H647"/>
    </row>
    <row r="648" spans="8:34" s="23" customFormat="1" x14ac:dyDescent="0.25"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H648"/>
    </row>
    <row r="649" spans="8:34" s="23" customFormat="1" x14ac:dyDescent="0.25"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  <c r="AH649"/>
    </row>
    <row r="650" spans="8:34" s="23" customFormat="1" x14ac:dyDescent="0.25"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H650"/>
    </row>
    <row r="651" spans="8:34" s="23" customFormat="1" x14ac:dyDescent="0.25"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  <c r="AH651"/>
    </row>
    <row r="652" spans="8:34" s="23" customFormat="1" x14ac:dyDescent="0.25"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  <c r="AH652"/>
    </row>
    <row r="653" spans="8:34" s="23" customFormat="1" x14ac:dyDescent="0.25"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  <c r="AH653"/>
    </row>
    <row r="654" spans="8:34" s="23" customFormat="1" x14ac:dyDescent="0.25"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H654"/>
    </row>
    <row r="655" spans="8:34" s="23" customFormat="1" x14ac:dyDescent="0.25"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  <c r="AH655"/>
    </row>
    <row r="656" spans="8:34" s="23" customFormat="1" x14ac:dyDescent="0.25"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H656"/>
    </row>
    <row r="657" spans="5:93" s="23" customFormat="1" x14ac:dyDescent="0.25"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  <c r="AH657"/>
    </row>
    <row r="658" spans="5:93" s="23" customFormat="1" x14ac:dyDescent="0.25"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  <c r="AH658"/>
    </row>
    <row r="659" spans="5:93" s="23" customFormat="1" x14ac:dyDescent="0.25"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  <c r="AH659"/>
    </row>
    <row r="660" spans="5:93" s="23" customFormat="1" x14ac:dyDescent="0.25"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  <c r="AH660"/>
    </row>
    <row r="661" spans="5:93" s="23" customFormat="1" x14ac:dyDescent="0.25"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  <c r="AH661"/>
    </row>
    <row r="662" spans="5:93" s="23" customFormat="1" x14ac:dyDescent="0.25"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  <c r="AH662"/>
    </row>
    <row r="663" spans="5:93" s="23" customFormat="1" x14ac:dyDescent="0.25"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  <c r="AA663" s="78"/>
      <c r="AB663" s="78"/>
      <c r="AC663" s="78"/>
      <c r="AD663" s="78"/>
      <c r="AE663" s="78"/>
      <c r="AH663"/>
    </row>
    <row r="664" spans="5:93" s="24" customFormat="1" x14ac:dyDescent="0.25">
      <c r="E664" s="51"/>
      <c r="G664" s="51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H664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</row>
    <row r="665" spans="5:93" s="24" customFormat="1" x14ac:dyDescent="0.25">
      <c r="E665" s="42"/>
      <c r="G665" s="42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H665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</row>
    <row r="666" spans="5:93" s="24" customFormat="1" x14ac:dyDescent="0.25">
      <c r="E666" s="42"/>
      <c r="G666" s="42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H666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</row>
    <row r="667" spans="5:93" s="24" customFormat="1" x14ac:dyDescent="0.25">
      <c r="E667" s="42"/>
      <c r="G667" s="42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H667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</row>
    <row r="668" spans="5:93" s="24" customFormat="1" x14ac:dyDescent="0.25">
      <c r="E668" s="42"/>
      <c r="G668" s="42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H668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</row>
    <row r="669" spans="5:93" s="24" customFormat="1" x14ac:dyDescent="0.25">
      <c r="E669" s="42"/>
      <c r="G669" s="42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H669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</row>
    <row r="670" spans="5:93" s="24" customFormat="1" x14ac:dyDescent="0.25">
      <c r="E670" s="42"/>
      <c r="G670" s="42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H670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</row>
    <row r="671" spans="5:93" s="24" customFormat="1" x14ac:dyDescent="0.25">
      <c r="E671" s="42"/>
      <c r="G671" s="42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H671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</row>
    <row r="672" spans="5:93" s="24" customFormat="1" x14ac:dyDescent="0.25">
      <c r="E672" s="42"/>
      <c r="G672" s="42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H672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</row>
    <row r="673" spans="5:93" s="24" customFormat="1" x14ac:dyDescent="0.25">
      <c r="E673" s="42"/>
      <c r="G673" s="42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H67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</row>
  </sheetData>
  <phoneticPr fontId="17" type="noConversion"/>
  <conditionalFormatting sqref="J13:AK13">
    <cfRule type="expression" dxfId="23" priority="31">
      <formula>J13&lt;J9</formula>
    </cfRule>
  </conditionalFormatting>
  <conditionalFormatting sqref="J23:AK23">
    <cfRule type="expression" dxfId="22" priority="6">
      <formula>J23&lt;J19</formula>
    </cfRule>
  </conditionalFormatting>
  <conditionalFormatting sqref="J33:AK33">
    <cfRule type="expression" dxfId="21" priority="5">
      <formula>J33&lt;J29</formula>
    </cfRule>
  </conditionalFormatting>
  <conditionalFormatting sqref="J43:AK43">
    <cfRule type="expression" dxfId="20" priority="4">
      <formula>J43&lt;J39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CO28"/>
  <sheetViews>
    <sheetView topLeftCell="A2" zoomScale="64" zoomScaleNormal="64" workbookViewId="0">
      <selection activeCell="J29" sqref="J29"/>
    </sheetView>
  </sheetViews>
  <sheetFormatPr baseColWidth="10" defaultColWidth="11.42578125" defaultRowHeight="15" x14ac:dyDescent="0.25"/>
  <cols>
    <col min="1" max="1" width="11.28515625" customWidth="1"/>
    <col min="2" max="7" width="7.140625" customWidth="1"/>
    <col min="8" max="8" width="22.140625" customWidth="1"/>
    <col min="9" max="9" width="6.28515625" customWidth="1"/>
    <col min="10" max="34" width="5.5703125" customWidth="1"/>
  </cols>
  <sheetData>
    <row r="1" spans="1:93" ht="15.75" thickBot="1" x14ac:dyDescent="0.3"/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2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46" t="s">
        <v>102</v>
      </c>
      <c r="I4" s="212" t="s">
        <v>76</v>
      </c>
      <c r="J4" s="212" t="s">
        <v>77</v>
      </c>
      <c r="K4" s="212" t="s">
        <v>78</v>
      </c>
      <c r="L4" s="212" t="s">
        <v>79</v>
      </c>
      <c r="M4" s="212" t="s">
        <v>80</v>
      </c>
      <c r="N4" s="212" t="s">
        <v>81</v>
      </c>
      <c r="O4" s="212" t="s">
        <v>82</v>
      </c>
      <c r="P4" s="212" t="s">
        <v>83</v>
      </c>
      <c r="Q4" s="212" t="s">
        <v>84</v>
      </c>
      <c r="R4" s="212" t="s">
        <v>85</v>
      </c>
      <c r="S4" s="212" t="s">
        <v>86</v>
      </c>
      <c r="T4" s="212" t="s">
        <v>87</v>
      </c>
      <c r="U4" s="212" t="s">
        <v>88</v>
      </c>
      <c r="V4" s="212" t="s">
        <v>89</v>
      </c>
      <c r="W4" s="212" t="s">
        <v>90</v>
      </c>
      <c r="X4" s="212" t="s">
        <v>91</v>
      </c>
      <c r="Y4" s="212" t="s">
        <v>92</v>
      </c>
      <c r="Z4" s="212" t="s">
        <v>93</v>
      </c>
      <c r="AA4" s="212" t="s">
        <v>94</v>
      </c>
      <c r="AB4" s="212" t="s">
        <v>95</v>
      </c>
      <c r="AC4" s="212" t="s">
        <v>96</v>
      </c>
      <c r="AD4" s="212" t="s">
        <v>97</v>
      </c>
      <c r="AE4" s="212" t="s">
        <v>98</v>
      </c>
      <c r="AF4" s="213" t="s">
        <v>99</v>
      </c>
      <c r="AG4" s="212" t="s">
        <v>100</v>
      </c>
      <c r="AH4" s="212"/>
      <c r="AI4" s="212"/>
      <c r="AJ4" s="212"/>
      <c r="AK4" s="212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</row>
    <row r="5" spans="1:93" ht="21" customHeight="1" x14ac:dyDescent="0.25">
      <c r="A5" s="30">
        <v>1000</v>
      </c>
      <c r="B5" s="102" t="s">
        <v>29</v>
      </c>
      <c r="C5" s="103" t="s">
        <v>51</v>
      </c>
      <c r="D5" s="117" t="s">
        <v>35</v>
      </c>
      <c r="E5" s="103" t="s">
        <v>51</v>
      </c>
      <c r="F5" s="117" t="s">
        <v>35</v>
      </c>
      <c r="G5" s="75">
        <v>1</v>
      </c>
      <c r="H5" s="168" t="s">
        <v>115</v>
      </c>
      <c r="I5" s="169"/>
      <c r="J5" s="263">
        <f>J8</f>
        <v>80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</row>
    <row r="6" spans="1:93" ht="19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51</v>
      </c>
      <c r="F6" s="117" t="s">
        <v>35</v>
      </c>
      <c r="G6" s="59">
        <v>1</v>
      </c>
      <c r="H6" s="168" t="s">
        <v>116</v>
      </c>
      <c r="I6" s="169"/>
      <c r="J6" s="263">
        <f>J11</f>
        <v>230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</row>
    <row r="7" spans="1:93" ht="15.75" thickBot="1" x14ac:dyDescent="0.3">
      <c r="A7" s="30">
        <v>1000</v>
      </c>
      <c r="B7" s="102" t="s">
        <v>29</v>
      </c>
      <c r="C7" s="103" t="s">
        <v>51</v>
      </c>
      <c r="D7" s="117" t="s">
        <v>35</v>
      </c>
      <c r="E7" s="103" t="s">
        <v>51</v>
      </c>
      <c r="F7" s="117" t="s">
        <v>35</v>
      </c>
      <c r="G7" s="59">
        <v>1</v>
      </c>
      <c r="H7" s="168" t="s">
        <v>120</v>
      </c>
      <c r="I7" s="38">
        <f>MJ_Initialisation!AF10</f>
        <v>0</v>
      </c>
      <c r="J7" s="293">
        <f>I7+J6-J5</f>
        <v>150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</row>
    <row r="8" spans="1:93" x14ac:dyDescent="0.25">
      <c r="A8" s="30">
        <v>1000</v>
      </c>
      <c r="B8" s="102" t="s">
        <v>29</v>
      </c>
      <c r="C8" s="103" t="s">
        <v>51</v>
      </c>
      <c r="D8" s="117" t="s">
        <v>35</v>
      </c>
      <c r="E8" s="103" t="s">
        <v>51</v>
      </c>
      <c r="F8" s="117" t="s">
        <v>35</v>
      </c>
      <c r="G8" s="75">
        <v>1</v>
      </c>
      <c r="H8" s="27" t="s">
        <v>26</v>
      </c>
      <c r="I8" s="76"/>
      <c r="J8" s="29">
        <f>MJ_Initialisation!D10</f>
        <v>80</v>
      </c>
      <c r="K8" s="29">
        <f>MJ_Initialisation!E10</f>
        <v>110</v>
      </c>
      <c r="L8" s="29">
        <f>MJ_Initialisation!F10</f>
        <v>10</v>
      </c>
      <c r="M8" s="29">
        <f>MJ_Initialisation!G10</f>
        <v>90</v>
      </c>
      <c r="N8" s="29">
        <f>MJ_Initialisation!H10</f>
        <v>10</v>
      </c>
      <c r="O8" s="29">
        <f>MJ_Initialisation!I10</f>
        <v>40</v>
      </c>
      <c r="P8" s="29">
        <f>MJ_Initialisation!J10</f>
        <v>0</v>
      </c>
      <c r="Q8" s="29">
        <f>MJ_Initialisation!K10</f>
        <v>150</v>
      </c>
      <c r="R8" s="29">
        <f>MJ_Initialisation!L10</f>
        <v>0</v>
      </c>
      <c r="S8" s="29">
        <f>MJ_Initialisation!M10</f>
        <v>140</v>
      </c>
      <c r="T8" s="29">
        <f>MJ_Initialisation!N10</f>
        <v>140</v>
      </c>
      <c r="U8" s="29">
        <f>MJ_Initialisation!O10</f>
        <v>110</v>
      </c>
      <c r="V8" s="29">
        <f>MJ_Initialisation!P10</f>
        <v>80</v>
      </c>
      <c r="W8" s="29">
        <f>MJ_Initialisation!Q10</f>
        <v>60</v>
      </c>
      <c r="X8" s="29">
        <f>MJ_Initialisation!R10</f>
        <v>50</v>
      </c>
      <c r="Y8" s="29">
        <f>MJ_Initialisation!S10</f>
        <v>30</v>
      </c>
      <c r="Z8" s="29">
        <f>MJ_Initialisation!T10</f>
        <v>100</v>
      </c>
      <c r="AA8" s="29">
        <f>MJ_Initialisation!U10</f>
        <v>50</v>
      </c>
      <c r="AB8" s="29">
        <f>MJ_Initialisation!V10</f>
        <v>150</v>
      </c>
      <c r="AC8" s="29">
        <f>MJ_Initialisation!W10</f>
        <v>130</v>
      </c>
      <c r="AD8" s="29">
        <f>MJ_Initialisation!X10</f>
        <v>170</v>
      </c>
      <c r="AE8" s="29">
        <f>MJ_Initialisation!Y10</f>
        <v>20</v>
      </c>
      <c r="AF8" s="29">
        <f>MJ_Initialisation!Z10</f>
        <v>20</v>
      </c>
      <c r="AG8" s="29">
        <f>MJ_Initialisation!AA10</f>
        <v>20</v>
      </c>
      <c r="AH8" s="235"/>
      <c r="AI8" s="235"/>
      <c r="AJ8" s="235"/>
      <c r="AK8" s="235"/>
    </row>
    <row r="9" spans="1:93" ht="15.75" thickBot="1" x14ac:dyDescent="0.3">
      <c r="A9" s="30">
        <v>1000</v>
      </c>
      <c r="B9" s="102" t="s">
        <v>29</v>
      </c>
      <c r="C9" s="103" t="s">
        <v>51</v>
      </c>
      <c r="D9" s="117" t="s">
        <v>35</v>
      </c>
      <c r="E9" s="103" t="s">
        <v>51</v>
      </c>
      <c r="F9" s="117" t="s">
        <v>35</v>
      </c>
      <c r="G9" s="59">
        <v>1</v>
      </c>
      <c r="H9" s="125" t="s">
        <v>24</v>
      </c>
      <c r="I9" s="31"/>
      <c r="J9" s="223">
        <v>150</v>
      </c>
      <c r="K9" s="223">
        <v>150</v>
      </c>
      <c r="L9" s="223">
        <v>150</v>
      </c>
      <c r="M9" s="223">
        <v>150</v>
      </c>
      <c r="N9" s="223">
        <v>150</v>
      </c>
      <c r="O9" s="223">
        <v>150</v>
      </c>
      <c r="P9" s="223">
        <v>150</v>
      </c>
      <c r="Q9" s="223">
        <v>150</v>
      </c>
      <c r="R9" s="223">
        <v>150</v>
      </c>
      <c r="S9" s="223">
        <v>150</v>
      </c>
      <c r="T9" s="223">
        <v>150</v>
      </c>
      <c r="U9" s="223">
        <v>150</v>
      </c>
      <c r="V9" s="223">
        <v>150</v>
      </c>
      <c r="W9" s="223">
        <v>150</v>
      </c>
      <c r="X9" s="223">
        <v>150</v>
      </c>
      <c r="Y9" s="223">
        <v>150</v>
      </c>
      <c r="Z9" s="223">
        <v>150</v>
      </c>
      <c r="AA9" s="223">
        <v>150</v>
      </c>
      <c r="AB9" s="223">
        <v>150</v>
      </c>
      <c r="AC9" s="223">
        <v>150</v>
      </c>
      <c r="AD9" s="223">
        <v>150</v>
      </c>
      <c r="AE9" s="223">
        <v>150</v>
      </c>
      <c r="AF9" s="223">
        <v>150</v>
      </c>
      <c r="AG9" s="223">
        <v>150</v>
      </c>
      <c r="AH9" s="223"/>
      <c r="AI9" s="223"/>
      <c r="AJ9" s="223"/>
      <c r="AK9" s="223"/>
    </row>
    <row r="10" spans="1:93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51</v>
      </c>
      <c r="F10" s="117" t="s">
        <v>35</v>
      </c>
      <c r="G10" s="60">
        <v>1</v>
      </c>
      <c r="H10" s="32" t="s">
        <v>41</v>
      </c>
      <c r="I10" s="33"/>
      <c r="J10" s="94"/>
      <c r="K10" s="29">
        <f>MJ_Initialisation!E28</f>
        <v>110</v>
      </c>
      <c r="L10" s="29">
        <f>MJ_Initialisation!F28</f>
        <v>10</v>
      </c>
      <c r="M10" s="29">
        <f>MJ_Initialisation!G28</f>
        <v>90</v>
      </c>
      <c r="N10" s="29">
        <f>MJ_Initialisation!H28</f>
        <v>10</v>
      </c>
      <c r="O10" s="29">
        <f>MJ_Initialisation!I28</f>
        <v>40</v>
      </c>
      <c r="P10" s="29">
        <f>MJ_Initialisation!J28</f>
        <v>0</v>
      </c>
      <c r="Q10" s="29">
        <f>MJ_Initialisation!K28</f>
        <v>150</v>
      </c>
      <c r="R10" s="29">
        <f>MJ_Initialisation!L28</f>
        <v>0</v>
      </c>
      <c r="S10" s="29">
        <f>MJ_Initialisation!M28</f>
        <v>140</v>
      </c>
      <c r="T10" s="29">
        <f>MJ_Initialisation!N28</f>
        <v>140</v>
      </c>
      <c r="U10" s="29">
        <f>MJ_Initialisation!O28</f>
        <v>110</v>
      </c>
      <c r="V10" s="29">
        <f>MJ_Initialisation!P28</f>
        <v>80</v>
      </c>
      <c r="W10" s="29">
        <f>MJ_Initialisation!Q28</f>
        <v>60</v>
      </c>
      <c r="X10" s="29">
        <f>MJ_Initialisation!R28</f>
        <v>50</v>
      </c>
      <c r="Y10" s="29">
        <f>MJ_Initialisation!S28</f>
        <v>30</v>
      </c>
      <c r="Z10" s="29">
        <f>MJ_Initialisation!T28</f>
        <v>100</v>
      </c>
      <c r="AA10" s="29">
        <f>MJ_Initialisation!U28</f>
        <v>50</v>
      </c>
      <c r="AB10" s="29">
        <f>MJ_Initialisation!V28</f>
        <v>150</v>
      </c>
      <c r="AC10" s="29">
        <f>MJ_Initialisation!W28</f>
        <v>130</v>
      </c>
      <c r="AD10" s="29">
        <f>MJ_Initialisation!X28</f>
        <v>170</v>
      </c>
      <c r="AE10" s="29">
        <f>MJ_Initialisation!Y28</f>
        <v>20</v>
      </c>
      <c r="AF10" s="29">
        <f>MJ_Initialisation!Z28</f>
        <v>20</v>
      </c>
      <c r="AG10" s="29">
        <f>MJ_Initialisation!AA28</f>
        <v>20</v>
      </c>
      <c r="AH10" s="235"/>
      <c r="AI10" s="235"/>
      <c r="AJ10" s="235"/>
      <c r="AK10" s="235"/>
    </row>
    <row r="11" spans="1:93" ht="21.7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51</v>
      </c>
      <c r="F11" s="117" t="s">
        <v>35</v>
      </c>
      <c r="G11" s="59">
        <v>1</v>
      </c>
      <c r="H11" s="35" t="s">
        <v>27</v>
      </c>
      <c r="I11" s="31"/>
      <c r="J11" s="36">
        <f>MJ_Initialisation!D28</f>
        <v>230</v>
      </c>
      <c r="K11" s="298"/>
      <c r="L11" s="93"/>
      <c r="M11" s="5"/>
      <c r="N11" s="2"/>
      <c r="O11" s="2"/>
      <c r="P11" s="2"/>
      <c r="Q11" s="2"/>
      <c r="R11" s="2"/>
      <c r="S11" s="2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48"/>
      <c r="AG11" s="5"/>
      <c r="AH11" s="222"/>
      <c r="AI11" s="222"/>
      <c r="AJ11" s="222"/>
      <c r="AK11" s="222"/>
    </row>
    <row r="12" spans="1:93" x14ac:dyDescent="0.25">
      <c r="A12" s="30">
        <v>1000</v>
      </c>
      <c r="B12" s="102" t="s">
        <v>29</v>
      </c>
      <c r="C12" s="103" t="s">
        <v>51</v>
      </c>
      <c r="D12" s="117" t="s">
        <v>35</v>
      </c>
      <c r="E12" s="103" t="s">
        <v>49</v>
      </c>
      <c r="F12" s="42" t="s">
        <v>48</v>
      </c>
      <c r="G12" s="60">
        <v>1</v>
      </c>
      <c r="H12" s="126" t="s">
        <v>57</v>
      </c>
      <c r="I12" s="37"/>
      <c r="J12" s="238">
        <f>MAX(J8+J9-J11-I7,0)</f>
        <v>0</v>
      </c>
      <c r="K12" s="238">
        <f>MAX(K8+K9-K11-J13,0)</f>
        <v>110</v>
      </c>
      <c r="L12" s="238">
        <f>MAX(L8+L9-L11-K13,0)</f>
        <v>10</v>
      </c>
      <c r="M12" s="238">
        <f t="shared" ref="M12:AG12" si="0">MAX(M8+M9-M11-L13,0)</f>
        <v>90</v>
      </c>
      <c r="N12" s="238">
        <f t="shared" si="0"/>
        <v>10</v>
      </c>
      <c r="O12" s="238">
        <f t="shared" si="0"/>
        <v>40</v>
      </c>
      <c r="P12" s="238">
        <f>MAX(P8+P9-P11-O13,0)</f>
        <v>0</v>
      </c>
      <c r="Q12" s="238">
        <f t="shared" si="0"/>
        <v>150</v>
      </c>
      <c r="R12" s="238">
        <f t="shared" si="0"/>
        <v>0</v>
      </c>
      <c r="S12" s="238">
        <f t="shared" si="0"/>
        <v>140</v>
      </c>
      <c r="T12" s="238">
        <f t="shared" si="0"/>
        <v>140</v>
      </c>
      <c r="U12" s="238">
        <f t="shared" si="0"/>
        <v>110</v>
      </c>
      <c r="V12" s="238">
        <f t="shared" si="0"/>
        <v>80</v>
      </c>
      <c r="W12" s="238">
        <f t="shared" si="0"/>
        <v>60</v>
      </c>
      <c r="X12" s="238">
        <f t="shared" si="0"/>
        <v>50</v>
      </c>
      <c r="Y12" s="238">
        <f t="shared" si="0"/>
        <v>30</v>
      </c>
      <c r="Z12" s="238">
        <f t="shared" si="0"/>
        <v>100</v>
      </c>
      <c r="AA12" s="238">
        <f t="shared" si="0"/>
        <v>50</v>
      </c>
      <c r="AB12" s="238">
        <f t="shared" si="0"/>
        <v>150</v>
      </c>
      <c r="AC12" s="238">
        <f t="shared" si="0"/>
        <v>130</v>
      </c>
      <c r="AD12" s="238">
        <f t="shared" si="0"/>
        <v>170</v>
      </c>
      <c r="AE12" s="238">
        <f t="shared" si="0"/>
        <v>20</v>
      </c>
      <c r="AF12" s="238">
        <f t="shared" si="0"/>
        <v>20</v>
      </c>
      <c r="AG12" s="238">
        <f t="shared" si="0"/>
        <v>20</v>
      </c>
      <c r="AH12" s="238"/>
      <c r="AI12" s="238"/>
      <c r="AJ12" s="238"/>
      <c r="AK12" s="238"/>
    </row>
    <row r="13" spans="1:93" x14ac:dyDescent="0.25">
      <c r="A13" s="30">
        <v>1000</v>
      </c>
      <c r="B13" s="102" t="s">
        <v>29</v>
      </c>
      <c r="C13" s="103" t="s">
        <v>51</v>
      </c>
      <c r="D13" s="117" t="s">
        <v>35</v>
      </c>
      <c r="E13" s="103" t="s">
        <v>51</v>
      </c>
      <c r="F13" s="117" t="s">
        <v>35</v>
      </c>
      <c r="G13" s="59">
        <v>1</v>
      </c>
      <c r="H13" s="125" t="s">
        <v>37</v>
      </c>
      <c r="J13" s="39">
        <f>I7+J12+J11-J8</f>
        <v>150</v>
      </c>
      <c r="K13" s="39">
        <f t="shared" ref="K13:AG13" si="1">J13+K12+K11-K8</f>
        <v>150</v>
      </c>
      <c r="L13" s="39">
        <f t="shared" si="1"/>
        <v>150</v>
      </c>
      <c r="M13" s="39">
        <f>L13+M12+M11-M8</f>
        <v>150</v>
      </c>
      <c r="N13" s="39">
        <f t="shared" si="1"/>
        <v>150</v>
      </c>
      <c r="O13" s="39">
        <f t="shared" si="1"/>
        <v>150</v>
      </c>
      <c r="P13" s="39">
        <f t="shared" si="1"/>
        <v>150</v>
      </c>
      <c r="Q13" s="39">
        <f t="shared" si="1"/>
        <v>150</v>
      </c>
      <c r="R13" s="39">
        <f t="shared" si="1"/>
        <v>150</v>
      </c>
      <c r="S13" s="39">
        <f t="shared" si="1"/>
        <v>150</v>
      </c>
      <c r="T13" s="39">
        <f t="shared" si="1"/>
        <v>150</v>
      </c>
      <c r="U13" s="39">
        <f t="shared" si="1"/>
        <v>150</v>
      </c>
      <c r="V13" s="39">
        <f t="shared" si="1"/>
        <v>150</v>
      </c>
      <c r="W13" s="39">
        <f t="shared" si="1"/>
        <v>150</v>
      </c>
      <c r="X13" s="39">
        <f t="shared" si="1"/>
        <v>150</v>
      </c>
      <c r="Y13" s="39">
        <f t="shared" si="1"/>
        <v>150</v>
      </c>
      <c r="Z13" s="39">
        <f t="shared" si="1"/>
        <v>150</v>
      </c>
      <c r="AA13" s="39">
        <f t="shared" si="1"/>
        <v>150</v>
      </c>
      <c r="AB13" s="39">
        <f t="shared" si="1"/>
        <v>150</v>
      </c>
      <c r="AC13" s="39">
        <f t="shared" si="1"/>
        <v>150</v>
      </c>
      <c r="AD13" s="39">
        <f t="shared" si="1"/>
        <v>150</v>
      </c>
      <c r="AE13" s="39">
        <f t="shared" si="1"/>
        <v>150</v>
      </c>
      <c r="AF13" s="149">
        <f t="shared" si="1"/>
        <v>150</v>
      </c>
      <c r="AG13" s="39">
        <f t="shared" si="1"/>
        <v>150</v>
      </c>
      <c r="AH13" s="238"/>
      <c r="AI13" s="238"/>
      <c r="AJ13" s="238"/>
      <c r="AK13" s="238"/>
    </row>
    <row r="14" spans="1:93" ht="18" customHeight="1" x14ac:dyDescent="0.25">
      <c r="A14" s="79"/>
      <c r="B14" s="79"/>
      <c r="C14" s="77"/>
      <c r="D14" s="77"/>
      <c r="E14" s="77"/>
      <c r="F14" s="77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11"/>
      <c r="AD14" s="11"/>
      <c r="AE14" s="11"/>
      <c r="AF14" s="62"/>
      <c r="AG14" s="77"/>
      <c r="AH14" s="244"/>
      <c r="AI14" s="244"/>
      <c r="AJ14" s="244"/>
      <c r="AK14" s="244"/>
    </row>
    <row r="15" spans="1:93" ht="19.5" customHeight="1" x14ac:dyDescent="0.25">
      <c r="A15" s="30">
        <v>2000</v>
      </c>
      <c r="B15" s="121" t="s">
        <v>30</v>
      </c>
      <c r="C15" s="103" t="s">
        <v>51</v>
      </c>
      <c r="D15" s="117" t="s">
        <v>35</v>
      </c>
      <c r="E15" s="103" t="s">
        <v>51</v>
      </c>
      <c r="F15" s="117" t="s">
        <v>35</v>
      </c>
      <c r="G15" s="60">
        <v>1</v>
      </c>
      <c r="H15" s="168" t="s">
        <v>115</v>
      </c>
      <c r="I15" s="169"/>
      <c r="J15" s="263">
        <f>J18</f>
        <v>40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</row>
    <row r="16" spans="1:93" ht="19.5" customHeight="1" x14ac:dyDescent="0.25">
      <c r="A16" s="30">
        <v>2000</v>
      </c>
      <c r="B16" s="121" t="s">
        <v>30</v>
      </c>
      <c r="C16" s="103" t="s">
        <v>49</v>
      </c>
      <c r="D16" s="42" t="s">
        <v>48</v>
      </c>
      <c r="E16" s="103" t="s">
        <v>51</v>
      </c>
      <c r="F16" s="117" t="s">
        <v>35</v>
      </c>
      <c r="G16" s="59">
        <v>1</v>
      </c>
      <c r="H16" s="168" t="s">
        <v>116</v>
      </c>
      <c r="I16" s="169"/>
      <c r="J16" s="263">
        <f>J21</f>
        <v>190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</row>
    <row r="17" spans="1:37" ht="15.75" thickBot="1" x14ac:dyDescent="0.3">
      <c r="A17" s="30">
        <v>2000</v>
      </c>
      <c r="B17" s="121" t="s">
        <v>30</v>
      </c>
      <c r="C17" s="103" t="s">
        <v>51</v>
      </c>
      <c r="D17" s="117" t="s">
        <v>35</v>
      </c>
      <c r="E17" s="103" t="s">
        <v>51</v>
      </c>
      <c r="F17" s="117" t="s">
        <v>35</v>
      </c>
      <c r="G17" s="60">
        <v>1</v>
      </c>
      <c r="H17" s="168" t="s">
        <v>120</v>
      </c>
      <c r="I17" s="38">
        <f>MJ_Initialisation!AF11</f>
        <v>0</v>
      </c>
      <c r="J17" s="293">
        <f>I17+J16-J15</f>
        <v>150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</row>
    <row r="18" spans="1:37" x14ac:dyDescent="0.25">
      <c r="A18" s="30">
        <v>2000</v>
      </c>
      <c r="B18" s="121" t="s">
        <v>30</v>
      </c>
      <c r="C18" s="103" t="s">
        <v>51</v>
      </c>
      <c r="D18" s="117" t="s">
        <v>35</v>
      </c>
      <c r="E18" s="103" t="s">
        <v>51</v>
      </c>
      <c r="F18" s="117" t="s">
        <v>35</v>
      </c>
      <c r="G18" s="60">
        <v>1</v>
      </c>
      <c r="H18" s="27" t="s">
        <v>26</v>
      </c>
      <c r="I18" s="76"/>
      <c r="J18" s="29">
        <f>MJ_Initialisation!D11</f>
        <v>40</v>
      </c>
      <c r="K18" s="29">
        <f>MJ_Initialisation!E11</f>
        <v>140</v>
      </c>
      <c r="L18" s="29">
        <f>MJ_Initialisation!F11</f>
        <v>20</v>
      </c>
      <c r="M18" s="29">
        <f>MJ_Initialisation!G11</f>
        <v>170</v>
      </c>
      <c r="N18" s="29">
        <f>MJ_Initialisation!H11</f>
        <v>0</v>
      </c>
      <c r="O18" s="29">
        <f>MJ_Initialisation!I11</f>
        <v>60</v>
      </c>
      <c r="P18" s="29">
        <f>MJ_Initialisation!J11</f>
        <v>20</v>
      </c>
      <c r="Q18" s="29">
        <f>MJ_Initialisation!K11</f>
        <v>170</v>
      </c>
      <c r="R18" s="29">
        <f>MJ_Initialisation!L11</f>
        <v>40</v>
      </c>
      <c r="S18" s="29">
        <f>MJ_Initialisation!M11</f>
        <v>80</v>
      </c>
      <c r="T18" s="29">
        <f>MJ_Initialisation!N11</f>
        <v>130</v>
      </c>
      <c r="U18" s="29">
        <f>MJ_Initialisation!O11</f>
        <v>140</v>
      </c>
      <c r="V18" s="29">
        <f>MJ_Initialisation!P11</f>
        <v>30</v>
      </c>
      <c r="W18" s="29">
        <f>MJ_Initialisation!Q11</f>
        <v>70</v>
      </c>
      <c r="X18" s="29">
        <f>MJ_Initialisation!R11</f>
        <v>120</v>
      </c>
      <c r="Y18" s="29">
        <f>MJ_Initialisation!S11</f>
        <v>140</v>
      </c>
      <c r="Z18" s="29">
        <f>MJ_Initialisation!T11</f>
        <v>10</v>
      </c>
      <c r="AA18" s="29">
        <f>MJ_Initialisation!U11</f>
        <v>110</v>
      </c>
      <c r="AB18" s="29">
        <f>MJ_Initialisation!V11</f>
        <v>30</v>
      </c>
      <c r="AC18" s="29">
        <f>MJ_Initialisation!W11</f>
        <v>30</v>
      </c>
      <c r="AD18" s="29">
        <f>MJ_Initialisation!X11</f>
        <v>60</v>
      </c>
      <c r="AE18" s="29">
        <f>MJ_Initialisation!Y11</f>
        <v>100</v>
      </c>
      <c r="AF18" s="29">
        <f>MJ_Initialisation!Z11</f>
        <v>100</v>
      </c>
      <c r="AG18" s="29">
        <f>MJ_Initialisation!AA11</f>
        <v>140</v>
      </c>
      <c r="AH18" s="235"/>
      <c r="AI18" s="235"/>
      <c r="AJ18" s="235"/>
      <c r="AK18" s="235"/>
    </row>
    <row r="19" spans="1:37" ht="15.75" thickBot="1" x14ac:dyDescent="0.3">
      <c r="A19" s="30">
        <v>2000</v>
      </c>
      <c r="B19" s="121" t="s">
        <v>30</v>
      </c>
      <c r="C19" s="103" t="s">
        <v>51</v>
      </c>
      <c r="D19" s="117" t="s">
        <v>35</v>
      </c>
      <c r="E19" s="103" t="s">
        <v>51</v>
      </c>
      <c r="F19" s="117" t="s">
        <v>35</v>
      </c>
      <c r="G19" s="60">
        <v>1</v>
      </c>
      <c r="H19" s="125" t="s">
        <v>24</v>
      </c>
      <c r="I19" s="31"/>
      <c r="J19" s="223">
        <v>150</v>
      </c>
      <c r="K19" s="223">
        <v>150</v>
      </c>
      <c r="L19" s="223">
        <v>150</v>
      </c>
      <c r="M19" s="223">
        <v>150</v>
      </c>
      <c r="N19" s="223">
        <v>150</v>
      </c>
      <c r="O19" s="223">
        <v>150</v>
      </c>
      <c r="P19" s="223">
        <v>150</v>
      </c>
      <c r="Q19" s="223">
        <v>150</v>
      </c>
      <c r="R19" s="223">
        <v>150</v>
      </c>
      <c r="S19" s="223">
        <v>150</v>
      </c>
      <c r="T19" s="223">
        <v>150</v>
      </c>
      <c r="U19" s="223">
        <v>150</v>
      </c>
      <c r="V19" s="223">
        <v>150</v>
      </c>
      <c r="W19" s="223">
        <v>150</v>
      </c>
      <c r="X19" s="223">
        <v>150</v>
      </c>
      <c r="Y19" s="223">
        <v>150</v>
      </c>
      <c r="Z19" s="223">
        <v>150</v>
      </c>
      <c r="AA19" s="223">
        <v>150</v>
      </c>
      <c r="AB19" s="223">
        <v>150</v>
      </c>
      <c r="AC19" s="223">
        <v>150</v>
      </c>
      <c r="AD19" s="223">
        <v>150</v>
      </c>
      <c r="AE19" s="223">
        <v>150</v>
      </c>
      <c r="AF19" s="223">
        <v>150</v>
      </c>
      <c r="AG19" s="223">
        <v>150</v>
      </c>
      <c r="AH19" s="223"/>
      <c r="AI19" s="223"/>
      <c r="AJ19" s="223"/>
      <c r="AK19" s="223"/>
    </row>
    <row r="20" spans="1:37" x14ac:dyDescent="0.25">
      <c r="A20" s="30">
        <v>2000</v>
      </c>
      <c r="B20" s="121" t="s">
        <v>30</v>
      </c>
      <c r="C20" s="103" t="s">
        <v>49</v>
      </c>
      <c r="D20" s="42" t="s">
        <v>48</v>
      </c>
      <c r="E20" s="103" t="s">
        <v>51</v>
      </c>
      <c r="F20" s="117" t="s">
        <v>35</v>
      </c>
      <c r="G20" s="59">
        <v>1</v>
      </c>
      <c r="H20" s="32" t="s">
        <v>41</v>
      </c>
      <c r="I20" s="33"/>
      <c r="J20" s="94"/>
      <c r="K20" s="29">
        <f>MJ_Initialisation!E30</f>
        <v>140</v>
      </c>
      <c r="L20" s="29">
        <f>MJ_Initialisation!F30</f>
        <v>20</v>
      </c>
      <c r="M20" s="29">
        <f>MJ_Initialisation!G30</f>
        <v>170</v>
      </c>
      <c r="N20" s="29">
        <f>MJ_Initialisation!H30</f>
        <v>0</v>
      </c>
      <c r="O20" s="29">
        <f>MJ_Initialisation!I30</f>
        <v>60</v>
      </c>
      <c r="P20" s="29">
        <f>MJ_Initialisation!J30</f>
        <v>20</v>
      </c>
      <c r="Q20" s="29">
        <f>MJ_Initialisation!K30</f>
        <v>170</v>
      </c>
      <c r="R20" s="29">
        <f>MJ_Initialisation!L30</f>
        <v>40</v>
      </c>
      <c r="S20" s="29">
        <f>MJ_Initialisation!M30</f>
        <v>80</v>
      </c>
      <c r="T20" s="29">
        <f>MJ_Initialisation!N30</f>
        <v>130</v>
      </c>
      <c r="U20" s="29">
        <f>MJ_Initialisation!O30</f>
        <v>140</v>
      </c>
      <c r="V20" s="29">
        <f>MJ_Initialisation!P30</f>
        <v>30</v>
      </c>
      <c r="W20" s="29">
        <f>MJ_Initialisation!Q30</f>
        <v>70</v>
      </c>
      <c r="X20" s="29">
        <f>MJ_Initialisation!R30</f>
        <v>120</v>
      </c>
      <c r="Y20" s="29">
        <f>MJ_Initialisation!S30</f>
        <v>140</v>
      </c>
      <c r="Z20" s="29">
        <f>MJ_Initialisation!T30</f>
        <v>10</v>
      </c>
      <c r="AA20" s="29">
        <f>MJ_Initialisation!U30</f>
        <v>110</v>
      </c>
      <c r="AB20" s="29">
        <f>MJ_Initialisation!V30</f>
        <v>30</v>
      </c>
      <c r="AC20" s="29">
        <f>MJ_Initialisation!W30</f>
        <v>30</v>
      </c>
      <c r="AD20" s="29">
        <f>MJ_Initialisation!X30</f>
        <v>60</v>
      </c>
      <c r="AE20" s="29">
        <f>MJ_Initialisation!Y30</f>
        <v>100</v>
      </c>
      <c r="AF20" s="29">
        <f>MJ_Initialisation!Z30</f>
        <v>100</v>
      </c>
      <c r="AG20" s="29">
        <f>MJ_Initialisation!AA30</f>
        <v>140</v>
      </c>
      <c r="AH20" s="235"/>
      <c r="AI20" s="235"/>
      <c r="AJ20" s="235"/>
      <c r="AK20" s="235"/>
    </row>
    <row r="21" spans="1:37" ht="23.25" customHeight="1" x14ac:dyDescent="0.25">
      <c r="A21" s="30">
        <v>2000</v>
      </c>
      <c r="B21" s="121" t="s">
        <v>30</v>
      </c>
      <c r="C21" s="103" t="s">
        <v>49</v>
      </c>
      <c r="D21" s="42" t="s">
        <v>48</v>
      </c>
      <c r="E21" s="103" t="s">
        <v>51</v>
      </c>
      <c r="F21" s="117" t="s">
        <v>35</v>
      </c>
      <c r="G21" s="59">
        <v>1</v>
      </c>
      <c r="H21" s="35" t="s">
        <v>27</v>
      </c>
      <c r="I21" s="31"/>
      <c r="J21" s="36">
        <f>MJ_Initialisation!D30</f>
        <v>190</v>
      </c>
      <c r="K21" s="93"/>
      <c r="L21" s="93"/>
      <c r="M21" s="5"/>
      <c r="N21" s="2"/>
      <c r="O21" s="2"/>
      <c r="P21" s="2"/>
      <c r="Q21" s="2"/>
      <c r="R21" s="2"/>
      <c r="S21" s="2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48"/>
      <c r="AG21" s="5"/>
      <c r="AH21" s="222"/>
      <c r="AI21" s="222"/>
      <c r="AJ21" s="222"/>
      <c r="AK21" s="222"/>
    </row>
    <row r="22" spans="1:37" x14ac:dyDescent="0.25">
      <c r="A22" s="30">
        <v>2000</v>
      </c>
      <c r="B22" s="121" t="s">
        <v>30</v>
      </c>
      <c r="C22" s="103" t="s">
        <v>51</v>
      </c>
      <c r="D22" s="117" t="s">
        <v>35</v>
      </c>
      <c r="E22" s="103" t="s">
        <v>49</v>
      </c>
      <c r="F22" s="42" t="s">
        <v>48</v>
      </c>
      <c r="G22" s="60">
        <v>1</v>
      </c>
      <c r="H22" s="126" t="s">
        <v>57</v>
      </c>
      <c r="I22" s="93"/>
      <c r="J22" s="238">
        <f>MAX(J18+J19-J21-I17,0)</f>
        <v>0</v>
      </c>
      <c r="K22" s="238">
        <f>MAX(K18+K19-K21-J23,0)</f>
        <v>140</v>
      </c>
      <c r="L22" s="238">
        <f t="shared" ref="L22:AG22" si="2">MAX(L18+L19-L21-K23,0)</f>
        <v>20</v>
      </c>
      <c r="M22" s="238">
        <f t="shared" si="2"/>
        <v>170</v>
      </c>
      <c r="N22" s="238">
        <f t="shared" si="2"/>
        <v>0</v>
      </c>
      <c r="O22" s="238">
        <f t="shared" si="2"/>
        <v>60</v>
      </c>
      <c r="P22" s="238">
        <f t="shared" si="2"/>
        <v>20</v>
      </c>
      <c r="Q22" s="238">
        <f t="shared" si="2"/>
        <v>170</v>
      </c>
      <c r="R22" s="238">
        <f t="shared" si="2"/>
        <v>40</v>
      </c>
      <c r="S22" s="238">
        <f t="shared" si="2"/>
        <v>80</v>
      </c>
      <c r="T22" s="238">
        <f t="shared" si="2"/>
        <v>130</v>
      </c>
      <c r="U22" s="238">
        <f t="shared" si="2"/>
        <v>140</v>
      </c>
      <c r="V22" s="238">
        <f t="shared" si="2"/>
        <v>30</v>
      </c>
      <c r="W22" s="238">
        <f t="shared" si="2"/>
        <v>70</v>
      </c>
      <c r="X22" s="238">
        <f t="shared" si="2"/>
        <v>120</v>
      </c>
      <c r="Y22" s="238">
        <f t="shared" si="2"/>
        <v>140</v>
      </c>
      <c r="Z22" s="238">
        <f t="shared" si="2"/>
        <v>10</v>
      </c>
      <c r="AA22" s="238">
        <f t="shared" si="2"/>
        <v>110</v>
      </c>
      <c r="AB22" s="238">
        <f t="shared" si="2"/>
        <v>30</v>
      </c>
      <c r="AC22" s="238">
        <f t="shared" si="2"/>
        <v>30</v>
      </c>
      <c r="AD22" s="238">
        <f t="shared" si="2"/>
        <v>60</v>
      </c>
      <c r="AE22" s="238">
        <f t="shared" si="2"/>
        <v>100</v>
      </c>
      <c r="AF22" s="238">
        <f t="shared" si="2"/>
        <v>100</v>
      </c>
      <c r="AG22" s="238">
        <f t="shared" si="2"/>
        <v>140</v>
      </c>
      <c r="AH22" s="238"/>
      <c r="AI22" s="238"/>
      <c r="AJ22" s="238"/>
      <c r="AK22" s="238"/>
    </row>
    <row r="23" spans="1:37" x14ac:dyDescent="0.25">
      <c r="A23" s="30">
        <v>2000</v>
      </c>
      <c r="B23" s="121" t="s">
        <v>30</v>
      </c>
      <c r="C23" s="103" t="s">
        <v>51</v>
      </c>
      <c r="D23" s="117" t="s">
        <v>35</v>
      </c>
      <c r="E23" s="103" t="s">
        <v>51</v>
      </c>
      <c r="F23" s="117" t="s">
        <v>35</v>
      </c>
      <c r="G23" s="60">
        <v>1</v>
      </c>
      <c r="H23" s="167" t="s">
        <v>37</v>
      </c>
      <c r="I23" s="5"/>
      <c r="J23" s="39">
        <f>I17+J22+J21-J18</f>
        <v>150</v>
      </c>
      <c r="K23" s="39">
        <f t="shared" ref="K23:L23" si="3">J23+K22+K21-K18</f>
        <v>150</v>
      </c>
      <c r="L23" s="39">
        <f t="shared" si="3"/>
        <v>150</v>
      </c>
      <c r="M23" s="39">
        <f>L23+M22+M21-M18</f>
        <v>150</v>
      </c>
      <c r="N23" s="39">
        <f t="shared" ref="N23:AG23" si="4">M23+N22+N21-N18</f>
        <v>150</v>
      </c>
      <c r="O23" s="39">
        <f t="shared" si="4"/>
        <v>150</v>
      </c>
      <c r="P23" s="39">
        <f t="shared" si="4"/>
        <v>150</v>
      </c>
      <c r="Q23" s="39">
        <f t="shared" si="4"/>
        <v>150</v>
      </c>
      <c r="R23" s="39">
        <f t="shared" si="4"/>
        <v>150</v>
      </c>
      <c r="S23" s="39">
        <f t="shared" si="4"/>
        <v>150</v>
      </c>
      <c r="T23" s="39">
        <f t="shared" si="4"/>
        <v>150</v>
      </c>
      <c r="U23" s="39">
        <f t="shared" si="4"/>
        <v>150</v>
      </c>
      <c r="V23" s="39">
        <f t="shared" si="4"/>
        <v>150</v>
      </c>
      <c r="W23" s="39">
        <f t="shared" si="4"/>
        <v>150</v>
      </c>
      <c r="X23" s="39">
        <f t="shared" si="4"/>
        <v>150</v>
      </c>
      <c r="Y23" s="39">
        <f t="shared" si="4"/>
        <v>150</v>
      </c>
      <c r="Z23" s="39">
        <f t="shared" si="4"/>
        <v>150</v>
      </c>
      <c r="AA23" s="39">
        <f t="shared" si="4"/>
        <v>150</v>
      </c>
      <c r="AB23" s="39">
        <f t="shared" si="4"/>
        <v>150</v>
      </c>
      <c r="AC23" s="39">
        <f t="shared" si="4"/>
        <v>150</v>
      </c>
      <c r="AD23" s="39">
        <f t="shared" si="4"/>
        <v>150</v>
      </c>
      <c r="AE23" s="39">
        <f t="shared" si="4"/>
        <v>150</v>
      </c>
      <c r="AF23" s="149">
        <f t="shared" si="4"/>
        <v>150</v>
      </c>
      <c r="AG23" s="39">
        <f t="shared" si="4"/>
        <v>150</v>
      </c>
      <c r="AH23" s="238"/>
      <c r="AI23" s="238"/>
      <c r="AJ23" s="238"/>
      <c r="AK23" s="238"/>
    </row>
    <row r="24" spans="1:37" x14ac:dyDescent="0.25">
      <c r="A24" s="79"/>
      <c r="B24" s="79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1"/>
      <c r="AD24" s="71"/>
      <c r="AE24" s="71"/>
      <c r="AF24" s="73"/>
      <c r="AG24" s="152"/>
      <c r="AH24" s="259"/>
      <c r="AI24" s="259"/>
      <c r="AJ24" s="259"/>
      <c r="AK24" s="259"/>
    </row>
    <row r="25" spans="1:37" s="23" customFormat="1" x14ac:dyDescent="0.25">
      <c r="A25" s="30">
        <v>1000</v>
      </c>
      <c r="B25" s="102" t="s">
        <v>29</v>
      </c>
      <c r="C25" s="103" t="s">
        <v>49</v>
      </c>
      <c r="D25" s="42" t="s">
        <v>48</v>
      </c>
      <c r="E25" s="103" t="s">
        <v>51</v>
      </c>
      <c r="F25" s="117" t="s">
        <v>35</v>
      </c>
      <c r="G25" s="30">
        <v>1</v>
      </c>
      <c r="H25" s="98" t="s">
        <v>56</v>
      </c>
      <c r="I25" s="93"/>
      <c r="J25" s="93"/>
      <c r="K25" s="34">
        <f ca="1">PA_CDC!I22</f>
        <v>110</v>
      </c>
      <c r="L25" s="34">
        <f ca="1">PA_CDC!J22</f>
        <v>10</v>
      </c>
      <c r="M25" s="34">
        <f ca="1">PA_CDC!K22</f>
        <v>90</v>
      </c>
      <c r="N25" s="34">
        <f ca="1">PA_CDC!L22</f>
        <v>10</v>
      </c>
      <c r="O25" s="34">
        <f ca="1">PA_CDC!M22</f>
        <v>40</v>
      </c>
      <c r="P25" s="34">
        <f ca="1">PA_CDC!N22</f>
        <v>0</v>
      </c>
      <c r="Q25" s="34">
        <f ca="1">PA_CDC!O22</f>
        <v>150</v>
      </c>
      <c r="R25" s="34">
        <f ca="1">PA_CDC!P22</f>
        <v>0</v>
      </c>
      <c r="S25" s="34">
        <f ca="1">PA_CDC!Q22</f>
        <v>140</v>
      </c>
      <c r="T25" s="34">
        <f ca="1">PA_CDC!R22</f>
        <v>140</v>
      </c>
      <c r="U25" s="34">
        <f ca="1">PA_CDC!S22</f>
        <v>110</v>
      </c>
      <c r="V25" s="34">
        <f ca="1">PA_CDC!T22</f>
        <v>80</v>
      </c>
      <c r="W25" s="34">
        <f ca="1">PA_CDC!U22</f>
        <v>60</v>
      </c>
      <c r="X25" s="34">
        <f ca="1">PA_CDC!V22</f>
        <v>50</v>
      </c>
      <c r="Y25" s="34">
        <f ca="1">PA_CDC!W22</f>
        <v>30</v>
      </c>
      <c r="Z25" s="34">
        <f ca="1">PA_CDC!X22</f>
        <v>100</v>
      </c>
      <c r="AA25" s="34">
        <f ca="1">PA_CDC!Y22</f>
        <v>50</v>
      </c>
      <c r="AB25" s="34">
        <f ca="1">PA_CDC!Z22</f>
        <v>150</v>
      </c>
      <c r="AC25" s="34">
        <f ca="1">PA_CDC!AA22</f>
        <v>130</v>
      </c>
      <c r="AD25" s="34">
        <f ca="1">PA_CDC!AB22</f>
        <v>170</v>
      </c>
      <c r="AE25" s="34">
        <f ca="1">PA_CDC!AC22</f>
        <v>20</v>
      </c>
      <c r="AF25" s="34">
        <f ca="1">PA_CDC!AD22</f>
        <v>20</v>
      </c>
      <c r="AG25" s="34">
        <f ca="1">PA_CDC!AE22</f>
        <v>20</v>
      </c>
      <c r="AH25" s="236"/>
      <c r="AI25" s="236"/>
      <c r="AJ25" s="236"/>
      <c r="AK25" s="236"/>
    </row>
    <row r="26" spans="1:37" s="23" customFormat="1" x14ac:dyDescent="0.25">
      <c r="A26" s="30">
        <v>2000</v>
      </c>
      <c r="B26" s="121" t="s">
        <v>30</v>
      </c>
      <c r="C26" s="103" t="s">
        <v>49</v>
      </c>
      <c r="D26" s="42" t="s">
        <v>48</v>
      </c>
      <c r="E26" s="103" t="s">
        <v>51</v>
      </c>
      <c r="F26" s="117" t="s">
        <v>35</v>
      </c>
      <c r="G26" s="30">
        <v>1</v>
      </c>
      <c r="H26" s="98" t="s">
        <v>56</v>
      </c>
      <c r="I26" s="93"/>
      <c r="J26" s="93"/>
      <c r="K26" s="34">
        <f ca="1">PA_CDC!I56</f>
        <v>140</v>
      </c>
      <c r="L26" s="34">
        <f ca="1">PA_CDC!J56</f>
        <v>20</v>
      </c>
      <c r="M26" s="34">
        <f ca="1">PA_CDC!K56</f>
        <v>170</v>
      </c>
      <c r="N26" s="34">
        <f ca="1">PA_CDC!L56</f>
        <v>0</v>
      </c>
      <c r="O26" s="34">
        <f ca="1">PA_CDC!M56</f>
        <v>60</v>
      </c>
      <c r="P26" s="34">
        <f ca="1">PA_CDC!N56</f>
        <v>20</v>
      </c>
      <c r="Q26" s="34">
        <f ca="1">PA_CDC!O56</f>
        <v>170</v>
      </c>
      <c r="R26" s="34">
        <f ca="1">PA_CDC!P56</f>
        <v>40</v>
      </c>
      <c r="S26" s="34">
        <f ca="1">PA_CDC!Q56</f>
        <v>80</v>
      </c>
      <c r="T26" s="34">
        <f ca="1">PA_CDC!R56</f>
        <v>130</v>
      </c>
      <c r="U26" s="34">
        <f ca="1">PA_CDC!S56</f>
        <v>140</v>
      </c>
      <c r="V26" s="34">
        <f ca="1">PA_CDC!T56</f>
        <v>30</v>
      </c>
      <c r="W26" s="34">
        <f ca="1">PA_CDC!U56</f>
        <v>70</v>
      </c>
      <c r="X26" s="34">
        <f ca="1">PA_CDC!V56</f>
        <v>120</v>
      </c>
      <c r="Y26" s="34">
        <f ca="1">PA_CDC!W56</f>
        <v>140</v>
      </c>
      <c r="Z26" s="34">
        <f ca="1">PA_CDC!X56</f>
        <v>10</v>
      </c>
      <c r="AA26" s="34">
        <f ca="1">PA_CDC!Y56</f>
        <v>110</v>
      </c>
      <c r="AB26" s="34">
        <f ca="1">PA_CDC!Z56</f>
        <v>30</v>
      </c>
      <c r="AC26" s="34">
        <f ca="1">PA_CDC!AA56</f>
        <v>30</v>
      </c>
      <c r="AD26" s="34">
        <f ca="1">PA_CDC!AB56</f>
        <v>60</v>
      </c>
      <c r="AE26" s="34">
        <f ca="1">PA_CDC!AC56</f>
        <v>100</v>
      </c>
      <c r="AF26" s="34">
        <f ca="1">PA_CDC!AD56</f>
        <v>100</v>
      </c>
      <c r="AG26" s="34">
        <f ca="1">PA_CDC!AE56</f>
        <v>140</v>
      </c>
      <c r="AH26" s="236"/>
      <c r="AI26" s="236"/>
      <c r="AJ26" s="236"/>
      <c r="AK26" s="236"/>
    </row>
    <row r="28" spans="1:37" x14ac:dyDescent="0.25">
      <c r="J28" s="296"/>
    </row>
  </sheetData>
  <conditionalFormatting sqref="J23:AK23 J13:AK13">
    <cfRule type="expression" dxfId="19" priority="2">
      <formula>J13&lt;J9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O29"/>
  <sheetViews>
    <sheetView zoomScale="68" zoomScaleNormal="68" workbookViewId="0">
      <selection activeCell="J22" activeCellId="1" sqref="J12:AG13 J22:AG23"/>
    </sheetView>
  </sheetViews>
  <sheetFormatPr baseColWidth="10" defaultColWidth="11.42578125" defaultRowHeight="15" x14ac:dyDescent="0.25"/>
  <cols>
    <col min="1" max="7" width="7" customWidth="1"/>
    <col min="8" max="8" width="17.28515625" customWidth="1"/>
    <col min="9" max="33" width="5.7109375" customWidth="1"/>
    <col min="34" max="34" width="6.7109375" customWidth="1"/>
  </cols>
  <sheetData>
    <row r="1" spans="1:93" ht="15.75" thickBot="1" x14ac:dyDescent="0.3"/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5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46" t="s">
        <v>102</v>
      </c>
      <c r="I4" s="214" t="s">
        <v>76</v>
      </c>
      <c r="J4" s="214" t="s">
        <v>77</v>
      </c>
      <c r="K4" s="214" t="s">
        <v>78</v>
      </c>
      <c r="L4" s="214" t="s">
        <v>79</v>
      </c>
      <c r="M4" s="214" t="s">
        <v>80</v>
      </c>
      <c r="N4" s="214" t="s">
        <v>81</v>
      </c>
      <c r="O4" s="214" t="s">
        <v>82</v>
      </c>
      <c r="P4" s="214" t="s">
        <v>83</v>
      </c>
      <c r="Q4" s="214" t="s">
        <v>84</v>
      </c>
      <c r="R4" s="214" t="s">
        <v>85</v>
      </c>
      <c r="S4" s="214" t="s">
        <v>86</v>
      </c>
      <c r="T4" s="214" t="s">
        <v>87</v>
      </c>
      <c r="U4" s="214" t="s">
        <v>88</v>
      </c>
      <c r="V4" s="214" t="s">
        <v>89</v>
      </c>
      <c r="W4" s="214" t="s">
        <v>90</v>
      </c>
      <c r="X4" s="214" t="s">
        <v>91</v>
      </c>
      <c r="Y4" s="214" t="s">
        <v>92</v>
      </c>
      <c r="Z4" s="214" t="s">
        <v>93</v>
      </c>
      <c r="AA4" s="214" t="s">
        <v>94</v>
      </c>
      <c r="AB4" s="214" t="s">
        <v>95</v>
      </c>
      <c r="AC4" s="214" t="s">
        <v>96</v>
      </c>
      <c r="AD4" s="214" t="s">
        <v>97</v>
      </c>
      <c r="AE4" s="214" t="s">
        <v>98</v>
      </c>
      <c r="AF4" s="215" t="s">
        <v>99</v>
      </c>
      <c r="AG4" s="214" t="s">
        <v>100</v>
      </c>
      <c r="AH4" s="214"/>
      <c r="AI4" s="214"/>
      <c r="AJ4" s="214"/>
      <c r="AK4" s="214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</row>
    <row r="5" spans="1:93" ht="19.5" customHeight="1" x14ac:dyDescent="0.25">
      <c r="A5" s="30">
        <v>1000</v>
      </c>
      <c r="B5" s="102" t="s">
        <v>29</v>
      </c>
      <c r="C5" s="103" t="s">
        <v>52</v>
      </c>
      <c r="D5" s="118" t="s">
        <v>36</v>
      </c>
      <c r="E5" s="103" t="s">
        <v>52</v>
      </c>
      <c r="F5" s="118" t="s">
        <v>36</v>
      </c>
      <c r="G5" s="75">
        <v>2</v>
      </c>
      <c r="H5" s="168" t="s">
        <v>115</v>
      </c>
      <c r="I5" s="169"/>
      <c r="J5" s="263">
        <f>J8</f>
        <v>50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</row>
    <row r="6" spans="1:93" ht="19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52</v>
      </c>
      <c r="F6" s="118" t="s">
        <v>36</v>
      </c>
      <c r="G6" s="59">
        <v>2</v>
      </c>
      <c r="H6" s="168" t="s">
        <v>116</v>
      </c>
      <c r="I6" s="169"/>
      <c r="J6" s="263">
        <f>J11</f>
        <v>350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</row>
    <row r="7" spans="1:93" ht="19.5" customHeight="1" thickBot="1" x14ac:dyDescent="0.3">
      <c r="A7" s="30">
        <v>1000</v>
      </c>
      <c r="B7" s="102" t="s">
        <v>29</v>
      </c>
      <c r="C7" s="103" t="s">
        <v>52</v>
      </c>
      <c r="D7" s="118" t="s">
        <v>36</v>
      </c>
      <c r="E7" s="103" t="s">
        <v>52</v>
      </c>
      <c r="F7" s="118" t="s">
        <v>36</v>
      </c>
      <c r="G7" s="59">
        <v>2</v>
      </c>
      <c r="H7" s="168" t="s">
        <v>120</v>
      </c>
      <c r="I7" s="38">
        <f>MJ_Initialisation!AF12</f>
        <v>0</v>
      </c>
      <c r="J7" s="293">
        <f>I7+J6-J5</f>
        <v>300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</row>
    <row r="8" spans="1:93" x14ac:dyDescent="0.25">
      <c r="A8" s="30">
        <v>1000</v>
      </c>
      <c r="B8" s="102" t="s">
        <v>29</v>
      </c>
      <c r="C8" s="103" t="s">
        <v>52</v>
      </c>
      <c r="D8" s="118" t="s">
        <v>36</v>
      </c>
      <c r="E8" s="103" t="s">
        <v>52</v>
      </c>
      <c r="F8" s="118" t="s">
        <v>36</v>
      </c>
      <c r="G8" s="75">
        <v>2</v>
      </c>
      <c r="H8" s="27" t="s">
        <v>26</v>
      </c>
      <c r="I8" s="76"/>
      <c r="J8" s="174">
        <f>MJ_Initialisation!D12</f>
        <v>50</v>
      </c>
      <c r="K8" s="174">
        <f>MJ_Initialisation!E12</f>
        <v>100</v>
      </c>
      <c r="L8" s="174">
        <f>MJ_Initialisation!F12</f>
        <v>150</v>
      </c>
      <c r="M8" s="174">
        <f>MJ_Initialisation!G12</f>
        <v>200</v>
      </c>
      <c r="N8" s="174">
        <f>MJ_Initialisation!H12</f>
        <v>200</v>
      </c>
      <c r="O8" s="174">
        <f>MJ_Initialisation!I12</f>
        <v>50</v>
      </c>
      <c r="P8" s="174">
        <f>MJ_Initialisation!J12</f>
        <v>150</v>
      </c>
      <c r="Q8" s="174">
        <f>MJ_Initialisation!K12</f>
        <v>250</v>
      </c>
      <c r="R8" s="174">
        <f>MJ_Initialisation!L12</f>
        <v>100</v>
      </c>
      <c r="S8" s="174">
        <f>MJ_Initialisation!M12</f>
        <v>50</v>
      </c>
      <c r="T8" s="174">
        <f>MJ_Initialisation!N12</f>
        <v>250</v>
      </c>
      <c r="U8" s="174">
        <f>MJ_Initialisation!O12</f>
        <v>200</v>
      </c>
      <c r="V8" s="174">
        <f>MJ_Initialisation!P12</f>
        <v>50</v>
      </c>
      <c r="W8" s="174">
        <f>MJ_Initialisation!Q12</f>
        <v>250</v>
      </c>
      <c r="X8" s="174">
        <f>MJ_Initialisation!R12</f>
        <v>200</v>
      </c>
      <c r="Y8" s="174">
        <f>MJ_Initialisation!S12</f>
        <v>250</v>
      </c>
      <c r="Z8" s="174">
        <f>MJ_Initialisation!T12</f>
        <v>250</v>
      </c>
      <c r="AA8" s="174">
        <f>MJ_Initialisation!U12</f>
        <v>150</v>
      </c>
      <c r="AB8" s="174">
        <f>MJ_Initialisation!V12</f>
        <v>250</v>
      </c>
      <c r="AC8" s="174">
        <f>MJ_Initialisation!W12</f>
        <v>150</v>
      </c>
      <c r="AD8" s="174">
        <f>MJ_Initialisation!X12</f>
        <v>300</v>
      </c>
      <c r="AE8" s="174">
        <f>MJ_Initialisation!Y12</f>
        <v>100</v>
      </c>
      <c r="AF8" s="174">
        <f>MJ_Initialisation!Z12</f>
        <v>200</v>
      </c>
      <c r="AG8" s="174">
        <f>MJ_Initialisation!AA12</f>
        <v>100</v>
      </c>
      <c r="AH8" s="266"/>
      <c r="AI8" s="266"/>
      <c r="AJ8" s="266"/>
      <c r="AK8" s="266"/>
    </row>
    <row r="9" spans="1:93" ht="15.75" thickBot="1" x14ac:dyDescent="0.3">
      <c r="A9" s="30">
        <v>1000</v>
      </c>
      <c r="B9" s="102" t="s">
        <v>29</v>
      </c>
      <c r="C9" s="103" t="s">
        <v>52</v>
      </c>
      <c r="D9" s="118" t="s">
        <v>36</v>
      </c>
      <c r="E9" s="103" t="s">
        <v>52</v>
      </c>
      <c r="F9" s="118" t="s">
        <v>36</v>
      </c>
      <c r="G9" s="59">
        <v>2</v>
      </c>
      <c r="H9" s="125" t="s">
        <v>24</v>
      </c>
      <c r="I9" s="31"/>
      <c r="J9" s="223">
        <v>300</v>
      </c>
      <c r="K9" s="223">
        <v>300</v>
      </c>
      <c r="L9" s="223">
        <v>300</v>
      </c>
      <c r="M9" s="223">
        <v>300</v>
      </c>
      <c r="N9" s="223">
        <v>300</v>
      </c>
      <c r="O9" s="223">
        <v>300</v>
      </c>
      <c r="P9" s="223">
        <v>300</v>
      </c>
      <c r="Q9" s="223">
        <v>300</v>
      </c>
      <c r="R9" s="223">
        <v>300</v>
      </c>
      <c r="S9" s="223">
        <v>300</v>
      </c>
      <c r="T9" s="223">
        <v>300</v>
      </c>
      <c r="U9" s="223">
        <v>300</v>
      </c>
      <c r="V9" s="223">
        <v>300</v>
      </c>
      <c r="W9" s="223">
        <v>300</v>
      </c>
      <c r="X9" s="223">
        <v>300</v>
      </c>
      <c r="Y9" s="223">
        <v>300</v>
      </c>
      <c r="Z9" s="223">
        <v>300</v>
      </c>
      <c r="AA9" s="223">
        <v>300</v>
      </c>
      <c r="AB9" s="223">
        <v>300</v>
      </c>
      <c r="AC9" s="223">
        <v>300</v>
      </c>
      <c r="AD9" s="223">
        <v>300</v>
      </c>
      <c r="AE9" s="223">
        <v>300</v>
      </c>
      <c r="AF9" s="223">
        <v>300</v>
      </c>
      <c r="AG9" s="223">
        <v>300</v>
      </c>
      <c r="AH9" s="223"/>
      <c r="AI9" s="223"/>
      <c r="AJ9" s="223"/>
      <c r="AK9" s="223"/>
    </row>
    <row r="10" spans="1:93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52</v>
      </c>
      <c r="F10" s="118" t="s">
        <v>36</v>
      </c>
      <c r="G10" s="60">
        <v>2</v>
      </c>
      <c r="H10" s="32" t="s">
        <v>41</v>
      </c>
      <c r="I10" s="33"/>
      <c r="J10" s="94"/>
      <c r="K10" s="94"/>
      <c r="L10" s="29">
        <f>MJ_Initialisation!F32</f>
        <v>150</v>
      </c>
      <c r="M10" s="29">
        <f>MJ_Initialisation!G32</f>
        <v>200</v>
      </c>
      <c r="N10" s="29">
        <f>MJ_Initialisation!H32</f>
        <v>200</v>
      </c>
      <c r="O10" s="29">
        <f>MJ_Initialisation!I32</f>
        <v>50</v>
      </c>
      <c r="P10" s="29">
        <f>MJ_Initialisation!J32</f>
        <v>150</v>
      </c>
      <c r="Q10" s="29">
        <f>MJ_Initialisation!K32</f>
        <v>250</v>
      </c>
      <c r="R10" s="29">
        <f>MJ_Initialisation!L32</f>
        <v>100</v>
      </c>
      <c r="S10" s="29">
        <f>MJ_Initialisation!M32</f>
        <v>50</v>
      </c>
      <c r="T10" s="29">
        <f>MJ_Initialisation!N32</f>
        <v>250</v>
      </c>
      <c r="U10" s="29">
        <f>MJ_Initialisation!O32</f>
        <v>200</v>
      </c>
      <c r="V10" s="29">
        <f>MJ_Initialisation!P32</f>
        <v>50</v>
      </c>
      <c r="W10" s="29">
        <f>MJ_Initialisation!Q32</f>
        <v>250</v>
      </c>
      <c r="X10" s="29">
        <f>MJ_Initialisation!R32</f>
        <v>200</v>
      </c>
      <c r="Y10" s="29">
        <f>MJ_Initialisation!S32</f>
        <v>250</v>
      </c>
      <c r="Z10" s="29">
        <f>MJ_Initialisation!T32</f>
        <v>250</v>
      </c>
      <c r="AA10" s="29">
        <f>MJ_Initialisation!U32</f>
        <v>150</v>
      </c>
      <c r="AB10" s="29">
        <f>MJ_Initialisation!V32</f>
        <v>250</v>
      </c>
      <c r="AC10" s="29">
        <f>MJ_Initialisation!W32</f>
        <v>150</v>
      </c>
      <c r="AD10" s="29">
        <f>MJ_Initialisation!X32</f>
        <v>300</v>
      </c>
      <c r="AE10" s="29">
        <f>MJ_Initialisation!Y32</f>
        <v>100</v>
      </c>
      <c r="AF10" s="29">
        <f>MJ_Initialisation!Z32</f>
        <v>200</v>
      </c>
      <c r="AG10" s="29">
        <f>MJ_Initialisation!AA32</f>
        <v>100</v>
      </c>
      <c r="AH10" s="235"/>
      <c r="AI10" s="235"/>
      <c r="AJ10" s="235"/>
      <c r="AK10" s="235"/>
    </row>
    <row r="11" spans="1:93" ht="20.2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52</v>
      </c>
      <c r="F11" s="118" t="s">
        <v>36</v>
      </c>
      <c r="G11" s="59">
        <v>2</v>
      </c>
      <c r="H11" s="35" t="s">
        <v>27</v>
      </c>
      <c r="I11" s="31"/>
      <c r="J11" s="36">
        <f>MJ_Initialisation!D32</f>
        <v>350</v>
      </c>
      <c r="K11" s="36">
        <f>MJ_Initialisation!E32</f>
        <v>100</v>
      </c>
      <c r="L11" s="93"/>
      <c r="M11" s="5"/>
      <c r="N11" s="2"/>
      <c r="O11" s="2"/>
      <c r="P11" s="2"/>
      <c r="Q11" s="2"/>
      <c r="R11" s="2"/>
      <c r="S11" s="2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48"/>
      <c r="AG11" s="5"/>
      <c r="AH11" s="222"/>
      <c r="AI11" s="222"/>
      <c r="AJ11" s="222"/>
      <c r="AK11" s="222"/>
    </row>
    <row r="12" spans="1:93" x14ac:dyDescent="0.25">
      <c r="A12" s="30">
        <v>1000</v>
      </c>
      <c r="B12" s="102" t="s">
        <v>29</v>
      </c>
      <c r="C12" s="103" t="s">
        <v>52</v>
      </c>
      <c r="D12" s="118" t="s">
        <v>36</v>
      </c>
      <c r="E12" s="103" t="s">
        <v>49</v>
      </c>
      <c r="F12" s="42" t="s">
        <v>48</v>
      </c>
      <c r="G12" s="60">
        <v>2</v>
      </c>
      <c r="H12" s="126" t="s">
        <v>57</v>
      </c>
      <c r="I12" s="37"/>
      <c r="J12" s="238">
        <f>MAX(J8+J9-J11-I7,0)</f>
        <v>0</v>
      </c>
      <c r="K12" s="238">
        <f>MAX(K8+K9-K11-J13,0)</f>
        <v>0</v>
      </c>
      <c r="L12" s="238">
        <f t="shared" ref="L12:AG12" si="0">MAX(L8+L9-L11-K13,0)</f>
        <v>150</v>
      </c>
      <c r="M12" s="238">
        <f t="shared" si="0"/>
        <v>200</v>
      </c>
      <c r="N12" s="238">
        <f t="shared" si="0"/>
        <v>200</v>
      </c>
      <c r="O12" s="238">
        <f t="shared" si="0"/>
        <v>50</v>
      </c>
      <c r="P12" s="238">
        <f t="shared" si="0"/>
        <v>150</v>
      </c>
      <c r="Q12" s="238">
        <f t="shared" si="0"/>
        <v>250</v>
      </c>
      <c r="R12" s="238">
        <f t="shared" si="0"/>
        <v>100</v>
      </c>
      <c r="S12" s="238">
        <f t="shared" si="0"/>
        <v>50</v>
      </c>
      <c r="T12" s="238">
        <f t="shared" si="0"/>
        <v>250</v>
      </c>
      <c r="U12" s="238">
        <f t="shared" si="0"/>
        <v>200</v>
      </c>
      <c r="V12" s="238">
        <f t="shared" si="0"/>
        <v>50</v>
      </c>
      <c r="W12" s="238">
        <f t="shared" si="0"/>
        <v>250</v>
      </c>
      <c r="X12" s="238">
        <f t="shared" si="0"/>
        <v>200</v>
      </c>
      <c r="Y12" s="238">
        <f t="shared" si="0"/>
        <v>250</v>
      </c>
      <c r="Z12" s="238">
        <f t="shared" si="0"/>
        <v>250</v>
      </c>
      <c r="AA12" s="238">
        <f t="shared" si="0"/>
        <v>150</v>
      </c>
      <c r="AB12" s="238">
        <f t="shared" si="0"/>
        <v>250</v>
      </c>
      <c r="AC12" s="238">
        <f t="shared" si="0"/>
        <v>150</v>
      </c>
      <c r="AD12" s="238">
        <f t="shared" si="0"/>
        <v>300</v>
      </c>
      <c r="AE12" s="238">
        <f t="shared" si="0"/>
        <v>100</v>
      </c>
      <c r="AF12" s="238">
        <f t="shared" si="0"/>
        <v>200</v>
      </c>
      <c r="AG12" s="238">
        <f t="shared" si="0"/>
        <v>100</v>
      </c>
      <c r="AH12" s="238"/>
      <c r="AI12" s="238"/>
      <c r="AJ12" s="238"/>
      <c r="AK12" s="238"/>
    </row>
    <row r="13" spans="1:93" x14ac:dyDescent="0.25">
      <c r="A13" s="30">
        <v>1000</v>
      </c>
      <c r="B13" s="102" t="s">
        <v>29</v>
      </c>
      <c r="C13" s="103" t="s">
        <v>52</v>
      </c>
      <c r="D13" s="118" t="s">
        <v>36</v>
      </c>
      <c r="E13" s="103" t="s">
        <v>52</v>
      </c>
      <c r="F13" s="118" t="s">
        <v>36</v>
      </c>
      <c r="G13" s="59">
        <v>2</v>
      </c>
      <c r="H13" s="125" t="s">
        <v>37</v>
      </c>
      <c r="J13" s="39">
        <f>I7+J12+J11-J8</f>
        <v>300</v>
      </c>
      <c r="K13" s="39">
        <f t="shared" ref="K13:AG13" si="1">J13+K12+K11-K8</f>
        <v>300</v>
      </c>
      <c r="L13" s="39">
        <f t="shared" si="1"/>
        <v>300</v>
      </c>
      <c r="M13" s="39">
        <f t="shared" si="1"/>
        <v>300</v>
      </c>
      <c r="N13" s="39">
        <f t="shared" si="1"/>
        <v>300</v>
      </c>
      <c r="O13" s="39">
        <f t="shared" si="1"/>
        <v>300</v>
      </c>
      <c r="P13" s="39">
        <f t="shared" si="1"/>
        <v>300</v>
      </c>
      <c r="Q13" s="39">
        <f t="shared" si="1"/>
        <v>300</v>
      </c>
      <c r="R13" s="39">
        <f t="shared" si="1"/>
        <v>300</v>
      </c>
      <c r="S13" s="39">
        <f t="shared" si="1"/>
        <v>300</v>
      </c>
      <c r="T13" s="39">
        <f t="shared" si="1"/>
        <v>300</v>
      </c>
      <c r="U13" s="39">
        <f t="shared" si="1"/>
        <v>300</v>
      </c>
      <c r="V13" s="39">
        <f t="shared" si="1"/>
        <v>300</v>
      </c>
      <c r="W13" s="39">
        <f t="shared" si="1"/>
        <v>300</v>
      </c>
      <c r="X13" s="39">
        <f t="shared" si="1"/>
        <v>300</v>
      </c>
      <c r="Y13" s="39">
        <f t="shared" si="1"/>
        <v>300</v>
      </c>
      <c r="Z13" s="39">
        <f t="shared" si="1"/>
        <v>300</v>
      </c>
      <c r="AA13" s="39">
        <f t="shared" si="1"/>
        <v>300</v>
      </c>
      <c r="AB13" s="39">
        <f t="shared" si="1"/>
        <v>300</v>
      </c>
      <c r="AC13" s="39">
        <f t="shared" si="1"/>
        <v>300</v>
      </c>
      <c r="AD13" s="39">
        <f t="shared" si="1"/>
        <v>300</v>
      </c>
      <c r="AE13" s="39">
        <f t="shared" si="1"/>
        <v>300</v>
      </c>
      <c r="AF13" s="149">
        <f t="shared" si="1"/>
        <v>300</v>
      </c>
      <c r="AG13" s="39">
        <f t="shared" si="1"/>
        <v>300</v>
      </c>
      <c r="AH13" s="238"/>
      <c r="AI13" s="238"/>
      <c r="AJ13" s="238"/>
      <c r="AK13" s="238"/>
    </row>
    <row r="14" spans="1:93" ht="6.75" customHeight="1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11"/>
      <c r="AD14" s="11"/>
      <c r="AE14" s="11"/>
      <c r="AF14" s="62"/>
      <c r="AG14" s="77"/>
      <c r="AH14" s="244"/>
      <c r="AI14" s="244"/>
      <c r="AJ14" s="244"/>
      <c r="AK14" s="244"/>
    </row>
    <row r="15" spans="1:93" ht="16.5" customHeight="1" x14ac:dyDescent="0.25">
      <c r="A15" s="108">
        <v>3000</v>
      </c>
      <c r="B15" s="122" t="s">
        <v>31</v>
      </c>
      <c r="C15" s="103" t="s">
        <v>52</v>
      </c>
      <c r="D15" s="118" t="s">
        <v>36</v>
      </c>
      <c r="E15" s="103" t="s">
        <v>52</v>
      </c>
      <c r="F15" s="118" t="s">
        <v>36</v>
      </c>
      <c r="G15" s="60">
        <v>2</v>
      </c>
      <c r="H15" s="168" t="s">
        <v>115</v>
      </c>
      <c r="I15" s="169"/>
      <c r="J15" s="263">
        <f>J18</f>
        <v>150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</row>
    <row r="16" spans="1:93" ht="16.5" customHeight="1" x14ac:dyDescent="0.25">
      <c r="A16" s="108">
        <v>3000</v>
      </c>
      <c r="B16" s="122" t="s">
        <v>31</v>
      </c>
      <c r="C16" s="103" t="s">
        <v>49</v>
      </c>
      <c r="D16" s="42" t="s">
        <v>48</v>
      </c>
      <c r="E16" s="103" t="s">
        <v>52</v>
      </c>
      <c r="F16" s="118" t="s">
        <v>36</v>
      </c>
      <c r="G16" s="59">
        <v>2</v>
      </c>
      <c r="H16" s="168" t="s">
        <v>116</v>
      </c>
      <c r="I16" s="169"/>
      <c r="J16" s="263">
        <f>J21</f>
        <v>450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</row>
    <row r="17" spans="1:37" ht="16.5" customHeight="1" thickBot="1" x14ac:dyDescent="0.3">
      <c r="A17" s="108">
        <v>3000</v>
      </c>
      <c r="B17" s="122" t="s">
        <v>31</v>
      </c>
      <c r="C17" s="103" t="s">
        <v>52</v>
      </c>
      <c r="D17" s="118" t="s">
        <v>36</v>
      </c>
      <c r="E17" s="103" t="s">
        <v>52</v>
      </c>
      <c r="F17" s="118" t="s">
        <v>36</v>
      </c>
      <c r="G17" s="60">
        <v>2</v>
      </c>
      <c r="H17" s="168" t="s">
        <v>120</v>
      </c>
      <c r="I17" s="38">
        <f>MJ_Initialisation!AF13</f>
        <v>0</v>
      </c>
      <c r="J17" s="293">
        <f>I17+J16-J15</f>
        <v>300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</row>
    <row r="18" spans="1:37" x14ac:dyDescent="0.25">
      <c r="A18" s="108">
        <v>3000</v>
      </c>
      <c r="B18" s="122" t="s">
        <v>31</v>
      </c>
      <c r="C18" s="103" t="s">
        <v>52</v>
      </c>
      <c r="D18" s="118" t="s">
        <v>36</v>
      </c>
      <c r="E18" s="103" t="s">
        <v>52</v>
      </c>
      <c r="F18" s="118" t="s">
        <v>36</v>
      </c>
      <c r="G18" s="60">
        <v>2</v>
      </c>
      <c r="H18" s="27" t="s">
        <v>26</v>
      </c>
      <c r="I18" s="76"/>
      <c r="J18" s="174">
        <f>MJ_Initialisation!D13</f>
        <v>150</v>
      </c>
      <c r="K18" s="174">
        <f>MJ_Initialisation!E13</f>
        <v>100</v>
      </c>
      <c r="L18" s="174">
        <f>MJ_Initialisation!F13</f>
        <v>150</v>
      </c>
      <c r="M18" s="174">
        <f>MJ_Initialisation!G13</f>
        <v>150</v>
      </c>
      <c r="N18" s="174">
        <f>MJ_Initialisation!H13</f>
        <v>200</v>
      </c>
      <c r="O18" s="174">
        <f>MJ_Initialisation!I13</f>
        <v>100</v>
      </c>
      <c r="P18" s="174">
        <f>MJ_Initialisation!J13</f>
        <v>150</v>
      </c>
      <c r="Q18" s="174">
        <f>MJ_Initialisation!K13</f>
        <v>150</v>
      </c>
      <c r="R18" s="174">
        <f>MJ_Initialisation!L13</f>
        <v>300</v>
      </c>
      <c r="S18" s="174">
        <f>MJ_Initialisation!M13</f>
        <v>150</v>
      </c>
      <c r="T18" s="174">
        <f>MJ_Initialisation!N13</f>
        <v>150</v>
      </c>
      <c r="U18" s="174">
        <f>MJ_Initialisation!O13</f>
        <v>100</v>
      </c>
      <c r="V18" s="174">
        <f>MJ_Initialisation!P13</f>
        <v>50</v>
      </c>
      <c r="W18" s="174">
        <f>MJ_Initialisation!Q13</f>
        <v>100</v>
      </c>
      <c r="X18" s="174">
        <f>MJ_Initialisation!R13</f>
        <v>150</v>
      </c>
      <c r="Y18" s="174">
        <f>MJ_Initialisation!S13</f>
        <v>150</v>
      </c>
      <c r="Z18" s="174">
        <f>MJ_Initialisation!T13</f>
        <v>100</v>
      </c>
      <c r="AA18" s="174">
        <f>MJ_Initialisation!U13</f>
        <v>50</v>
      </c>
      <c r="AB18" s="174">
        <f>MJ_Initialisation!V13</f>
        <v>250</v>
      </c>
      <c r="AC18" s="174">
        <f>MJ_Initialisation!W13</f>
        <v>150</v>
      </c>
      <c r="AD18" s="174">
        <f>MJ_Initialisation!X13</f>
        <v>250</v>
      </c>
      <c r="AE18" s="174">
        <f>MJ_Initialisation!Y13</f>
        <v>200</v>
      </c>
      <c r="AF18" s="174">
        <f>MJ_Initialisation!Z13</f>
        <v>100</v>
      </c>
      <c r="AG18" s="174">
        <f>MJ_Initialisation!AA13</f>
        <v>50</v>
      </c>
      <c r="AH18" s="266"/>
      <c r="AI18" s="266"/>
      <c r="AJ18" s="266"/>
      <c r="AK18" s="266"/>
    </row>
    <row r="19" spans="1:37" ht="15.75" thickBot="1" x14ac:dyDescent="0.3">
      <c r="A19" s="108">
        <v>3000</v>
      </c>
      <c r="B19" s="122" t="s">
        <v>31</v>
      </c>
      <c r="C19" s="103" t="s">
        <v>52</v>
      </c>
      <c r="D19" s="118" t="s">
        <v>36</v>
      </c>
      <c r="E19" s="103" t="s">
        <v>52</v>
      </c>
      <c r="F19" s="118" t="s">
        <v>36</v>
      </c>
      <c r="G19" s="60">
        <v>2</v>
      </c>
      <c r="H19" s="125" t="s">
        <v>24</v>
      </c>
      <c r="I19" s="31"/>
      <c r="J19" s="223">
        <v>300</v>
      </c>
      <c r="K19" s="223">
        <v>300</v>
      </c>
      <c r="L19" s="223">
        <v>300</v>
      </c>
      <c r="M19" s="223">
        <v>300</v>
      </c>
      <c r="N19" s="223">
        <v>300</v>
      </c>
      <c r="O19" s="223">
        <v>300</v>
      </c>
      <c r="P19" s="223">
        <v>300</v>
      </c>
      <c r="Q19" s="223">
        <v>300</v>
      </c>
      <c r="R19" s="223">
        <v>300</v>
      </c>
      <c r="S19" s="223">
        <v>300</v>
      </c>
      <c r="T19" s="223">
        <v>300</v>
      </c>
      <c r="U19" s="223">
        <v>300</v>
      </c>
      <c r="V19" s="223">
        <v>300</v>
      </c>
      <c r="W19" s="223">
        <v>300</v>
      </c>
      <c r="X19" s="223">
        <v>300</v>
      </c>
      <c r="Y19" s="223">
        <v>300</v>
      </c>
      <c r="Z19" s="223">
        <v>300</v>
      </c>
      <c r="AA19" s="223">
        <v>300</v>
      </c>
      <c r="AB19" s="223">
        <v>300</v>
      </c>
      <c r="AC19" s="223">
        <v>300</v>
      </c>
      <c r="AD19" s="223">
        <v>300</v>
      </c>
      <c r="AE19" s="223">
        <v>300</v>
      </c>
      <c r="AF19" s="223">
        <v>300</v>
      </c>
      <c r="AG19" s="223">
        <v>300</v>
      </c>
      <c r="AH19" s="223"/>
      <c r="AI19" s="223"/>
      <c r="AJ19" s="223"/>
      <c r="AK19" s="223"/>
    </row>
    <row r="20" spans="1:37" x14ac:dyDescent="0.25">
      <c r="A20" s="108">
        <v>3000</v>
      </c>
      <c r="B20" s="122" t="s">
        <v>31</v>
      </c>
      <c r="C20" s="103" t="s">
        <v>49</v>
      </c>
      <c r="D20" s="42" t="s">
        <v>48</v>
      </c>
      <c r="E20" s="103" t="s">
        <v>52</v>
      </c>
      <c r="F20" s="118" t="s">
        <v>36</v>
      </c>
      <c r="G20" s="59">
        <v>2</v>
      </c>
      <c r="H20" s="32" t="s">
        <v>41</v>
      </c>
      <c r="I20" s="33"/>
      <c r="J20" s="94"/>
      <c r="K20" s="94"/>
      <c r="L20" s="29">
        <f>MJ_Initialisation!F34</f>
        <v>150</v>
      </c>
      <c r="M20" s="29">
        <f>MJ_Initialisation!G34</f>
        <v>150</v>
      </c>
      <c r="N20" s="29">
        <f>MJ_Initialisation!H34</f>
        <v>200</v>
      </c>
      <c r="O20" s="29">
        <f>MJ_Initialisation!I34</f>
        <v>100</v>
      </c>
      <c r="P20" s="29">
        <f>MJ_Initialisation!J34</f>
        <v>150</v>
      </c>
      <c r="Q20" s="29">
        <f>MJ_Initialisation!K34</f>
        <v>150</v>
      </c>
      <c r="R20" s="29">
        <f>MJ_Initialisation!L34</f>
        <v>300</v>
      </c>
      <c r="S20" s="29">
        <f>MJ_Initialisation!M34</f>
        <v>150</v>
      </c>
      <c r="T20" s="29">
        <f>MJ_Initialisation!N34</f>
        <v>150</v>
      </c>
      <c r="U20" s="29">
        <f>MJ_Initialisation!O34</f>
        <v>100</v>
      </c>
      <c r="V20" s="29">
        <f>MJ_Initialisation!P34</f>
        <v>50</v>
      </c>
      <c r="W20" s="29">
        <f>MJ_Initialisation!Q34</f>
        <v>100</v>
      </c>
      <c r="X20" s="29">
        <f>MJ_Initialisation!R34</f>
        <v>150</v>
      </c>
      <c r="Y20" s="29">
        <f>MJ_Initialisation!S34</f>
        <v>150</v>
      </c>
      <c r="Z20" s="29">
        <f>MJ_Initialisation!T34</f>
        <v>100</v>
      </c>
      <c r="AA20" s="29">
        <f>MJ_Initialisation!U34</f>
        <v>50</v>
      </c>
      <c r="AB20" s="29">
        <f>MJ_Initialisation!V34</f>
        <v>250</v>
      </c>
      <c r="AC20" s="29">
        <f>MJ_Initialisation!W34</f>
        <v>150</v>
      </c>
      <c r="AD20" s="29">
        <f>MJ_Initialisation!X34</f>
        <v>250</v>
      </c>
      <c r="AE20" s="29">
        <f>MJ_Initialisation!Y34</f>
        <v>200</v>
      </c>
      <c r="AF20" s="29">
        <f>MJ_Initialisation!Z34</f>
        <v>100</v>
      </c>
      <c r="AG20" s="29">
        <f>MJ_Initialisation!AA34</f>
        <v>50</v>
      </c>
      <c r="AH20" s="235"/>
      <c r="AI20" s="235"/>
      <c r="AJ20" s="235"/>
      <c r="AK20" s="235"/>
    </row>
    <row r="21" spans="1:37" ht="19.5" customHeight="1" x14ac:dyDescent="0.25">
      <c r="A21" s="108">
        <v>3000</v>
      </c>
      <c r="B21" s="122" t="s">
        <v>31</v>
      </c>
      <c r="C21" s="103" t="s">
        <v>49</v>
      </c>
      <c r="D21" s="42" t="s">
        <v>48</v>
      </c>
      <c r="E21" s="103" t="s">
        <v>52</v>
      </c>
      <c r="F21" s="118" t="s">
        <v>36</v>
      </c>
      <c r="G21" s="59">
        <v>2</v>
      </c>
      <c r="H21" s="35" t="s">
        <v>27</v>
      </c>
      <c r="I21" s="31"/>
      <c r="J21" s="36">
        <f>MJ_Initialisation!D34</f>
        <v>450</v>
      </c>
      <c r="K21" s="36">
        <f>MJ_Initialisation!E34</f>
        <v>100</v>
      </c>
      <c r="L21" s="93"/>
      <c r="M21" s="5"/>
      <c r="N21" s="2"/>
      <c r="O21" s="2"/>
      <c r="P21" s="2"/>
      <c r="Q21" s="2"/>
      <c r="R21" s="2"/>
      <c r="S21" s="2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48"/>
      <c r="AG21" s="5"/>
      <c r="AH21" s="222"/>
      <c r="AI21" s="222"/>
      <c r="AJ21" s="222"/>
      <c r="AK21" s="222"/>
    </row>
    <row r="22" spans="1:37" x14ac:dyDescent="0.25">
      <c r="A22" s="108">
        <v>3000</v>
      </c>
      <c r="B22" s="122" t="s">
        <v>31</v>
      </c>
      <c r="C22" s="103" t="s">
        <v>52</v>
      </c>
      <c r="D22" s="118" t="s">
        <v>36</v>
      </c>
      <c r="E22" s="103" t="s">
        <v>49</v>
      </c>
      <c r="F22" s="42" t="s">
        <v>48</v>
      </c>
      <c r="G22" s="60">
        <v>2</v>
      </c>
      <c r="H22" s="126" t="s">
        <v>57</v>
      </c>
      <c r="I22" s="37"/>
      <c r="J22" s="238">
        <f>MAX(J18+J19-J21-I17,0)</f>
        <v>0</v>
      </c>
      <c r="K22" s="238">
        <f>MAX(K18+K19-K21-J23,0)</f>
        <v>0</v>
      </c>
      <c r="L22" s="238">
        <f>MAX(L18+L19-L21-K23,0)</f>
        <v>150</v>
      </c>
      <c r="M22" s="238">
        <f t="shared" ref="M22:AG22" si="2">MAX(M18+M19-M21-L23,0)</f>
        <v>150</v>
      </c>
      <c r="N22" s="238">
        <f t="shared" si="2"/>
        <v>200</v>
      </c>
      <c r="O22" s="238">
        <f t="shared" si="2"/>
        <v>100</v>
      </c>
      <c r="P22" s="238">
        <f t="shared" si="2"/>
        <v>150</v>
      </c>
      <c r="Q22" s="238">
        <f t="shared" si="2"/>
        <v>150</v>
      </c>
      <c r="R22" s="238">
        <f t="shared" si="2"/>
        <v>300</v>
      </c>
      <c r="S22" s="238">
        <f t="shared" si="2"/>
        <v>150</v>
      </c>
      <c r="T22" s="238">
        <f t="shared" si="2"/>
        <v>150</v>
      </c>
      <c r="U22" s="238">
        <f t="shared" si="2"/>
        <v>100</v>
      </c>
      <c r="V22" s="238">
        <f t="shared" si="2"/>
        <v>50</v>
      </c>
      <c r="W22" s="238">
        <f t="shared" si="2"/>
        <v>100</v>
      </c>
      <c r="X22" s="238">
        <f t="shared" si="2"/>
        <v>150</v>
      </c>
      <c r="Y22" s="238">
        <f t="shared" si="2"/>
        <v>150</v>
      </c>
      <c r="Z22" s="238">
        <f t="shared" si="2"/>
        <v>100</v>
      </c>
      <c r="AA22" s="238">
        <f t="shared" si="2"/>
        <v>50</v>
      </c>
      <c r="AB22" s="238">
        <f t="shared" si="2"/>
        <v>250</v>
      </c>
      <c r="AC22" s="238">
        <f t="shared" si="2"/>
        <v>150</v>
      </c>
      <c r="AD22" s="238">
        <f t="shared" si="2"/>
        <v>250</v>
      </c>
      <c r="AE22" s="238">
        <f t="shared" si="2"/>
        <v>200</v>
      </c>
      <c r="AF22" s="238">
        <f t="shared" si="2"/>
        <v>100</v>
      </c>
      <c r="AG22" s="238">
        <f t="shared" si="2"/>
        <v>50</v>
      </c>
      <c r="AH22" s="238"/>
      <c r="AI22" s="238"/>
      <c r="AJ22" s="238"/>
      <c r="AK22" s="238"/>
    </row>
    <row r="23" spans="1:37" ht="16.5" customHeight="1" x14ac:dyDescent="0.25">
      <c r="A23" s="108">
        <v>3000</v>
      </c>
      <c r="B23" s="122" t="s">
        <v>31</v>
      </c>
      <c r="C23" s="103" t="s">
        <v>52</v>
      </c>
      <c r="D23" s="118" t="s">
        <v>36</v>
      </c>
      <c r="E23" s="103" t="s">
        <v>52</v>
      </c>
      <c r="F23" s="118" t="s">
        <v>36</v>
      </c>
      <c r="G23" s="60">
        <v>2</v>
      </c>
      <c r="H23" s="125" t="s">
        <v>37</v>
      </c>
      <c r="J23" s="39">
        <f>I17+J22+J21-J18</f>
        <v>300</v>
      </c>
      <c r="K23" s="39">
        <f t="shared" ref="K23:AG23" si="3">J23+K22+K21-K18</f>
        <v>300</v>
      </c>
      <c r="L23" s="39">
        <f t="shared" si="3"/>
        <v>300</v>
      </c>
      <c r="M23" s="39">
        <f t="shared" si="3"/>
        <v>300</v>
      </c>
      <c r="N23" s="39">
        <f t="shared" si="3"/>
        <v>300</v>
      </c>
      <c r="O23" s="39">
        <f t="shared" si="3"/>
        <v>300</v>
      </c>
      <c r="P23" s="39">
        <f t="shared" si="3"/>
        <v>300</v>
      </c>
      <c r="Q23" s="39">
        <f t="shared" si="3"/>
        <v>300</v>
      </c>
      <c r="R23" s="39">
        <f t="shared" si="3"/>
        <v>300</v>
      </c>
      <c r="S23" s="39">
        <f t="shared" si="3"/>
        <v>300</v>
      </c>
      <c r="T23" s="39">
        <f t="shared" si="3"/>
        <v>300</v>
      </c>
      <c r="U23" s="39">
        <f t="shared" si="3"/>
        <v>300</v>
      </c>
      <c r="V23" s="39">
        <f t="shared" si="3"/>
        <v>300</v>
      </c>
      <c r="W23" s="39">
        <f t="shared" si="3"/>
        <v>300</v>
      </c>
      <c r="X23" s="39">
        <f t="shared" si="3"/>
        <v>300</v>
      </c>
      <c r="Y23" s="39">
        <f t="shared" si="3"/>
        <v>300</v>
      </c>
      <c r="Z23" s="39">
        <f t="shared" si="3"/>
        <v>300</v>
      </c>
      <c r="AA23" s="39">
        <f t="shared" si="3"/>
        <v>300</v>
      </c>
      <c r="AB23" s="39">
        <f t="shared" si="3"/>
        <v>300</v>
      </c>
      <c r="AC23" s="39">
        <f t="shared" si="3"/>
        <v>300</v>
      </c>
      <c r="AD23" s="39">
        <f t="shared" si="3"/>
        <v>300</v>
      </c>
      <c r="AE23" s="39">
        <f t="shared" si="3"/>
        <v>300</v>
      </c>
      <c r="AF23" s="149">
        <f t="shared" si="3"/>
        <v>300</v>
      </c>
      <c r="AG23" s="39">
        <f t="shared" si="3"/>
        <v>300</v>
      </c>
      <c r="AH23" s="238"/>
      <c r="AI23" s="238"/>
      <c r="AJ23" s="238"/>
      <c r="AK23" s="238"/>
    </row>
    <row r="24" spans="1:37" x14ac:dyDescent="0.25">
      <c r="A24" s="79"/>
      <c r="B24" s="79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1"/>
      <c r="AD24" s="71"/>
      <c r="AE24" s="71"/>
      <c r="AF24" s="73"/>
      <c r="AG24" s="152"/>
      <c r="AH24" s="259"/>
      <c r="AI24" s="259"/>
      <c r="AJ24" s="259"/>
      <c r="AK24" s="259"/>
    </row>
    <row r="25" spans="1:37" s="23" customFormat="1" x14ac:dyDescent="0.25">
      <c r="A25" s="30">
        <v>1000</v>
      </c>
      <c r="B25" s="102" t="s">
        <v>29</v>
      </c>
      <c r="C25" s="103" t="s">
        <v>49</v>
      </c>
      <c r="D25" s="42" t="s">
        <v>48</v>
      </c>
      <c r="E25" s="103" t="s">
        <v>52</v>
      </c>
      <c r="F25" s="118" t="s">
        <v>36</v>
      </c>
      <c r="G25" s="30">
        <v>2</v>
      </c>
      <c r="H25" s="98" t="s">
        <v>56</v>
      </c>
      <c r="I25" s="93"/>
      <c r="J25" s="93"/>
      <c r="K25" s="93"/>
      <c r="L25" s="34">
        <f ca="1">PA_CDC!I27</f>
        <v>150</v>
      </c>
      <c r="M25" s="34">
        <f ca="1">PA_CDC!J27</f>
        <v>200</v>
      </c>
      <c r="N25" s="34">
        <f ca="1">PA_CDC!K27</f>
        <v>200</v>
      </c>
      <c r="O25" s="34">
        <f ca="1">PA_CDC!L27</f>
        <v>50</v>
      </c>
      <c r="P25" s="34">
        <f ca="1">PA_CDC!M27</f>
        <v>150</v>
      </c>
      <c r="Q25" s="34">
        <f ca="1">PA_CDC!N27</f>
        <v>250</v>
      </c>
      <c r="R25" s="34">
        <f ca="1">PA_CDC!O27</f>
        <v>100</v>
      </c>
      <c r="S25" s="34">
        <f ca="1">PA_CDC!P27</f>
        <v>50</v>
      </c>
      <c r="T25" s="34">
        <f ca="1">PA_CDC!Q27</f>
        <v>250</v>
      </c>
      <c r="U25" s="34">
        <f ca="1">PA_CDC!R27</f>
        <v>200</v>
      </c>
      <c r="V25" s="34">
        <f ca="1">PA_CDC!S27</f>
        <v>50</v>
      </c>
      <c r="W25" s="34">
        <f ca="1">PA_CDC!T27</f>
        <v>250</v>
      </c>
      <c r="X25" s="34">
        <f ca="1">PA_CDC!U27</f>
        <v>200</v>
      </c>
      <c r="Y25" s="34">
        <f ca="1">PA_CDC!V27</f>
        <v>250</v>
      </c>
      <c r="Z25" s="34">
        <f ca="1">PA_CDC!W27</f>
        <v>250</v>
      </c>
      <c r="AA25" s="34">
        <f ca="1">PA_CDC!X27</f>
        <v>150</v>
      </c>
      <c r="AB25" s="34">
        <f ca="1">PA_CDC!Y27</f>
        <v>250</v>
      </c>
      <c r="AC25" s="34">
        <f ca="1">PA_CDC!Z27</f>
        <v>150</v>
      </c>
      <c r="AD25" s="34">
        <f ca="1">PA_CDC!AA27</f>
        <v>300</v>
      </c>
      <c r="AE25" s="34">
        <f ca="1">PA_CDC!AB27</f>
        <v>100</v>
      </c>
      <c r="AF25" s="34">
        <f ca="1">PA_CDC!AC27</f>
        <v>200</v>
      </c>
      <c r="AG25" s="34">
        <f ca="1">PA_CDC!AD27</f>
        <v>100</v>
      </c>
      <c r="AH25" s="236"/>
      <c r="AI25" s="236"/>
      <c r="AJ25" s="236"/>
      <c r="AK25" s="236"/>
    </row>
    <row r="26" spans="1:37" s="23" customFormat="1" x14ac:dyDescent="0.25">
      <c r="A26" s="108">
        <v>3000</v>
      </c>
      <c r="B26" s="122" t="s">
        <v>31</v>
      </c>
      <c r="C26" s="103" t="s">
        <v>49</v>
      </c>
      <c r="D26" s="42" t="s">
        <v>48</v>
      </c>
      <c r="E26" s="103" t="s">
        <v>52</v>
      </c>
      <c r="F26" s="118" t="s">
        <v>36</v>
      </c>
      <c r="G26" s="30">
        <v>2</v>
      </c>
      <c r="H26" s="98" t="s">
        <v>56</v>
      </c>
      <c r="I26" s="93"/>
      <c r="J26" s="93"/>
      <c r="K26" s="93"/>
      <c r="L26" s="34">
        <f ca="1">PA_CDC!I85</f>
        <v>150</v>
      </c>
      <c r="M26" s="34">
        <f ca="1">PA_CDC!J85</f>
        <v>150</v>
      </c>
      <c r="N26" s="34">
        <f ca="1">PA_CDC!K85</f>
        <v>200</v>
      </c>
      <c r="O26" s="34">
        <f ca="1">PA_CDC!L85</f>
        <v>100</v>
      </c>
      <c r="P26" s="34">
        <f ca="1">PA_CDC!M85</f>
        <v>150</v>
      </c>
      <c r="Q26" s="34">
        <f ca="1">PA_CDC!N85</f>
        <v>150</v>
      </c>
      <c r="R26" s="34">
        <f ca="1">PA_CDC!O85</f>
        <v>300</v>
      </c>
      <c r="S26" s="34">
        <f ca="1">PA_CDC!P85</f>
        <v>150</v>
      </c>
      <c r="T26" s="34">
        <f ca="1">PA_CDC!Q85</f>
        <v>150</v>
      </c>
      <c r="U26" s="34">
        <f ca="1">PA_CDC!R85</f>
        <v>100</v>
      </c>
      <c r="V26" s="34">
        <f ca="1">PA_CDC!S85</f>
        <v>50</v>
      </c>
      <c r="W26" s="34">
        <f ca="1">PA_CDC!T85</f>
        <v>100</v>
      </c>
      <c r="X26" s="34">
        <f ca="1">PA_CDC!U85</f>
        <v>150</v>
      </c>
      <c r="Y26" s="34">
        <f ca="1">PA_CDC!V85</f>
        <v>150</v>
      </c>
      <c r="Z26" s="34">
        <f ca="1">PA_CDC!W85</f>
        <v>100</v>
      </c>
      <c r="AA26" s="34">
        <f ca="1">PA_CDC!X85</f>
        <v>50</v>
      </c>
      <c r="AB26" s="34">
        <f ca="1">PA_CDC!Y85</f>
        <v>250</v>
      </c>
      <c r="AC26" s="34">
        <f ca="1">PA_CDC!Z85</f>
        <v>150</v>
      </c>
      <c r="AD26" s="34">
        <f ca="1">PA_CDC!AA85</f>
        <v>250</v>
      </c>
      <c r="AE26" s="34">
        <f ca="1">PA_CDC!AB85</f>
        <v>200</v>
      </c>
      <c r="AF26" s="34">
        <f ca="1">PA_CDC!AC85</f>
        <v>100</v>
      </c>
      <c r="AG26" s="34">
        <f ca="1">PA_CDC!AD85</f>
        <v>50</v>
      </c>
      <c r="AH26" s="236"/>
      <c r="AI26" s="236"/>
      <c r="AJ26" s="236"/>
      <c r="AK26" s="236"/>
    </row>
    <row r="28" spans="1:37" x14ac:dyDescent="0.25">
      <c r="K28" s="296"/>
    </row>
    <row r="29" spans="1:37" x14ac:dyDescent="0.25">
      <c r="J29" s="296"/>
    </row>
  </sheetData>
  <conditionalFormatting sqref="J13:AK13">
    <cfRule type="expression" dxfId="18" priority="2">
      <formula>J13&lt;J9</formula>
    </cfRule>
  </conditionalFormatting>
  <conditionalFormatting sqref="J23:AK23">
    <cfRule type="expression" dxfId="17" priority="1">
      <formula>J23&lt;J19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CO30"/>
  <sheetViews>
    <sheetView topLeftCell="A4" zoomScale="64" zoomScaleNormal="64" workbookViewId="0">
      <selection activeCell="R29" sqref="R29"/>
    </sheetView>
  </sheetViews>
  <sheetFormatPr baseColWidth="10" defaultColWidth="11.42578125" defaultRowHeight="15" x14ac:dyDescent="0.25"/>
  <cols>
    <col min="1" max="7" width="7.42578125" customWidth="1"/>
    <col min="8" max="8" width="19.5703125" customWidth="1"/>
    <col min="9" max="33" width="6.140625" customWidth="1"/>
    <col min="34" max="34" width="5.42578125" customWidth="1"/>
  </cols>
  <sheetData>
    <row r="1" spans="1:93" ht="15.75" thickBot="1" x14ac:dyDescent="0.3"/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2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" t="s">
        <v>102</v>
      </c>
      <c r="I4" s="216" t="s">
        <v>76</v>
      </c>
      <c r="J4" s="216" t="s">
        <v>77</v>
      </c>
      <c r="K4" s="216" t="s">
        <v>78</v>
      </c>
      <c r="L4" s="216" t="s">
        <v>79</v>
      </c>
      <c r="M4" s="216" t="s">
        <v>80</v>
      </c>
      <c r="N4" s="216" t="s">
        <v>81</v>
      </c>
      <c r="O4" s="216" t="s">
        <v>82</v>
      </c>
      <c r="P4" s="216" t="s">
        <v>83</v>
      </c>
      <c r="Q4" s="216" t="s">
        <v>84</v>
      </c>
      <c r="R4" s="216" t="s">
        <v>85</v>
      </c>
      <c r="S4" s="216" t="s">
        <v>86</v>
      </c>
      <c r="T4" s="216" t="s">
        <v>87</v>
      </c>
      <c r="U4" s="216" t="s">
        <v>88</v>
      </c>
      <c r="V4" s="216" t="s">
        <v>89</v>
      </c>
      <c r="W4" s="216" t="s">
        <v>90</v>
      </c>
      <c r="X4" s="216" t="s">
        <v>91</v>
      </c>
      <c r="Y4" s="216" t="s">
        <v>92</v>
      </c>
      <c r="Z4" s="216" t="s">
        <v>93</v>
      </c>
      <c r="AA4" s="216" t="s">
        <v>94</v>
      </c>
      <c r="AB4" s="216" t="s">
        <v>95</v>
      </c>
      <c r="AC4" s="216" t="s">
        <v>96</v>
      </c>
      <c r="AD4" s="216" t="s">
        <v>97</v>
      </c>
      <c r="AE4" s="216" t="s">
        <v>98</v>
      </c>
      <c r="AF4" s="217" t="s">
        <v>99</v>
      </c>
      <c r="AG4" s="216" t="s">
        <v>100</v>
      </c>
      <c r="AH4" s="216"/>
      <c r="AI4" s="216"/>
      <c r="AJ4" s="216"/>
      <c r="AK4" s="216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</row>
    <row r="5" spans="1:93" ht="22.5" customHeight="1" x14ac:dyDescent="0.25">
      <c r="A5" s="30">
        <v>1000</v>
      </c>
      <c r="B5" s="102" t="s">
        <v>29</v>
      </c>
      <c r="C5" s="103" t="s">
        <v>53</v>
      </c>
      <c r="D5" s="119" t="s">
        <v>34</v>
      </c>
      <c r="E5" s="103" t="s">
        <v>53</v>
      </c>
      <c r="F5" s="119" t="s">
        <v>34</v>
      </c>
      <c r="G5" s="30">
        <v>3</v>
      </c>
      <c r="H5" s="168" t="s">
        <v>115</v>
      </c>
      <c r="I5" s="169"/>
      <c r="J5" s="263">
        <f>J8</f>
        <v>10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</row>
    <row r="6" spans="1:93" ht="22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53</v>
      </c>
      <c r="F6" s="119" t="s">
        <v>34</v>
      </c>
      <c r="G6" s="30">
        <v>3</v>
      </c>
      <c r="H6" s="168" t="s">
        <v>116</v>
      </c>
      <c r="I6" s="169"/>
      <c r="J6" s="263">
        <f>J11</f>
        <v>360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</row>
    <row r="7" spans="1:93" ht="22.5" customHeight="1" x14ac:dyDescent="0.25">
      <c r="A7" s="30">
        <v>1000</v>
      </c>
      <c r="B7" s="102" t="s">
        <v>29</v>
      </c>
      <c r="C7" s="103" t="s">
        <v>53</v>
      </c>
      <c r="D7" s="119" t="s">
        <v>34</v>
      </c>
      <c r="E7" s="103" t="s">
        <v>53</v>
      </c>
      <c r="F7" s="119" t="s">
        <v>34</v>
      </c>
      <c r="G7" s="30">
        <v>3</v>
      </c>
      <c r="H7" s="168" t="s">
        <v>120</v>
      </c>
      <c r="I7" s="180">
        <f>MJ_Initialisation!AF14</f>
        <v>0</v>
      </c>
      <c r="J7" s="293">
        <f>I7+J6-J5</f>
        <v>350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</row>
    <row r="8" spans="1:93" x14ac:dyDescent="0.25">
      <c r="A8" s="30">
        <v>1000</v>
      </c>
      <c r="B8" s="102" t="s">
        <v>29</v>
      </c>
      <c r="C8" s="103" t="s">
        <v>53</v>
      </c>
      <c r="D8" s="119" t="s">
        <v>34</v>
      </c>
      <c r="E8" s="103" t="s">
        <v>53</v>
      </c>
      <c r="F8" s="119" t="s">
        <v>34</v>
      </c>
      <c r="G8" s="30">
        <v>3</v>
      </c>
      <c r="H8" s="98" t="s">
        <v>26</v>
      </c>
      <c r="I8" s="93"/>
      <c r="J8" s="34">
        <f>MJ_Initialisation!D14</f>
        <v>10</v>
      </c>
      <c r="K8" s="34">
        <f>MJ_Initialisation!E14</f>
        <v>80</v>
      </c>
      <c r="L8" s="34">
        <f>MJ_Initialisation!F14</f>
        <v>20</v>
      </c>
      <c r="M8" s="34">
        <f>MJ_Initialisation!G14</f>
        <v>60</v>
      </c>
      <c r="N8" s="34">
        <f>MJ_Initialisation!H14</f>
        <v>40</v>
      </c>
      <c r="O8" s="34">
        <f>MJ_Initialisation!I14</f>
        <v>60</v>
      </c>
      <c r="P8" s="34">
        <f>MJ_Initialisation!J14</f>
        <v>80</v>
      </c>
      <c r="Q8" s="34">
        <f>MJ_Initialisation!K14</f>
        <v>50</v>
      </c>
      <c r="R8" s="34">
        <f>MJ_Initialisation!L14</f>
        <v>10</v>
      </c>
      <c r="S8" s="34">
        <f>MJ_Initialisation!M14</f>
        <v>60</v>
      </c>
      <c r="T8" s="34">
        <f>MJ_Initialisation!N14</f>
        <v>100</v>
      </c>
      <c r="U8" s="34">
        <f>MJ_Initialisation!O14</f>
        <v>80</v>
      </c>
      <c r="V8" s="34">
        <f>MJ_Initialisation!P14</f>
        <v>50</v>
      </c>
      <c r="W8" s="34">
        <f>MJ_Initialisation!Q14</f>
        <v>60</v>
      </c>
      <c r="X8" s="34">
        <f>MJ_Initialisation!R14</f>
        <v>70</v>
      </c>
      <c r="Y8" s="34">
        <f>MJ_Initialisation!S14</f>
        <v>10</v>
      </c>
      <c r="Z8" s="34">
        <f>MJ_Initialisation!T14</f>
        <v>0</v>
      </c>
      <c r="AA8" s="34">
        <f>MJ_Initialisation!U14</f>
        <v>20</v>
      </c>
      <c r="AB8" s="34">
        <f>MJ_Initialisation!V14</f>
        <v>60</v>
      </c>
      <c r="AC8" s="34">
        <f>MJ_Initialisation!W14</f>
        <v>90</v>
      </c>
      <c r="AD8" s="34">
        <f>MJ_Initialisation!X14</f>
        <v>40</v>
      </c>
      <c r="AE8" s="34">
        <f>MJ_Initialisation!Y14</f>
        <v>20</v>
      </c>
      <c r="AF8" s="34">
        <f>MJ_Initialisation!Z14</f>
        <v>90</v>
      </c>
      <c r="AG8" s="34">
        <f>MJ_Initialisation!AA14</f>
        <v>50</v>
      </c>
      <c r="AH8" s="236"/>
      <c r="AI8" s="236"/>
      <c r="AJ8" s="236"/>
      <c r="AK8" s="236"/>
    </row>
    <row r="9" spans="1:93" x14ac:dyDescent="0.25">
      <c r="A9" s="30">
        <v>1000</v>
      </c>
      <c r="B9" s="102" t="s">
        <v>29</v>
      </c>
      <c r="C9" s="103" t="s">
        <v>53</v>
      </c>
      <c r="D9" s="119" t="s">
        <v>34</v>
      </c>
      <c r="E9" s="103" t="s">
        <v>53</v>
      </c>
      <c r="F9" s="119" t="s">
        <v>34</v>
      </c>
      <c r="G9" s="30">
        <v>3</v>
      </c>
      <c r="H9" s="124" t="s">
        <v>24</v>
      </c>
      <c r="I9" s="47"/>
      <c r="J9" s="223">
        <v>350</v>
      </c>
      <c r="K9" s="223">
        <v>350</v>
      </c>
      <c r="L9" s="223">
        <v>350</v>
      </c>
      <c r="M9" s="223">
        <v>350</v>
      </c>
      <c r="N9" s="223">
        <v>350</v>
      </c>
      <c r="O9" s="223">
        <v>350</v>
      </c>
      <c r="P9" s="223">
        <v>350</v>
      </c>
      <c r="Q9" s="223">
        <v>350</v>
      </c>
      <c r="R9" s="223">
        <v>350</v>
      </c>
      <c r="S9" s="223">
        <v>350</v>
      </c>
      <c r="T9" s="223">
        <v>350</v>
      </c>
      <c r="U9" s="223">
        <v>350</v>
      </c>
      <c r="V9" s="223">
        <v>350</v>
      </c>
      <c r="W9" s="223">
        <v>350</v>
      </c>
      <c r="X9" s="223">
        <v>350</v>
      </c>
      <c r="Y9" s="223">
        <v>350</v>
      </c>
      <c r="Z9" s="223">
        <v>350</v>
      </c>
      <c r="AA9" s="223">
        <v>350</v>
      </c>
      <c r="AB9" s="223">
        <v>350</v>
      </c>
      <c r="AC9" s="223">
        <v>350</v>
      </c>
      <c r="AD9" s="223">
        <v>350</v>
      </c>
      <c r="AE9" s="223">
        <v>350</v>
      </c>
      <c r="AF9" s="223">
        <v>350</v>
      </c>
      <c r="AG9" s="223">
        <v>350</v>
      </c>
      <c r="AH9" s="223"/>
      <c r="AI9" s="223"/>
      <c r="AJ9" s="223"/>
      <c r="AK9" s="223"/>
    </row>
    <row r="10" spans="1:93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53</v>
      </c>
      <c r="F10" s="119" t="s">
        <v>34</v>
      </c>
      <c r="G10" s="30">
        <v>3</v>
      </c>
      <c r="H10" s="98" t="s">
        <v>41</v>
      </c>
      <c r="I10" s="5"/>
      <c r="J10" s="94"/>
      <c r="K10" s="94"/>
      <c r="L10" s="94"/>
      <c r="M10" s="34">
        <f>MJ_Initialisation!G36</f>
        <v>60</v>
      </c>
      <c r="N10" s="34">
        <f>MJ_Initialisation!H36</f>
        <v>40</v>
      </c>
      <c r="O10" s="34">
        <f>MJ_Initialisation!I36</f>
        <v>60</v>
      </c>
      <c r="P10" s="34">
        <f>MJ_Initialisation!J36</f>
        <v>80</v>
      </c>
      <c r="Q10" s="34">
        <f>MJ_Initialisation!K36</f>
        <v>50</v>
      </c>
      <c r="R10" s="34">
        <f>MJ_Initialisation!L36</f>
        <v>10</v>
      </c>
      <c r="S10" s="34">
        <f>MJ_Initialisation!M36</f>
        <v>60</v>
      </c>
      <c r="T10" s="34">
        <f>MJ_Initialisation!N36</f>
        <v>100</v>
      </c>
      <c r="U10" s="34">
        <f>MJ_Initialisation!O36</f>
        <v>80</v>
      </c>
      <c r="V10" s="34">
        <f>MJ_Initialisation!P36</f>
        <v>50</v>
      </c>
      <c r="W10" s="34">
        <f>MJ_Initialisation!Q36</f>
        <v>60</v>
      </c>
      <c r="X10" s="34">
        <f>MJ_Initialisation!R36</f>
        <v>70</v>
      </c>
      <c r="Y10" s="34">
        <f>MJ_Initialisation!S36</f>
        <v>10</v>
      </c>
      <c r="Z10" s="34">
        <f>MJ_Initialisation!T36</f>
        <v>0</v>
      </c>
      <c r="AA10" s="34">
        <f>MJ_Initialisation!U36</f>
        <v>20</v>
      </c>
      <c r="AB10" s="34">
        <f>MJ_Initialisation!V36</f>
        <v>60</v>
      </c>
      <c r="AC10" s="34">
        <f>MJ_Initialisation!W36</f>
        <v>90</v>
      </c>
      <c r="AD10" s="34">
        <f>MJ_Initialisation!X36</f>
        <v>40</v>
      </c>
      <c r="AE10" s="34">
        <f>MJ_Initialisation!Y36</f>
        <v>20</v>
      </c>
      <c r="AF10" s="34">
        <f>MJ_Initialisation!Z36</f>
        <v>90</v>
      </c>
      <c r="AG10" s="34">
        <f>MJ_Initialisation!AA36</f>
        <v>50</v>
      </c>
      <c r="AH10" s="236"/>
      <c r="AI10" s="236"/>
      <c r="AJ10" s="236"/>
      <c r="AK10" s="236"/>
    </row>
    <row r="11" spans="1:93" ht="20.2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53</v>
      </c>
      <c r="F11" s="119" t="s">
        <v>34</v>
      </c>
      <c r="G11" s="30">
        <v>3</v>
      </c>
      <c r="H11" s="181" t="s">
        <v>27</v>
      </c>
      <c r="I11" s="47"/>
      <c r="J11" s="36">
        <f>MJ_Initialisation!D36</f>
        <v>360</v>
      </c>
      <c r="K11" s="36">
        <f>MJ_Initialisation!E36</f>
        <v>80</v>
      </c>
      <c r="L11" s="36">
        <f>MJ_Initialisation!F36</f>
        <v>20</v>
      </c>
      <c r="M11" s="9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222"/>
      <c r="AI11" s="222"/>
      <c r="AJ11" s="222"/>
      <c r="AK11" s="222"/>
    </row>
    <row r="12" spans="1:93" x14ac:dyDescent="0.25">
      <c r="A12" s="30">
        <v>1000</v>
      </c>
      <c r="B12" s="102" t="s">
        <v>29</v>
      </c>
      <c r="C12" s="103" t="s">
        <v>53</v>
      </c>
      <c r="D12" s="119" t="s">
        <v>34</v>
      </c>
      <c r="E12" s="103" t="s">
        <v>49</v>
      </c>
      <c r="F12" s="42" t="s">
        <v>48</v>
      </c>
      <c r="G12" s="30">
        <v>3</v>
      </c>
      <c r="H12" s="182" t="s">
        <v>57</v>
      </c>
      <c r="I12" s="93"/>
      <c r="J12" s="238">
        <f>MAX(J8+J9-J11-I7,0)</f>
        <v>0</v>
      </c>
      <c r="K12" s="238">
        <f>MAX(K8+K9-K11-J13,0)</f>
        <v>0</v>
      </c>
      <c r="L12" s="238">
        <f>MAX(L8+L9-L11-K13,0)</f>
        <v>0</v>
      </c>
      <c r="M12" s="238">
        <f t="shared" ref="M12:AG12" si="0">MAX(M8+M9-M11-L13,0)</f>
        <v>60</v>
      </c>
      <c r="N12" s="238">
        <f t="shared" si="0"/>
        <v>40</v>
      </c>
      <c r="O12" s="238">
        <f t="shared" si="0"/>
        <v>60</v>
      </c>
      <c r="P12" s="238">
        <f t="shared" si="0"/>
        <v>80</v>
      </c>
      <c r="Q12" s="238">
        <f t="shared" si="0"/>
        <v>50</v>
      </c>
      <c r="R12" s="238">
        <f t="shared" si="0"/>
        <v>10</v>
      </c>
      <c r="S12" s="238">
        <f t="shared" si="0"/>
        <v>60</v>
      </c>
      <c r="T12" s="238">
        <f t="shared" si="0"/>
        <v>100</v>
      </c>
      <c r="U12" s="238">
        <f t="shared" si="0"/>
        <v>80</v>
      </c>
      <c r="V12" s="238">
        <f t="shared" si="0"/>
        <v>50</v>
      </c>
      <c r="W12" s="238">
        <f t="shared" si="0"/>
        <v>60</v>
      </c>
      <c r="X12" s="238">
        <f t="shared" si="0"/>
        <v>70</v>
      </c>
      <c r="Y12" s="238">
        <f t="shared" si="0"/>
        <v>10</v>
      </c>
      <c r="Z12" s="238">
        <f t="shared" si="0"/>
        <v>0</v>
      </c>
      <c r="AA12" s="238">
        <f t="shared" si="0"/>
        <v>20</v>
      </c>
      <c r="AB12" s="238">
        <f t="shared" si="0"/>
        <v>60</v>
      </c>
      <c r="AC12" s="238">
        <f t="shared" si="0"/>
        <v>90</v>
      </c>
      <c r="AD12" s="238">
        <f t="shared" si="0"/>
        <v>40</v>
      </c>
      <c r="AE12" s="238">
        <f t="shared" si="0"/>
        <v>20</v>
      </c>
      <c r="AF12" s="238">
        <f t="shared" si="0"/>
        <v>90</v>
      </c>
      <c r="AG12" s="238">
        <f t="shared" si="0"/>
        <v>50</v>
      </c>
      <c r="AH12" s="238"/>
      <c r="AI12" s="238"/>
      <c r="AJ12" s="238"/>
      <c r="AK12" s="238"/>
    </row>
    <row r="13" spans="1:93" x14ac:dyDescent="0.25">
      <c r="A13" s="30">
        <v>1000</v>
      </c>
      <c r="B13" s="102" t="s">
        <v>29</v>
      </c>
      <c r="C13" s="103" t="s">
        <v>53</v>
      </c>
      <c r="D13" s="119" t="s">
        <v>34</v>
      </c>
      <c r="E13" s="103" t="s">
        <v>53</v>
      </c>
      <c r="F13" s="119" t="s">
        <v>34</v>
      </c>
      <c r="G13" s="30">
        <v>3</v>
      </c>
      <c r="H13" s="124" t="s">
        <v>37</v>
      </c>
      <c r="I13" s="5"/>
      <c r="J13" s="39">
        <f>I7+J12+J11-J8</f>
        <v>350</v>
      </c>
      <c r="K13" s="39">
        <f t="shared" ref="K13:AG13" si="1">J13+K12+K11-K8</f>
        <v>350</v>
      </c>
      <c r="L13" s="39">
        <f t="shared" si="1"/>
        <v>350</v>
      </c>
      <c r="M13" s="39">
        <f t="shared" si="1"/>
        <v>350</v>
      </c>
      <c r="N13" s="39">
        <f t="shared" si="1"/>
        <v>350</v>
      </c>
      <c r="O13" s="39">
        <f t="shared" si="1"/>
        <v>350</v>
      </c>
      <c r="P13" s="39">
        <f t="shared" si="1"/>
        <v>350</v>
      </c>
      <c r="Q13" s="39">
        <f t="shared" si="1"/>
        <v>350</v>
      </c>
      <c r="R13" s="39">
        <f t="shared" si="1"/>
        <v>350</v>
      </c>
      <c r="S13" s="39">
        <f t="shared" si="1"/>
        <v>350</v>
      </c>
      <c r="T13" s="39">
        <f t="shared" si="1"/>
        <v>350</v>
      </c>
      <c r="U13" s="39">
        <f t="shared" si="1"/>
        <v>350</v>
      </c>
      <c r="V13" s="39">
        <f t="shared" si="1"/>
        <v>350</v>
      </c>
      <c r="W13" s="39">
        <f t="shared" si="1"/>
        <v>350</v>
      </c>
      <c r="X13" s="39">
        <f t="shared" si="1"/>
        <v>350</v>
      </c>
      <c r="Y13" s="39">
        <f t="shared" si="1"/>
        <v>350</v>
      </c>
      <c r="Z13" s="39">
        <f t="shared" si="1"/>
        <v>350</v>
      </c>
      <c r="AA13" s="39">
        <f t="shared" si="1"/>
        <v>350</v>
      </c>
      <c r="AB13" s="39">
        <f t="shared" si="1"/>
        <v>350</v>
      </c>
      <c r="AC13" s="39">
        <f t="shared" si="1"/>
        <v>350</v>
      </c>
      <c r="AD13" s="39">
        <f t="shared" si="1"/>
        <v>350</v>
      </c>
      <c r="AE13" s="39">
        <f t="shared" si="1"/>
        <v>350</v>
      </c>
      <c r="AF13" s="39">
        <f t="shared" si="1"/>
        <v>350</v>
      </c>
      <c r="AG13" s="39">
        <f t="shared" si="1"/>
        <v>350</v>
      </c>
      <c r="AH13" s="238"/>
      <c r="AI13" s="238"/>
      <c r="AJ13" s="238"/>
      <c r="AK13" s="238"/>
    </row>
    <row r="14" spans="1:93" ht="7.5" customHeight="1" x14ac:dyDescent="0.25">
      <c r="A14" s="178"/>
      <c r="B14" s="178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1"/>
      <c r="AD14" s="71"/>
      <c r="AE14" s="71"/>
      <c r="AF14" s="73"/>
      <c r="AG14" s="183"/>
      <c r="AH14" s="269"/>
      <c r="AI14" s="269"/>
      <c r="AJ14" s="269"/>
      <c r="AK14" s="269"/>
    </row>
    <row r="15" spans="1:93" ht="18" customHeight="1" x14ac:dyDescent="0.25">
      <c r="A15" s="30">
        <v>2000</v>
      </c>
      <c r="B15" s="121" t="s">
        <v>30</v>
      </c>
      <c r="C15" s="103" t="s">
        <v>53</v>
      </c>
      <c r="D15" s="119" t="s">
        <v>34</v>
      </c>
      <c r="E15" s="103" t="s">
        <v>53</v>
      </c>
      <c r="F15" s="119" t="s">
        <v>34</v>
      </c>
      <c r="G15" s="147">
        <v>3</v>
      </c>
      <c r="H15" s="168" t="s">
        <v>115</v>
      </c>
      <c r="I15" s="169"/>
      <c r="J15" s="263">
        <f>J18</f>
        <v>60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</row>
    <row r="16" spans="1:93" ht="18" customHeight="1" x14ac:dyDescent="0.25">
      <c r="A16" s="30">
        <v>2000</v>
      </c>
      <c r="B16" s="121" t="s">
        <v>30</v>
      </c>
      <c r="C16" s="103" t="s">
        <v>49</v>
      </c>
      <c r="D16" s="42" t="s">
        <v>48</v>
      </c>
      <c r="E16" s="103" t="s">
        <v>53</v>
      </c>
      <c r="F16" s="119" t="s">
        <v>34</v>
      </c>
      <c r="G16" s="30">
        <v>3</v>
      </c>
      <c r="H16" s="168" t="s">
        <v>116</v>
      </c>
      <c r="I16" s="169"/>
      <c r="J16" s="263">
        <f>J21</f>
        <v>410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</row>
    <row r="17" spans="1:37" ht="18" customHeight="1" x14ac:dyDescent="0.25">
      <c r="A17" s="30">
        <v>2000</v>
      </c>
      <c r="B17" s="121" t="s">
        <v>30</v>
      </c>
      <c r="C17" s="103" t="s">
        <v>53</v>
      </c>
      <c r="D17" s="119" t="s">
        <v>34</v>
      </c>
      <c r="E17" s="103" t="s">
        <v>53</v>
      </c>
      <c r="F17" s="119" t="s">
        <v>34</v>
      </c>
      <c r="G17" s="30">
        <v>3</v>
      </c>
      <c r="H17" s="168" t="s">
        <v>120</v>
      </c>
      <c r="I17" s="180">
        <f>MJ_Initialisation!AF15</f>
        <v>0</v>
      </c>
      <c r="J17" s="293">
        <f>I17+J16-J15</f>
        <v>350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</row>
    <row r="18" spans="1:37" x14ac:dyDescent="0.25">
      <c r="A18" s="30">
        <v>2000</v>
      </c>
      <c r="B18" s="121" t="s">
        <v>30</v>
      </c>
      <c r="C18" s="103" t="s">
        <v>53</v>
      </c>
      <c r="D18" s="119" t="s">
        <v>34</v>
      </c>
      <c r="E18" s="103" t="s">
        <v>53</v>
      </c>
      <c r="F18" s="119" t="s">
        <v>34</v>
      </c>
      <c r="G18" s="147">
        <v>3</v>
      </c>
      <c r="H18" s="98" t="s">
        <v>26</v>
      </c>
      <c r="I18" s="93"/>
      <c r="J18" s="34">
        <f>MJ_Initialisation!D15</f>
        <v>60</v>
      </c>
      <c r="K18" s="34">
        <f>MJ_Initialisation!E15</f>
        <v>80</v>
      </c>
      <c r="L18" s="34">
        <f>MJ_Initialisation!F15</f>
        <v>10</v>
      </c>
      <c r="M18" s="34">
        <f>MJ_Initialisation!G15</f>
        <v>60</v>
      </c>
      <c r="N18" s="34">
        <f>MJ_Initialisation!H15</f>
        <v>40</v>
      </c>
      <c r="O18" s="34">
        <f>MJ_Initialisation!I15</f>
        <v>100</v>
      </c>
      <c r="P18" s="34">
        <f>MJ_Initialisation!J15</f>
        <v>90</v>
      </c>
      <c r="Q18" s="34">
        <f>MJ_Initialisation!K15</f>
        <v>100</v>
      </c>
      <c r="R18" s="34">
        <f>MJ_Initialisation!L15</f>
        <v>30</v>
      </c>
      <c r="S18" s="34">
        <f>MJ_Initialisation!M15</f>
        <v>60</v>
      </c>
      <c r="T18" s="34">
        <f>MJ_Initialisation!N15</f>
        <v>80</v>
      </c>
      <c r="U18" s="34">
        <f>MJ_Initialisation!O15</f>
        <v>70</v>
      </c>
      <c r="V18" s="34">
        <f>MJ_Initialisation!P15</f>
        <v>0</v>
      </c>
      <c r="W18" s="34">
        <f>MJ_Initialisation!Q15</f>
        <v>80</v>
      </c>
      <c r="X18" s="34">
        <f>MJ_Initialisation!R15</f>
        <v>10</v>
      </c>
      <c r="Y18" s="34">
        <f>MJ_Initialisation!S15</f>
        <v>80</v>
      </c>
      <c r="Z18" s="34">
        <f>MJ_Initialisation!T15</f>
        <v>100</v>
      </c>
      <c r="AA18" s="34">
        <f>MJ_Initialisation!U15</f>
        <v>20</v>
      </c>
      <c r="AB18" s="34">
        <f>MJ_Initialisation!V15</f>
        <v>90</v>
      </c>
      <c r="AC18" s="34">
        <f>MJ_Initialisation!W15</f>
        <v>90</v>
      </c>
      <c r="AD18" s="34">
        <f>MJ_Initialisation!X15</f>
        <v>100</v>
      </c>
      <c r="AE18" s="34">
        <f>MJ_Initialisation!Y15</f>
        <v>80</v>
      </c>
      <c r="AF18" s="34">
        <f>MJ_Initialisation!Z15</f>
        <v>90</v>
      </c>
      <c r="AG18" s="34">
        <f>MJ_Initialisation!AA15</f>
        <v>20</v>
      </c>
      <c r="AH18" s="236"/>
      <c r="AI18" s="236"/>
      <c r="AJ18" s="236"/>
      <c r="AK18" s="236"/>
    </row>
    <row r="19" spans="1:37" x14ac:dyDescent="0.25">
      <c r="A19" s="30">
        <v>2000</v>
      </c>
      <c r="B19" s="121" t="s">
        <v>30</v>
      </c>
      <c r="C19" s="103" t="s">
        <v>53</v>
      </c>
      <c r="D19" s="119" t="s">
        <v>34</v>
      </c>
      <c r="E19" s="103" t="s">
        <v>53</v>
      </c>
      <c r="F19" s="119" t="s">
        <v>34</v>
      </c>
      <c r="G19" s="30">
        <v>3</v>
      </c>
      <c r="H19" s="124" t="s">
        <v>24</v>
      </c>
      <c r="I19" s="47"/>
      <c r="J19" s="223">
        <v>350</v>
      </c>
      <c r="K19" s="223">
        <v>350</v>
      </c>
      <c r="L19" s="223">
        <v>350</v>
      </c>
      <c r="M19" s="223">
        <v>350</v>
      </c>
      <c r="N19" s="223">
        <v>350</v>
      </c>
      <c r="O19" s="223">
        <v>350</v>
      </c>
      <c r="P19" s="223">
        <v>350</v>
      </c>
      <c r="Q19" s="223">
        <v>350</v>
      </c>
      <c r="R19" s="223">
        <v>350</v>
      </c>
      <c r="S19" s="223">
        <v>350</v>
      </c>
      <c r="T19" s="223">
        <v>350</v>
      </c>
      <c r="U19" s="223">
        <v>350</v>
      </c>
      <c r="V19" s="223">
        <v>350</v>
      </c>
      <c r="W19" s="223">
        <v>350</v>
      </c>
      <c r="X19" s="223">
        <v>350</v>
      </c>
      <c r="Y19" s="223">
        <v>350</v>
      </c>
      <c r="Z19" s="223">
        <v>350</v>
      </c>
      <c r="AA19" s="223">
        <v>350</v>
      </c>
      <c r="AB19" s="223">
        <v>350</v>
      </c>
      <c r="AC19" s="223">
        <v>350</v>
      </c>
      <c r="AD19" s="223">
        <v>350</v>
      </c>
      <c r="AE19" s="223">
        <v>350</v>
      </c>
      <c r="AF19" s="223">
        <v>350</v>
      </c>
      <c r="AG19" s="223">
        <v>350</v>
      </c>
      <c r="AH19" s="223"/>
      <c r="AI19" s="223"/>
      <c r="AJ19" s="223"/>
      <c r="AK19" s="223"/>
    </row>
    <row r="20" spans="1:37" x14ac:dyDescent="0.25">
      <c r="A20" s="30">
        <v>2000</v>
      </c>
      <c r="B20" s="121" t="s">
        <v>30</v>
      </c>
      <c r="C20" s="103" t="s">
        <v>49</v>
      </c>
      <c r="D20" s="42" t="s">
        <v>48</v>
      </c>
      <c r="E20" s="103" t="s">
        <v>53</v>
      </c>
      <c r="F20" s="119" t="s">
        <v>34</v>
      </c>
      <c r="G20" s="30">
        <v>3</v>
      </c>
      <c r="H20" s="98" t="s">
        <v>41</v>
      </c>
      <c r="I20" s="5"/>
      <c r="J20" s="94"/>
      <c r="K20" s="94"/>
      <c r="L20" s="94"/>
      <c r="M20" s="34">
        <f>MJ_Initialisation!G38</f>
        <v>60</v>
      </c>
      <c r="N20" s="34">
        <f>MJ_Initialisation!H38</f>
        <v>40</v>
      </c>
      <c r="O20" s="34">
        <f>MJ_Initialisation!I38</f>
        <v>100</v>
      </c>
      <c r="P20" s="34">
        <f>MJ_Initialisation!J38</f>
        <v>90</v>
      </c>
      <c r="Q20" s="34">
        <f>MJ_Initialisation!K38</f>
        <v>100</v>
      </c>
      <c r="R20" s="34">
        <f>MJ_Initialisation!L38</f>
        <v>30</v>
      </c>
      <c r="S20" s="34">
        <f>MJ_Initialisation!M38</f>
        <v>60</v>
      </c>
      <c r="T20" s="34">
        <f>MJ_Initialisation!N38</f>
        <v>80</v>
      </c>
      <c r="U20" s="34">
        <f>MJ_Initialisation!O38</f>
        <v>70</v>
      </c>
      <c r="V20" s="34">
        <f>MJ_Initialisation!P38</f>
        <v>0</v>
      </c>
      <c r="W20" s="34">
        <f>MJ_Initialisation!Q38</f>
        <v>80</v>
      </c>
      <c r="X20" s="34">
        <f>MJ_Initialisation!R38</f>
        <v>10</v>
      </c>
      <c r="Y20" s="34">
        <f>MJ_Initialisation!S38</f>
        <v>80</v>
      </c>
      <c r="Z20" s="34">
        <f>MJ_Initialisation!T38</f>
        <v>100</v>
      </c>
      <c r="AA20" s="34">
        <f>MJ_Initialisation!U38</f>
        <v>20</v>
      </c>
      <c r="AB20" s="34">
        <f>MJ_Initialisation!V38</f>
        <v>90</v>
      </c>
      <c r="AC20" s="34">
        <f>MJ_Initialisation!W38</f>
        <v>90</v>
      </c>
      <c r="AD20" s="34">
        <f>MJ_Initialisation!X38</f>
        <v>100</v>
      </c>
      <c r="AE20" s="34">
        <f>MJ_Initialisation!Y38</f>
        <v>80</v>
      </c>
      <c r="AF20" s="34">
        <f>MJ_Initialisation!Z38</f>
        <v>90</v>
      </c>
      <c r="AG20" s="34">
        <f>MJ_Initialisation!AA38</f>
        <v>20</v>
      </c>
      <c r="AH20" s="236"/>
      <c r="AI20" s="236"/>
      <c r="AJ20" s="236"/>
      <c r="AK20" s="236"/>
    </row>
    <row r="21" spans="1:37" ht="25.5" customHeight="1" x14ac:dyDescent="0.25">
      <c r="A21" s="30">
        <v>2000</v>
      </c>
      <c r="B21" s="121" t="s">
        <v>30</v>
      </c>
      <c r="C21" s="103" t="s">
        <v>49</v>
      </c>
      <c r="D21" s="42" t="s">
        <v>48</v>
      </c>
      <c r="E21" s="103" t="s">
        <v>53</v>
      </c>
      <c r="F21" s="119" t="s">
        <v>34</v>
      </c>
      <c r="G21" s="30">
        <v>3</v>
      </c>
      <c r="H21" s="181" t="s">
        <v>27</v>
      </c>
      <c r="I21" s="47"/>
      <c r="J21" s="36">
        <f>MJ_Initialisation!D38</f>
        <v>410</v>
      </c>
      <c r="K21" s="36">
        <f>MJ_Initialisation!E38</f>
        <v>80</v>
      </c>
      <c r="L21" s="36">
        <f>MJ_Initialisation!F38</f>
        <v>10</v>
      </c>
      <c r="M21" s="9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222"/>
      <c r="AI21" s="222"/>
      <c r="AJ21" s="222"/>
      <c r="AK21" s="222"/>
    </row>
    <row r="22" spans="1:37" x14ac:dyDescent="0.25">
      <c r="A22" s="30">
        <v>2000</v>
      </c>
      <c r="B22" s="121" t="s">
        <v>30</v>
      </c>
      <c r="C22" s="103" t="s">
        <v>53</v>
      </c>
      <c r="D22" s="119" t="s">
        <v>34</v>
      </c>
      <c r="E22" s="103" t="s">
        <v>49</v>
      </c>
      <c r="F22" s="42" t="s">
        <v>48</v>
      </c>
      <c r="G22" s="30">
        <v>3</v>
      </c>
      <c r="H22" s="182" t="s">
        <v>57</v>
      </c>
      <c r="I22" s="93"/>
      <c r="J22" s="238">
        <f>MAX(J18+J19-J21-I17,0)</f>
        <v>0</v>
      </c>
      <c r="K22" s="238">
        <f>MAX(K18+K19-K21-J23,0)</f>
        <v>0</v>
      </c>
      <c r="L22" s="238">
        <f t="shared" ref="L22:AG22" si="2">MAX(L18+L19-L21-K23,0)</f>
        <v>0</v>
      </c>
      <c r="M22" s="238">
        <f t="shared" si="2"/>
        <v>60</v>
      </c>
      <c r="N22" s="238">
        <f t="shared" si="2"/>
        <v>40</v>
      </c>
      <c r="O22" s="238">
        <f t="shared" si="2"/>
        <v>100</v>
      </c>
      <c r="P22" s="238">
        <f t="shared" si="2"/>
        <v>90</v>
      </c>
      <c r="Q22" s="238">
        <f t="shared" si="2"/>
        <v>100</v>
      </c>
      <c r="R22" s="238">
        <f t="shared" si="2"/>
        <v>30</v>
      </c>
      <c r="S22" s="238">
        <f t="shared" si="2"/>
        <v>60</v>
      </c>
      <c r="T22" s="238">
        <f t="shared" si="2"/>
        <v>80</v>
      </c>
      <c r="U22" s="238">
        <f t="shared" si="2"/>
        <v>70</v>
      </c>
      <c r="V22" s="238">
        <f t="shared" si="2"/>
        <v>0</v>
      </c>
      <c r="W22" s="238">
        <f t="shared" si="2"/>
        <v>80</v>
      </c>
      <c r="X22" s="238">
        <f t="shared" si="2"/>
        <v>10</v>
      </c>
      <c r="Y22" s="238">
        <f t="shared" si="2"/>
        <v>80</v>
      </c>
      <c r="Z22" s="238">
        <f t="shared" si="2"/>
        <v>100</v>
      </c>
      <c r="AA22" s="238">
        <f t="shared" si="2"/>
        <v>20</v>
      </c>
      <c r="AB22" s="238">
        <f t="shared" si="2"/>
        <v>90</v>
      </c>
      <c r="AC22" s="238">
        <f t="shared" si="2"/>
        <v>90</v>
      </c>
      <c r="AD22" s="238">
        <f t="shared" si="2"/>
        <v>100</v>
      </c>
      <c r="AE22" s="238">
        <f t="shared" si="2"/>
        <v>80</v>
      </c>
      <c r="AF22" s="238">
        <f t="shared" si="2"/>
        <v>90</v>
      </c>
      <c r="AG22" s="238">
        <f t="shared" si="2"/>
        <v>20</v>
      </c>
      <c r="AH22" s="238"/>
      <c r="AI22" s="238"/>
      <c r="AJ22" s="238"/>
      <c r="AK22" s="238"/>
    </row>
    <row r="23" spans="1:37" x14ac:dyDescent="0.25">
      <c r="A23" s="30">
        <v>2000</v>
      </c>
      <c r="B23" s="121" t="s">
        <v>30</v>
      </c>
      <c r="C23" s="103" t="s">
        <v>53</v>
      </c>
      <c r="D23" s="119" t="s">
        <v>34</v>
      </c>
      <c r="E23" s="103" t="s">
        <v>53</v>
      </c>
      <c r="F23" s="119" t="s">
        <v>34</v>
      </c>
      <c r="G23" s="30">
        <v>3</v>
      </c>
      <c r="H23" s="124" t="s">
        <v>37</v>
      </c>
      <c r="I23" s="5"/>
      <c r="J23" s="39">
        <f>I17+J22+J21-J18</f>
        <v>350</v>
      </c>
      <c r="K23" s="39">
        <f t="shared" ref="K23:AG23" si="3">J23+K22+K21-K18</f>
        <v>350</v>
      </c>
      <c r="L23" s="39">
        <f t="shared" si="3"/>
        <v>350</v>
      </c>
      <c r="M23" s="39">
        <f t="shared" si="3"/>
        <v>350</v>
      </c>
      <c r="N23" s="39">
        <f t="shared" si="3"/>
        <v>350</v>
      </c>
      <c r="O23" s="39">
        <f t="shared" si="3"/>
        <v>350</v>
      </c>
      <c r="P23" s="39">
        <f t="shared" si="3"/>
        <v>350</v>
      </c>
      <c r="Q23" s="39">
        <f t="shared" si="3"/>
        <v>350</v>
      </c>
      <c r="R23" s="39">
        <f t="shared" si="3"/>
        <v>350</v>
      </c>
      <c r="S23" s="39">
        <f t="shared" si="3"/>
        <v>350</v>
      </c>
      <c r="T23" s="39">
        <f t="shared" si="3"/>
        <v>350</v>
      </c>
      <c r="U23" s="39">
        <f t="shared" si="3"/>
        <v>350</v>
      </c>
      <c r="V23" s="39">
        <f t="shared" si="3"/>
        <v>350</v>
      </c>
      <c r="W23" s="39">
        <f t="shared" si="3"/>
        <v>350</v>
      </c>
      <c r="X23" s="39">
        <f t="shared" si="3"/>
        <v>350</v>
      </c>
      <c r="Y23" s="39">
        <f t="shared" si="3"/>
        <v>350</v>
      </c>
      <c r="Z23" s="39">
        <f t="shared" si="3"/>
        <v>350</v>
      </c>
      <c r="AA23" s="39">
        <f t="shared" si="3"/>
        <v>350</v>
      </c>
      <c r="AB23" s="39">
        <f t="shared" si="3"/>
        <v>350</v>
      </c>
      <c r="AC23" s="39">
        <f t="shared" si="3"/>
        <v>350</v>
      </c>
      <c r="AD23" s="39">
        <f t="shared" si="3"/>
        <v>350</v>
      </c>
      <c r="AE23" s="39">
        <f t="shared" si="3"/>
        <v>350</v>
      </c>
      <c r="AF23" s="39">
        <f t="shared" si="3"/>
        <v>350</v>
      </c>
      <c r="AG23" s="39">
        <f t="shared" si="3"/>
        <v>350</v>
      </c>
      <c r="AH23" s="238"/>
      <c r="AI23" s="238"/>
      <c r="AJ23" s="238"/>
      <c r="AK23" s="238"/>
    </row>
    <row r="24" spans="1:37" x14ac:dyDescent="0.25">
      <c r="A24" s="79"/>
      <c r="B24" s="79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1"/>
      <c r="AD24" s="71"/>
      <c r="AE24" s="71"/>
      <c r="AF24" s="73"/>
      <c r="AG24" s="179"/>
      <c r="AH24" s="268"/>
      <c r="AI24" s="268"/>
      <c r="AJ24" s="268"/>
      <c r="AK24" s="268"/>
    </row>
    <row r="25" spans="1:37" s="23" customFormat="1" x14ac:dyDescent="0.25">
      <c r="A25" s="30">
        <v>1000</v>
      </c>
      <c r="B25" s="102" t="s">
        <v>29</v>
      </c>
      <c r="C25" s="103" t="s">
        <v>49</v>
      </c>
      <c r="D25" s="42" t="s">
        <v>48</v>
      </c>
      <c r="E25" s="103" t="s">
        <v>53</v>
      </c>
      <c r="F25" s="119" t="s">
        <v>34</v>
      </c>
      <c r="G25" s="30">
        <v>3</v>
      </c>
      <c r="H25" s="98" t="s">
        <v>56</v>
      </c>
      <c r="I25" s="93"/>
      <c r="J25" s="93"/>
      <c r="K25" s="93"/>
      <c r="L25" s="93"/>
      <c r="M25" s="34">
        <f ca="1">PA_CDC!I32</f>
        <v>60</v>
      </c>
      <c r="N25" s="34">
        <f ca="1">PA_CDC!J32</f>
        <v>40</v>
      </c>
      <c r="O25" s="34">
        <f ca="1">PA_CDC!K32</f>
        <v>60</v>
      </c>
      <c r="P25" s="34">
        <f ca="1">PA_CDC!L32</f>
        <v>80</v>
      </c>
      <c r="Q25" s="34">
        <f ca="1">PA_CDC!M32</f>
        <v>50</v>
      </c>
      <c r="R25" s="34">
        <f ca="1">PA_CDC!N32</f>
        <v>10</v>
      </c>
      <c r="S25" s="34">
        <f ca="1">PA_CDC!O32</f>
        <v>60</v>
      </c>
      <c r="T25" s="34">
        <f ca="1">PA_CDC!P32</f>
        <v>100</v>
      </c>
      <c r="U25" s="34">
        <f ca="1">PA_CDC!Q32</f>
        <v>80</v>
      </c>
      <c r="V25" s="34">
        <f ca="1">PA_CDC!R32</f>
        <v>50</v>
      </c>
      <c r="W25" s="34">
        <f ca="1">PA_CDC!S32</f>
        <v>60</v>
      </c>
      <c r="X25" s="34">
        <f ca="1">PA_CDC!T32</f>
        <v>70</v>
      </c>
      <c r="Y25" s="34">
        <f ca="1">PA_CDC!U32</f>
        <v>10</v>
      </c>
      <c r="Z25" s="34">
        <f ca="1">PA_CDC!V32</f>
        <v>0</v>
      </c>
      <c r="AA25" s="34">
        <f ca="1">PA_CDC!W32</f>
        <v>20</v>
      </c>
      <c r="AB25" s="34">
        <f ca="1">PA_CDC!X32</f>
        <v>60</v>
      </c>
      <c r="AC25" s="34">
        <f ca="1">PA_CDC!Y32</f>
        <v>90</v>
      </c>
      <c r="AD25" s="34">
        <f ca="1">PA_CDC!Z32</f>
        <v>40</v>
      </c>
      <c r="AE25" s="34">
        <f ca="1">PA_CDC!AA32</f>
        <v>20</v>
      </c>
      <c r="AF25" s="34">
        <f ca="1">PA_CDC!AB32</f>
        <v>90</v>
      </c>
      <c r="AG25" s="34">
        <f ca="1">PA_CDC!AC32</f>
        <v>50</v>
      </c>
      <c r="AH25" s="236"/>
      <c r="AI25" s="236"/>
      <c r="AJ25" s="236"/>
      <c r="AK25" s="236"/>
    </row>
    <row r="26" spans="1:37" s="23" customFormat="1" x14ac:dyDescent="0.25">
      <c r="A26" s="30">
        <v>2000</v>
      </c>
      <c r="B26" s="121" t="s">
        <v>30</v>
      </c>
      <c r="C26" s="103" t="s">
        <v>49</v>
      </c>
      <c r="D26" s="42" t="s">
        <v>48</v>
      </c>
      <c r="E26" s="103" t="s">
        <v>53</v>
      </c>
      <c r="F26" s="119" t="s">
        <v>34</v>
      </c>
      <c r="G26" s="147">
        <v>3</v>
      </c>
      <c r="H26" s="98" t="s">
        <v>56</v>
      </c>
      <c r="I26" s="93"/>
      <c r="J26" s="93"/>
      <c r="K26" s="93"/>
      <c r="L26" s="93"/>
      <c r="M26" s="34">
        <f ca="1">PA_CDC!I61</f>
        <v>60</v>
      </c>
      <c r="N26" s="34">
        <f ca="1">PA_CDC!J61</f>
        <v>40</v>
      </c>
      <c r="O26" s="34">
        <f ca="1">PA_CDC!K61</f>
        <v>100</v>
      </c>
      <c r="P26" s="34">
        <f ca="1">PA_CDC!L61</f>
        <v>90</v>
      </c>
      <c r="Q26" s="34">
        <f ca="1">PA_CDC!M61</f>
        <v>100</v>
      </c>
      <c r="R26" s="34">
        <f ca="1">PA_CDC!N61</f>
        <v>30</v>
      </c>
      <c r="S26" s="34">
        <f ca="1">PA_CDC!O61</f>
        <v>60</v>
      </c>
      <c r="T26" s="34">
        <f ca="1">PA_CDC!P61</f>
        <v>80</v>
      </c>
      <c r="U26" s="34">
        <f ca="1">PA_CDC!Q61</f>
        <v>70</v>
      </c>
      <c r="V26" s="34">
        <f ca="1">PA_CDC!R61</f>
        <v>0</v>
      </c>
      <c r="W26" s="34">
        <f ca="1">PA_CDC!S61</f>
        <v>80</v>
      </c>
      <c r="X26" s="34">
        <f ca="1">PA_CDC!T61</f>
        <v>10</v>
      </c>
      <c r="Y26" s="34">
        <f ca="1">PA_CDC!U61</f>
        <v>80</v>
      </c>
      <c r="Z26" s="34">
        <f ca="1">PA_CDC!V61</f>
        <v>100</v>
      </c>
      <c r="AA26" s="34">
        <f ca="1">PA_CDC!W61</f>
        <v>20</v>
      </c>
      <c r="AB26" s="34">
        <f ca="1">PA_CDC!X61</f>
        <v>90</v>
      </c>
      <c r="AC26" s="34">
        <f ca="1">PA_CDC!Y61</f>
        <v>90</v>
      </c>
      <c r="AD26" s="34">
        <f ca="1">PA_CDC!Z61</f>
        <v>100</v>
      </c>
      <c r="AE26" s="34">
        <f ca="1">PA_CDC!AA61</f>
        <v>80</v>
      </c>
      <c r="AF26" s="34">
        <f ca="1">PA_CDC!AB61</f>
        <v>90</v>
      </c>
      <c r="AG26" s="34">
        <f ca="1">PA_CDC!AC61</f>
        <v>20</v>
      </c>
      <c r="AH26" s="236"/>
      <c r="AI26" s="236"/>
      <c r="AJ26" s="236"/>
      <c r="AK26" s="236"/>
    </row>
    <row r="29" spans="1:37" x14ac:dyDescent="0.25">
      <c r="K29" s="296"/>
      <c r="L29" s="296"/>
    </row>
    <row r="30" spans="1:37" x14ac:dyDescent="0.25">
      <c r="K30" s="296"/>
    </row>
  </sheetData>
  <conditionalFormatting sqref="J13:AK13">
    <cfRule type="expression" dxfId="16" priority="2">
      <formula>J13&lt;J9</formula>
    </cfRule>
  </conditionalFormatting>
  <conditionalFormatting sqref="J23:AK23">
    <cfRule type="expression" dxfId="15" priority="1">
      <formula>J23&lt;J19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1"/>
  <dimension ref="A1:CQ689"/>
  <sheetViews>
    <sheetView topLeftCell="A26" zoomScale="55" zoomScaleNormal="55" workbookViewId="0">
      <selection activeCell="K56" activeCellId="3" sqref="K19:AF20 K33:AF34 K45:AF46 K55:AF56"/>
    </sheetView>
  </sheetViews>
  <sheetFormatPr baseColWidth="10" defaultColWidth="11.42578125" defaultRowHeight="15" x14ac:dyDescent="0.25"/>
  <cols>
    <col min="1" max="1" width="11.85546875" style="25" customWidth="1"/>
    <col min="2" max="3" width="11.42578125" style="24"/>
    <col min="4" max="4" width="10.140625" customWidth="1"/>
    <col min="5" max="5" width="11.42578125" style="5"/>
    <col min="6" max="6" width="9.7109375" customWidth="1"/>
    <col min="7" max="7" width="25.42578125" style="5" customWidth="1"/>
    <col min="8" max="8" width="6.85546875" style="24" customWidth="1"/>
    <col min="9" max="9" width="7.7109375" style="24" customWidth="1"/>
    <col min="10" max="10" width="9.28515625" style="24" customWidth="1"/>
    <col min="11" max="11" width="6.5703125" style="24" customWidth="1"/>
    <col min="12" max="35" width="6.140625" style="24" customWidth="1"/>
    <col min="36" max="36" width="7.7109375" style="24" customWidth="1"/>
    <col min="37" max="38" width="11.42578125" style="234"/>
    <col min="39" max="16384" width="11.42578125" style="24"/>
  </cols>
  <sheetData>
    <row r="1" spans="1:95" s="234" customFormat="1" x14ac:dyDescent="0.25">
      <c r="A1" s="25"/>
      <c r="D1"/>
      <c r="E1" s="162"/>
      <c r="F1"/>
      <c r="G1" s="162"/>
      <c r="I1" s="234">
        <f ca="1">SUM(I40:I41)</f>
        <v>520</v>
      </c>
      <c r="J1" s="234">
        <f t="shared" ref="J1:AC1" ca="1" si="0">SUM(J40:J41)</f>
        <v>320</v>
      </c>
      <c r="K1" s="234">
        <f ca="1">SUM(K40:K41)</f>
        <v>310</v>
      </c>
      <c r="L1" s="234">
        <f t="shared" ca="1" si="0"/>
        <v>210</v>
      </c>
      <c r="M1" s="234">
        <f t="shared" ca="1" si="0"/>
        <v>300</v>
      </c>
      <c r="N1" s="234">
        <f t="shared" ca="1" si="0"/>
        <v>330</v>
      </c>
      <c r="O1" s="234">
        <f t="shared" ca="1" si="0"/>
        <v>380</v>
      </c>
      <c r="P1" s="234">
        <f t="shared" ca="1" si="0"/>
        <v>270</v>
      </c>
      <c r="Q1" s="234">
        <f t="shared" ca="1" si="0"/>
        <v>170</v>
      </c>
      <c r="R1" s="234">
        <f t="shared" ca="1" si="0"/>
        <v>120</v>
      </c>
      <c r="S1" s="234">
        <f t="shared" ca="1" si="0"/>
        <v>100</v>
      </c>
      <c r="T1" s="234">
        <f t="shared" ca="1" si="0"/>
        <v>220</v>
      </c>
      <c r="U1" s="234">
        <f t="shared" ca="1" si="0"/>
        <v>300</v>
      </c>
      <c r="V1" s="234">
        <f t="shared" ca="1" si="0"/>
        <v>290</v>
      </c>
      <c r="W1" s="234">
        <f t="shared" ca="1" si="0"/>
        <v>260</v>
      </c>
      <c r="X1" s="234">
        <f t="shared" ca="1" si="0"/>
        <v>80</v>
      </c>
      <c r="Y1" s="234">
        <f t="shared" ca="1" si="0"/>
        <v>280</v>
      </c>
      <c r="Z1" s="234">
        <f t="shared" ca="1" si="0"/>
        <v>150</v>
      </c>
      <c r="AA1" s="234">
        <f t="shared" ca="1" si="0"/>
        <v>360</v>
      </c>
      <c r="AB1" s="234">
        <f t="shared" ca="1" si="0"/>
        <v>280</v>
      </c>
      <c r="AC1" s="234">
        <f t="shared" ca="1" si="0"/>
        <v>280</v>
      </c>
    </row>
    <row r="2" spans="1:95" ht="15.75" thickBot="1" x14ac:dyDescent="0.3">
      <c r="D2" s="24"/>
      <c r="E2" s="23"/>
      <c r="F2" s="24"/>
      <c r="G2" s="23"/>
      <c r="I2" s="24">
        <f ca="1">SUM(I27:I29)</f>
        <v>510</v>
      </c>
      <c r="J2" s="234">
        <f t="shared" ref="J2:AC2" ca="1" si="1">SUM(J27:J29)</f>
        <v>110</v>
      </c>
      <c r="K2" s="234">
        <f t="shared" ca="1" si="1"/>
        <v>380</v>
      </c>
      <c r="L2" s="234">
        <f t="shared" ca="1" si="1"/>
        <v>140</v>
      </c>
      <c r="M2" s="234">
        <f t="shared" ca="1" si="1"/>
        <v>180</v>
      </c>
      <c r="N2" s="234">
        <f t="shared" ca="1" si="1"/>
        <v>180</v>
      </c>
      <c r="O2" s="234">
        <f t="shared" ca="1" si="1"/>
        <v>400</v>
      </c>
      <c r="P2" s="234">
        <f t="shared" ca="1" si="1"/>
        <v>300</v>
      </c>
      <c r="Q2" s="234">
        <f t="shared" ca="1" si="1"/>
        <v>330</v>
      </c>
      <c r="R2" s="234">
        <f t="shared" ca="1" si="1"/>
        <v>140</v>
      </c>
      <c r="S2" s="234">
        <f t="shared" ca="1" si="1"/>
        <v>320</v>
      </c>
      <c r="T2" s="234">
        <f t="shared" ca="1" si="1"/>
        <v>240</v>
      </c>
      <c r="U2" s="234">
        <f t="shared" ca="1" si="1"/>
        <v>180</v>
      </c>
      <c r="V2" s="234">
        <f t="shared" ca="1" si="1"/>
        <v>420</v>
      </c>
      <c r="W2" s="234">
        <f t="shared" ca="1" si="1"/>
        <v>210</v>
      </c>
      <c r="X2" s="234">
        <f t="shared" ca="1" si="1"/>
        <v>140</v>
      </c>
      <c r="Y2" s="234">
        <f t="shared" ca="1" si="1"/>
        <v>240</v>
      </c>
      <c r="Z2" s="234">
        <f t="shared" ca="1" si="1"/>
        <v>140</v>
      </c>
      <c r="AA2" s="234">
        <f t="shared" ca="1" si="1"/>
        <v>150</v>
      </c>
      <c r="AB2" s="234">
        <f t="shared" ca="1" si="1"/>
        <v>250</v>
      </c>
      <c r="AC2" s="234">
        <f t="shared" ca="1" si="1"/>
        <v>270</v>
      </c>
    </row>
    <row r="3" spans="1:95" ht="24" customHeight="1" thickBot="1" x14ac:dyDescent="0.3">
      <c r="A3" s="156" t="s">
        <v>103</v>
      </c>
      <c r="B3" s="157" t="str">
        <f>I5</f>
        <v>W2/20</v>
      </c>
      <c r="D3" s="23"/>
      <c r="E3" s="23"/>
      <c r="F3" s="23"/>
      <c r="G3" s="23"/>
      <c r="I3" s="24">
        <f>I51</f>
        <v>360</v>
      </c>
      <c r="J3" s="234">
        <f t="shared" ref="J3:AC3" si="2">J51</f>
        <v>60</v>
      </c>
      <c r="K3" s="234">
        <f t="shared" si="2"/>
        <v>80</v>
      </c>
      <c r="L3" s="234">
        <f t="shared" si="2"/>
        <v>10</v>
      </c>
      <c r="M3" s="234">
        <f t="shared" si="2"/>
        <v>160</v>
      </c>
      <c r="N3" s="234">
        <f t="shared" si="2"/>
        <v>80</v>
      </c>
      <c r="O3" s="234">
        <f t="shared" si="2"/>
        <v>40</v>
      </c>
      <c r="P3" s="234">
        <f t="shared" si="2"/>
        <v>120</v>
      </c>
      <c r="Q3" s="234">
        <f t="shared" si="2"/>
        <v>170</v>
      </c>
      <c r="R3" s="234">
        <f t="shared" si="2"/>
        <v>80</v>
      </c>
      <c r="S3" s="234">
        <f t="shared" si="2"/>
        <v>150</v>
      </c>
      <c r="T3" s="234">
        <f t="shared" si="2"/>
        <v>40</v>
      </c>
      <c r="U3" s="234">
        <f t="shared" si="2"/>
        <v>40</v>
      </c>
      <c r="V3" s="234">
        <f t="shared" si="2"/>
        <v>70</v>
      </c>
      <c r="W3" s="234">
        <f t="shared" si="2"/>
        <v>120</v>
      </c>
      <c r="X3" s="234">
        <f t="shared" si="2"/>
        <v>170</v>
      </c>
      <c r="Y3" s="234">
        <f t="shared" si="2"/>
        <v>170</v>
      </c>
      <c r="Z3" s="234">
        <f t="shared" si="2"/>
        <v>180</v>
      </c>
      <c r="AA3" s="234">
        <f t="shared" si="2"/>
        <v>10</v>
      </c>
      <c r="AB3" s="234">
        <f t="shared" si="2"/>
        <v>130</v>
      </c>
      <c r="AC3" s="234">
        <f t="shared" si="2"/>
        <v>10</v>
      </c>
      <c r="AE3" s="24">
        <f ca="1">AVERAGE(I1:AC4)</f>
        <v>261.66666666666669</v>
      </c>
    </row>
    <row r="4" spans="1:95" x14ac:dyDescent="0.25">
      <c r="D4" s="24"/>
      <c r="E4" s="24"/>
      <c r="F4" s="24"/>
      <c r="G4" s="24"/>
      <c r="I4" s="24">
        <f ca="1">SUM(I12:I15)</f>
        <v>530</v>
      </c>
      <c r="J4" s="234">
        <f t="shared" ref="J4:AC4" ca="1" si="3">SUM(J12:J15)</f>
        <v>310</v>
      </c>
      <c r="K4" s="234">
        <f t="shared" ca="1" si="3"/>
        <v>550</v>
      </c>
      <c r="L4" s="234">
        <f t="shared" ca="1" si="3"/>
        <v>220</v>
      </c>
      <c r="M4" s="234">
        <f t="shared" ca="1" si="3"/>
        <v>310</v>
      </c>
      <c r="N4" s="234">
        <f t="shared" ca="1" si="3"/>
        <v>410</v>
      </c>
      <c r="O4" s="234">
        <f t="shared" ca="1" si="3"/>
        <v>440</v>
      </c>
      <c r="P4" s="234">
        <f t="shared" ca="1" si="3"/>
        <v>350</v>
      </c>
      <c r="Q4" s="234">
        <f t="shared" ca="1" si="3"/>
        <v>540</v>
      </c>
      <c r="R4" s="234">
        <f t="shared" ca="1" si="3"/>
        <v>550</v>
      </c>
      <c r="S4" s="234">
        <f t="shared" ca="1" si="3"/>
        <v>390</v>
      </c>
      <c r="T4" s="234">
        <f t="shared" ca="1" si="3"/>
        <v>530</v>
      </c>
      <c r="U4" s="234">
        <f t="shared" ca="1" si="3"/>
        <v>300</v>
      </c>
      <c r="V4" s="234">
        <f t="shared" ca="1" si="3"/>
        <v>420</v>
      </c>
      <c r="W4" s="234">
        <f t="shared" ca="1" si="3"/>
        <v>340</v>
      </c>
      <c r="X4" s="234">
        <f t="shared" ca="1" si="3"/>
        <v>460</v>
      </c>
      <c r="Y4" s="234">
        <f t="shared" ca="1" si="3"/>
        <v>540</v>
      </c>
      <c r="Z4" s="234">
        <f t="shared" ca="1" si="3"/>
        <v>360</v>
      </c>
      <c r="AA4" s="234">
        <f t="shared" ca="1" si="3"/>
        <v>620</v>
      </c>
      <c r="AB4" s="234">
        <f t="shared" ca="1" si="3"/>
        <v>400</v>
      </c>
      <c r="AC4" s="234">
        <f t="shared" ca="1" si="3"/>
        <v>400</v>
      </c>
      <c r="AD4" s="25"/>
      <c r="AE4" s="25"/>
      <c r="AF4" s="25"/>
      <c r="AG4" s="25"/>
      <c r="AK4" s="233"/>
      <c r="AL4" s="23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</row>
    <row r="5" spans="1:95" x14ac:dyDescent="0.25">
      <c r="A5" s="68" t="s">
        <v>121</v>
      </c>
      <c r="B5" s="68" t="s">
        <v>122</v>
      </c>
      <c r="C5" s="68" t="s">
        <v>105</v>
      </c>
      <c r="D5" s="68" t="s">
        <v>123</v>
      </c>
      <c r="E5" s="68" t="s">
        <v>101</v>
      </c>
      <c r="F5" s="68" t="s">
        <v>124</v>
      </c>
      <c r="G5" s="146" t="s">
        <v>102</v>
      </c>
      <c r="H5" s="218" t="s">
        <v>76</v>
      </c>
      <c r="I5" s="218" t="s">
        <v>77</v>
      </c>
      <c r="J5" s="218" t="s">
        <v>78</v>
      </c>
      <c r="K5" s="218" t="s">
        <v>79</v>
      </c>
      <c r="L5" s="218" t="s">
        <v>80</v>
      </c>
      <c r="M5" s="218" t="s">
        <v>81</v>
      </c>
      <c r="N5" s="218" t="s">
        <v>82</v>
      </c>
      <c r="O5" s="218" t="s">
        <v>83</v>
      </c>
      <c r="P5" s="218" t="s">
        <v>84</v>
      </c>
      <c r="Q5" s="218" t="s">
        <v>85</v>
      </c>
      <c r="R5" s="218" t="s">
        <v>86</v>
      </c>
      <c r="S5" s="218" t="s">
        <v>87</v>
      </c>
      <c r="T5" s="218" t="s">
        <v>88</v>
      </c>
      <c r="U5" s="218" t="s">
        <v>89</v>
      </c>
      <c r="V5" s="218" t="s">
        <v>90</v>
      </c>
      <c r="W5" s="218" t="s">
        <v>91</v>
      </c>
      <c r="X5" s="218" t="s">
        <v>92</v>
      </c>
      <c r="Y5" s="218" t="s">
        <v>93</v>
      </c>
      <c r="Z5" s="218" t="s">
        <v>94</v>
      </c>
      <c r="AA5" s="218" t="s">
        <v>95</v>
      </c>
      <c r="AB5" s="218" t="s">
        <v>96</v>
      </c>
      <c r="AC5" s="218" t="s">
        <v>97</v>
      </c>
      <c r="AD5" s="218" t="s">
        <v>98</v>
      </c>
      <c r="AE5" s="219" t="s">
        <v>99</v>
      </c>
      <c r="AF5" s="218" t="s">
        <v>100</v>
      </c>
      <c r="AG5" s="218"/>
      <c r="AH5" s="218"/>
      <c r="AI5" s="218"/>
      <c r="AJ5" s="218"/>
      <c r="AK5" s="233"/>
      <c r="AL5" s="23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</row>
    <row r="6" spans="1:95" ht="14.2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50</v>
      </c>
      <c r="F6" s="116" t="s">
        <v>33</v>
      </c>
      <c r="G6" s="170" t="s">
        <v>117</v>
      </c>
      <c r="H6" s="171"/>
      <c r="I6" s="264">
        <f>PA_CDC!I17</f>
        <v>210</v>
      </c>
      <c r="J6" s="171" t="str">
        <f>IF(J5=MJ_Initialisation!AI18,MJ_Initialisation!E20,"")</f>
        <v/>
      </c>
      <c r="K6" s="171" t="str">
        <f>IF(K5=MJ_Initialisation!AJ18,MJ_Initialisation!F20,"")</f>
        <v/>
      </c>
      <c r="L6" s="171" t="str">
        <f>IF(L5=MJ_Initialisation!AK18,MJ_Initialisation!G20,"")</f>
        <v/>
      </c>
      <c r="M6" s="171" t="str">
        <f>IF(M5=MJ_Initialisation!AL18,MJ_Initialisation!H20,"")</f>
        <v/>
      </c>
      <c r="N6" s="171" t="str">
        <f>IF(N5=MJ_Initialisation!AM18,MJ_Initialisation!I20,"")</f>
        <v/>
      </c>
      <c r="O6" s="171" t="str">
        <f>IF(O5=MJ_Initialisation!AN18,MJ_Initialisation!J20,"")</f>
        <v/>
      </c>
      <c r="P6" s="171" t="str">
        <f>IF(P5=MJ_Initialisation!AO18,MJ_Initialisation!K20,"")</f>
        <v/>
      </c>
      <c r="Q6" s="171" t="str">
        <f>IF(Q5=MJ_Initialisation!AP18,MJ_Initialisation!L20,"")</f>
        <v/>
      </c>
      <c r="R6" s="171" t="str">
        <f>IF(R5=MJ_Initialisation!AQ18,MJ_Initialisation!M20,"")</f>
        <v/>
      </c>
      <c r="S6" s="171" t="str">
        <f>IF(S5=MJ_Initialisation!AR18,MJ_Initialisation!N20,"")</f>
        <v/>
      </c>
      <c r="T6" s="171" t="str">
        <f>IF(T5=MJ_Initialisation!AS18,MJ_Initialisation!O20,"")</f>
        <v/>
      </c>
      <c r="U6" s="171" t="str">
        <f>IF(U5=MJ_Initialisation!AT18,MJ_Initialisation!P20,"")</f>
        <v/>
      </c>
      <c r="V6" s="171" t="str">
        <f>IF(V5=MJ_Initialisation!AU18,MJ_Initialisation!Q20,"")</f>
        <v/>
      </c>
      <c r="W6" s="171" t="str">
        <f>IF(W5=MJ_Initialisation!AV18,MJ_Initialisation!R20,"")</f>
        <v/>
      </c>
      <c r="X6" s="171" t="str">
        <f>IF(X5=MJ_Initialisation!AW18,MJ_Initialisation!S20,"")</f>
        <v/>
      </c>
      <c r="Y6" s="171" t="str">
        <f>IF(Y5=MJ_Initialisation!AX18,MJ_Initialisation!T20,"")</f>
        <v/>
      </c>
      <c r="Z6" s="171" t="str">
        <f>IF(Z5=MJ_Initialisation!AY18,MJ_Initialisation!U20,"")</f>
        <v/>
      </c>
      <c r="AA6" s="171" t="str">
        <f>IF(AA5=MJ_Initialisation!AZ18,MJ_Initialisation!V20,"")</f>
        <v/>
      </c>
      <c r="AB6" s="171" t="str">
        <f>IF(AB5=MJ_Initialisation!BA18,MJ_Initialisation!W20,"")</f>
        <v/>
      </c>
      <c r="AC6" s="171" t="str">
        <f>IF(AC5=MJ_Initialisation!BB18,MJ_Initialisation!X20,"")</f>
        <v/>
      </c>
      <c r="AD6" s="171" t="str">
        <f>IF(AD5=MJ_Initialisation!BC18,MJ_Initialisation!Y20,"")</f>
        <v/>
      </c>
      <c r="AE6" s="171" t="str">
        <f>IF(AE5=MJ_Initialisation!BD18,MJ_Initialisation!Z20,"")</f>
        <v/>
      </c>
      <c r="AF6" s="171" t="str">
        <f>IF(AF5=MJ_Initialisation!BE18,MJ_Initialisation!AA20,"")</f>
        <v/>
      </c>
      <c r="AG6" s="264"/>
      <c r="AH6" s="264"/>
      <c r="AI6" s="264"/>
      <c r="AJ6" s="264"/>
      <c r="AK6" s="248"/>
      <c r="AL6" s="248"/>
    </row>
    <row r="7" spans="1:95" ht="14.25" customHeight="1" x14ac:dyDescent="0.25">
      <c r="A7" s="30">
        <v>1000</v>
      </c>
      <c r="B7" s="102" t="s">
        <v>29</v>
      </c>
      <c r="C7" s="103" t="s">
        <v>49</v>
      </c>
      <c r="D7" s="42" t="s">
        <v>48</v>
      </c>
      <c r="E7" s="103" t="s">
        <v>51</v>
      </c>
      <c r="F7" s="117" t="s">
        <v>35</v>
      </c>
      <c r="G7" s="170" t="s">
        <v>117</v>
      </c>
      <c r="H7" s="171"/>
      <c r="I7" s="264">
        <f ca="1">PA_CDC!I22</f>
        <v>110</v>
      </c>
      <c r="J7" s="171" t="str">
        <f>IF(J5=MJ_Initialisation!AI18,MJ_Initialisation!E28,"")</f>
        <v/>
      </c>
      <c r="K7" s="171" t="str">
        <f>IF(K5=MJ_Initialisation!AJ18,MJ_Initialisation!F28,"")</f>
        <v/>
      </c>
      <c r="L7" s="171" t="str">
        <f>IF(L5=MJ_Initialisation!AK18,MJ_Initialisation!G28,"")</f>
        <v/>
      </c>
      <c r="M7" s="171" t="str">
        <f>IF(M5=MJ_Initialisation!AL18,MJ_Initialisation!H28,"")</f>
        <v/>
      </c>
      <c r="N7" s="171" t="str">
        <f>IF(N5=MJ_Initialisation!AM18,MJ_Initialisation!I28,"")</f>
        <v/>
      </c>
      <c r="O7" s="171" t="str">
        <f>IF(O5=MJ_Initialisation!AN18,MJ_Initialisation!J28,"")</f>
        <v/>
      </c>
      <c r="P7" s="171" t="str">
        <f>IF(P5=MJ_Initialisation!AO18,MJ_Initialisation!K28,"")</f>
        <v/>
      </c>
      <c r="Q7" s="171" t="str">
        <f>IF(Q5=MJ_Initialisation!AP18,MJ_Initialisation!L28,"")</f>
        <v/>
      </c>
      <c r="R7" s="171" t="str">
        <f>IF(R5=MJ_Initialisation!AQ18,MJ_Initialisation!M28,"")</f>
        <v/>
      </c>
      <c r="S7" s="171" t="str">
        <f>IF(S5=MJ_Initialisation!AR18,MJ_Initialisation!N28,"")</f>
        <v/>
      </c>
      <c r="T7" s="171" t="str">
        <f>IF(T5=MJ_Initialisation!AS18,MJ_Initialisation!O28,"")</f>
        <v/>
      </c>
      <c r="U7" s="171" t="str">
        <f>IF(U5=MJ_Initialisation!AT18,MJ_Initialisation!P28,"")</f>
        <v/>
      </c>
      <c r="V7" s="171" t="str">
        <f>IF(V5=MJ_Initialisation!AU18,MJ_Initialisation!Q28,"")</f>
        <v/>
      </c>
      <c r="W7" s="171" t="str">
        <f>IF(W5=MJ_Initialisation!AV18,MJ_Initialisation!R28,"")</f>
        <v/>
      </c>
      <c r="X7" s="171" t="str">
        <f>IF(X5=MJ_Initialisation!AW18,MJ_Initialisation!S28,"")</f>
        <v/>
      </c>
      <c r="Y7" s="171" t="str">
        <f>IF(Y5=MJ_Initialisation!AX18,MJ_Initialisation!T28,"")</f>
        <v/>
      </c>
      <c r="Z7" s="171" t="str">
        <f>IF(Z5=MJ_Initialisation!AY18,MJ_Initialisation!U28,"")</f>
        <v/>
      </c>
      <c r="AA7" s="171" t="str">
        <f>IF(AA5=MJ_Initialisation!AZ18,MJ_Initialisation!V28,"")</f>
        <v/>
      </c>
      <c r="AB7" s="171" t="str">
        <f>IF(AB5=MJ_Initialisation!BA18,MJ_Initialisation!W28,"")</f>
        <v/>
      </c>
      <c r="AC7" s="171" t="str">
        <f>IF(AC5=MJ_Initialisation!BB18,MJ_Initialisation!X28,"")</f>
        <v/>
      </c>
      <c r="AD7" s="171" t="str">
        <f>IF(AD5=MJ_Initialisation!BC18,MJ_Initialisation!Y28,"")</f>
        <v/>
      </c>
      <c r="AE7" s="171" t="str">
        <f>IF(AE5=MJ_Initialisation!BD18,MJ_Initialisation!Z28,"")</f>
        <v/>
      </c>
      <c r="AF7" s="171" t="str">
        <f>IF(AF5=MJ_Initialisation!BE18,MJ_Initialisation!AA28,"")</f>
        <v/>
      </c>
      <c r="AG7" s="264"/>
      <c r="AH7" s="264"/>
      <c r="AI7" s="264"/>
      <c r="AJ7" s="264"/>
      <c r="AK7" s="248"/>
      <c r="AL7" s="248"/>
    </row>
    <row r="8" spans="1:95" x14ac:dyDescent="0.25">
      <c r="A8" s="30">
        <v>1000</v>
      </c>
      <c r="B8" s="102" t="s">
        <v>29</v>
      </c>
      <c r="C8" s="103" t="s">
        <v>49</v>
      </c>
      <c r="D8" s="42" t="s">
        <v>48</v>
      </c>
      <c r="E8" s="103" t="s">
        <v>52</v>
      </c>
      <c r="F8" s="118" t="s">
        <v>36</v>
      </c>
      <c r="G8" s="170" t="s">
        <v>117</v>
      </c>
      <c r="H8" s="171"/>
      <c r="I8" s="264">
        <f ca="1">PA_CDC!I27</f>
        <v>150</v>
      </c>
      <c r="J8" s="171" t="str">
        <f>IF(J5=MJ_Initialisation!AI18,MJ_Initialisation!E32,"")</f>
        <v/>
      </c>
      <c r="K8" s="171" t="str">
        <f>IF(K5=MJ_Initialisation!AJ18,MJ_Initialisation!F32,"")</f>
        <v/>
      </c>
      <c r="L8" s="171" t="str">
        <f>IF(L5=MJ_Initialisation!AK18,MJ_Initialisation!G32,"")</f>
        <v/>
      </c>
      <c r="M8" s="171" t="str">
        <f>IF(M5=MJ_Initialisation!AL18,MJ_Initialisation!H32,"")</f>
        <v/>
      </c>
      <c r="N8" s="171" t="str">
        <f>IF(N5=MJ_Initialisation!AM18,MJ_Initialisation!I32,"")</f>
        <v/>
      </c>
      <c r="O8" s="171" t="str">
        <f>IF(O5=MJ_Initialisation!AN18,MJ_Initialisation!J32,"")</f>
        <v/>
      </c>
      <c r="P8" s="171" t="str">
        <f>IF(P5=MJ_Initialisation!AO18,MJ_Initialisation!K32,"")</f>
        <v/>
      </c>
      <c r="Q8" s="171" t="str">
        <f>IF(Q5=MJ_Initialisation!AP18,MJ_Initialisation!L32,"")</f>
        <v/>
      </c>
      <c r="R8" s="171" t="str">
        <f>IF(R5=MJ_Initialisation!AQ18,MJ_Initialisation!M32,"")</f>
        <v/>
      </c>
      <c r="S8" s="171" t="str">
        <f>IF(S5=MJ_Initialisation!AR18,MJ_Initialisation!N32,"")</f>
        <v/>
      </c>
      <c r="T8" s="171" t="str">
        <f>IF(T5=MJ_Initialisation!AS18,MJ_Initialisation!O32,"")</f>
        <v/>
      </c>
      <c r="U8" s="171" t="str">
        <f>IF(U5=MJ_Initialisation!AT18,MJ_Initialisation!P32,"")</f>
        <v/>
      </c>
      <c r="V8" s="171" t="str">
        <f>IF(V5=MJ_Initialisation!AU18,MJ_Initialisation!Q32,"")</f>
        <v/>
      </c>
      <c r="W8" s="171" t="str">
        <f>IF(W5=MJ_Initialisation!AV18,MJ_Initialisation!R32,"")</f>
        <v/>
      </c>
      <c r="X8" s="171" t="str">
        <f>IF(X5=MJ_Initialisation!AW18,MJ_Initialisation!S32,"")</f>
        <v/>
      </c>
      <c r="Y8" s="171" t="str">
        <f>IF(Y5=MJ_Initialisation!AX18,MJ_Initialisation!T32,"")</f>
        <v/>
      </c>
      <c r="Z8" s="171" t="str">
        <f>IF(Z5=MJ_Initialisation!AY18,MJ_Initialisation!U32,"")</f>
        <v/>
      </c>
      <c r="AA8" s="171" t="str">
        <f>IF(AA5=MJ_Initialisation!AZ18,MJ_Initialisation!V32,"")</f>
        <v/>
      </c>
      <c r="AB8" s="171" t="str">
        <f>IF(AB5=MJ_Initialisation!BA18,MJ_Initialisation!W32,"")</f>
        <v/>
      </c>
      <c r="AC8" s="171" t="str">
        <f>IF(AC5=MJ_Initialisation!BB18,MJ_Initialisation!X32,"")</f>
        <v/>
      </c>
      <c r="AD8" s="171" t="str">
        <f>IF(AD5=MJ_Initialisation!BC18,MJ_Initialisation!Y32,"")</f>
        <v/>
      </c>
      <c r="AE8" s="171" t="str">
        <f>IF(AE5=MJ_Initialisation!BD18,MJ_Initialisation!Z32,"")</f>
        <v/>
      </c>
      <c r="AF8" s="171" t="str">
        <f>IF(AF5=MJ_Initialisation!BE18,MJ_Initialisation!AA32,"")</f>
        <v/>
      </c>
      <c r="AG8" s="264"/>
      <c r="AH8" s="264"/>
      <c r="AI8" s="264"/>
      <c r="AJ8" s="264"/>
      <c r="AK8" s="248"/>
      <c r="AL8" s="248"/>
    </row>
    <row r="9" spans="1:95" x14ac:dyDescent="0.25">
      <c r="A9" s="30">
        <v>1000</v>
      </c>
      <c r="B9" s="102" t="s">
        <v>29</v>
      </c>
      <c r="C9" s="103" t="s">
        <v>49</v>
      </c>
      <c r="D9" s="42" t="s">
        <v>48</v>
      </c>
      <c r="E9" s="103" t="s">
        <v>53</v>
      </c>
      <c r="F9" s="119" t="s">
        <v>34</v>
      </c>
      <c r="G9" s="170" t="s">
        <v>117</v>
      </c>
      <c r="H9" s="171"/>
      <c r="I9" s="264">
        <f ca="1">PA_CDC!I32</f>
        <v>60</v>
      </c>
      <c r="J9" s="171" t="str">
        <f>IF(J5=MJ_Initialisation!AI18,MJ_Initialisation!E36,"")</f>
        <v/>
      </c>
      <c r="K9" s="171" t="str">
        <f>IF(K5=MJ_Initialisation!AJ18,MJ_Initialisation!F36,"")</f>
        <v/>
      </c>
      <c r="L9" s="171" t="str">
        <f>IF(L5=MJ_Initialisation!AK18,MJ_Initialisation!G36,"")</f>
        <v/>
      </c>
      <c r="M9" s="171" t="str">
        <f>IF(M5=MJ_Initialisation!AL18,MJ_Initialisation!H36,"")</f>
        <v/>
      </c>
      <c r="N9" s="171" t="str">
        <f>IF(N5=MJ_Initialisation!AM18,MJ_Initialisation!I36,"")</f>
        <v/>
      </c>
      <c r="O9" s="171" t="str">
        <f>IF(O5=MJ_Initialisation!AN18,MJ_Initialisation!J36,"")</f>
        <v/>
      </c>
      <c r="P9" s="171" t="str">
        <f>IF(P5=MJ_Initialisation!AO18,MJ_Initialisation!K36,"")</f>
        <v/>
      </c>
      <c r="Q9" s="171" t="str">
        <f>IF(Q5=MJ_Initialisation!AP18,MJ_Initialisation!L36,"")</f>
        <v/>
      </c>
      <c r="R9" s="171" t="str">
        <f>IF(R5=MJ_Initialisation!AQ18,MJ_Initialisation!M36,"")</f>
        <v/>
      </c>
      <c r="S9" s="171" t="str">
        <f>IF(S5=MJ_Initialisation!AR18,MJ_Initialisation!N36,"")</f>
        <v/>
      </c>
      <c r="T9" s="171" t="str">
        <f>IF(T5=MJ_Initialisation!AS18,MJ_Initialisation!O36,"")</f>
        <v/>
      </c>
      <c r="U9" s="171" t="str">
        <f>IF(U5=MJ_Initialisation!AT18,MJ_Initialisation!P36,"")</f>
        <v/>
      </c>
      <c r="V9" s="171" t="str">
        <f>IF(V5=MJ_Initialisation!AU18,MJ_Initialisation!Q36,"")</f>
        <v/>
      </c>
      <c r="W9" s="171" t="str">
        <f>IF(W5=MJ_Initialisation!AV18,MJ_Initialisation!R36,"")</f>
        <v/>
      </c>
      <c r="X9" s="171" t="str">
        <f>IF(X5=MJ_Initialisation!AW18,MJ_Initialisation!S36,"")</f>
        <v/>
      </c>
      <c r="Y9" s="171" t="str">
        <f>IF(Y5=MJ_Initialisation!AX18,MJ_Initialisation!T36,"")</f>
        <v/>
      </c>
      <c r="Z9" s="171" t="str">
        <f>IF(Z5=MJ_Initialisation!AY18,MJ_Initialisation!U36,"")</f>
        <v/>
      </c>
      <c r="AA9" s="171" t="str">
        <f>IF(AA5=MJ_Initialisation!AZ18,MJ_Initialisation!V36,"")</f>
        <v/>
      </c>
      <c r="AB9" s="171" t="str">
        <f>IF(AB5=MJ_Initialisation!BA18,MJ_Initialisation!W36,"")</f>
        <v/>
      </c>
      <c r="AC9" s="171" t="str">
        <f>IF(AC5=MJ_Initialisation!BB18,MJ_Initialisation!X36,"")</f>
        <v/>
      </c>
      <c r="AD9" s="171" t="str">
        <f>IF(AD5=MJ_Initialisation!BC18,MJ_Initialisation!Y36,"")</f>
        <v/>
      </c>
      <c r="AE9" s="171" t="str">
        <f>IF(AE5=MJ_Initialisation!BD18,MJ_Initialisation!Z36,"")</f>
        <v/>
      </c>
      <c r="AF9" s="171" t="str">
        <f>IF(AF5=MJ_Initialisation!BE18,MJ_Initialisation!AA36,"")</f>
        <v/>
      </c>
      <c r="AG9" s="264"/>
      <c r="AH9" s="264"/>
      <c r="AI9" s="264"/>
      <c r="AJ9" s="264"/>
      <c r="AK9" s="248"/>
      <c r="AL9" s="248"/>
    </row>
    <row r="10" spans="1:95" x14ac:dyDescent="0.25">
      <c r="A10" s="30">
        <v>1000</v>
      </c>
      <c r="B10" s="102" t="s">
        <v>29</v>
      </c>
      <c r="C10" s="103" t="s">
        <v>66</v>
      </c>
      <c r="D10" s="42" t="s">
        <v>65</v>
      </c>
      <c r="E10" s="103" t="s">
        <v>49</v>
      </c>
      <c r="F10" s="42" t="s">
        <v>48</v>
      </c>
      <c r="G10" s="170" t="s">
        <v>118</v>
      </c>
      <c r="H10" s="171"/>
      <c r="I10" s="264">
        <f>I18</f>
        <v>530</v>
      </c>
      <c r="J10" s="171" t="str">
        <f>IF(J5=MJ_Initialisation!AI18,MJ_Initialisation!E44,"")</f>
        <v/>
      </c>
      <c r="K10" s="171" t="str">
        <f>IF(K5=MJ_Initialisation!AJ18,MJ_Initialisation!F44,"")</f>
        <v/>
      </c>
      <c r="L10" s="171" t="str">
        <f>IF(L5=MJ_Initialisation!AK18,MJ_Initialisation!G44,"")</f>
        <v/>
      </c>
      <c r="M10" s="171" t="str">
        <f>IF(M5=MJ_Initialisation!AL18,MJ_Initialisation!H44,"")</f>
        <v/>
      </c>
      <c r="N10" s="171" t="str">
        <f>IF(N5=MJ_Initialisation!AM18,MJ_Initialisation!I44,"")</f>
        <v/>
      </c>
      <c r="O10" s="171" t="str">
        <f>IF(O5=MJ_Initialisation!AN18,MJ_Initialisation!J44,"")</f>
        <v/>
      </c>
      <c r="P10" s="171" t="str">
        <f>IF(P5=MJ_Initialisation!AO18,MJ_Initialisation!K44,"")</f>
        <v/>
      </c>
      <c r="Q10" s="171" t="str">
        <f>IF(Q5=MJ_Initialisation!AP18,MJ_Initialisation!L44,"")</f>
        <v/>
      </c>
      <c r="R10" s="171" t="str">
        <f>IF(R5=MJ_Initialisation!AQ18,MJ_Initialisation!M44,"")</f>
        <v/>
      </c>
      <c r="S10" s="171" t="str">
        <f>IF(S5=MJ_Initialisation!AR18,MJ_Initialisation!N44,"")</f>
        <v/>
      </c>
      <c r="T10" s="171" t="str">
        <f>IF(T5=MJ_Initialisation!AS18,MJ_Initialisation!O44,"")</f>
        <v/>
      </c>
      <c r="U10" s="171" t="str">
        <f>IF(U5=MJ_Initialisation!AT18,MJ_Initialisation!P44,"")</f>
        <v/>
      </c>
      <c r="V10" s="171" t="str">
        <f>IF(V5=MJ_Initialisation!AU18,MJ_Initialisation!Q44,"")</f>
        <v/>
      </c>
      <c r="W10" s="171" t="str">
        <f>IF(W5=MJ_Initialisation!AV18,MJ_Initialisation!R44,"")</f>
        <v/>
      </c>
      <c r="X10" s="171" t="str">
        <f>IF(X5=MJ_Initialisation!AW18,MJ_Initialisation!S44,"")</f>
        <v/>
      </c>
      <c r="Y10" s="171" t="str">
        <f>IF(Y5=MJ_Initialisation!AX18,MJ_Initialisation!T44,"")</f>
        <v/>
      </c>
      <c r="Z10" s="171" t="str">
        <f>IF(Z5=MJ_Initialisation!AY18,MJ_Initialisation!U44,"")</f>
        <v/>
      </c>
      <c r="AA10" s="171" t="str">
        <f>IF(AA5=MJ_Initialisation!AZ18,MJ_Initialisation!V44,"")</f>
        <v/>
      </c>
      <c r="AB10" s="171" t="str">
        <f>IF(AB5=MJ_Initialisation!BA18,MJ_Initialisation!W44,"")</f>
        <v/>
      </c>
      <c r="AC10" s="171" t="str">
        <f>IF(AC5=MJ_Initialisation!BB18,MJ_Initialisation!X44,"")</f>
        <v/>
      </c>
      <c r="AD10" s="171" t="str">
        <f>IF(AD5=MJ_Initialisation!BC18,MJ_Initialisation!Y44,"")</f>
        <v/>
      </c>
      <c r="AE10" s="171" t="str">
        <f>IF(AE5=MJ_Initialisation!BD18,MJ_Initialisation!Z44,"")</f>
        <v/>
      </c>
      <c r="AF10" s="171" t="str">
        <f>IF(AF5=MJ_Initialisation!BE18,MJ_Initialisation!AA44,"")</f>
        <v/>
      </c>
      <c r="AG10" s="264"/>
      <c r="AH10" s="264"/>
      <c r="AI10" s="264"/>
      <c r="AJ10" s="264"/>
      <c r="AK10" s="248"/>
      <c r="AL10" s="248"/>
    </row>
    <row r="11" spans="1:95" ht="15.75" thickBot="1" x14ac:dyDescent="0.3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49</v>
      </c>
      <c r="F11" s="42" t="s">
        <v>48</v>
      </c>
      <c r="G11" s="168" t="s">
        <v>120</v>
      </c>
      <c r="H11" s="19">
        <f>MJ_Initialisation!AF16</f>
        <v>0</v>
      </c>
      <c r="I11" s="175">
        <f ca="1">H11+I18-SUM(I12:I15)</f>
        <v>0</v>
      </c>
      <c r="J11" s="175" t="str">
        <f>IF(J5=MJ_Initialisation!AI18,I11+J18-SUM(J12:J15),"")</f>
        <v/>
      </c>
      <c r="K11" s="185" t="str">
        <f>IF(K5=MJ_Initialisation!AJ18,J11+K17-SUM(K12:K15),"")</f>
        <v/>
      </c>
      <c r="L11" s="185" t="str">
        <f>IF(L5=MJ_Initialisation!AK18,K11+L17-SUM(L12:L15),"")</f>
        <v/>
      </c>
      <c r="M11" s="185" t="str">
        <f>IF(M5=MJ_Initialisation!AL18,L11+M17-SUM(M12:M15),"")</f>
        <v/>
      </c>
      <c r="N11" s="185" t="str">
        <f>IF(N5=MJ_Initialisation!AM18,M11+N17-SUM(N12:N15),"")</f>
        <v/>
      </c>
      <c r="O11" s="185" t="str">
        <f>IF(O5=MJ_Initialisation!AN18,N11+O17-SUM(O12:O15),"")</f>
        <v/>
      </c>
      <c r="P11" s="185" t="str">
        <f>IF(P5=MJ_Initialisation!AO18,O11+P17-SUM(P12:P15),"")</f>
        <v/>
      </c>
      <c r="Q11" s="185" t="str">
        <f>IF(Q5=MJ_Initialisation!AP18,P11+Q17-SUM(Q12:Q15),"")</f>
        <v/>
      </c>
      <c r="R11" s="185" t="str">
        <f>IF(R5=MJ_Initialisation!AQ18,Q11+R17-SUM(R12:R15),"")</f>
        <v/>
      </c>
      <c r="S11" s="185" t="str">
        <f>IF(S5=MJ_Initialisation!AR18,R11+S17-SUM(S12:S15),"")</f>
        <v/>
      </c>
      <c r="T11" s="185" t="str">
        <f>IF(T5=MJ_Initialisation!AS18,S11+T17-SUM(T12:T15),"")</f>
        <v/>
      </c>
      <c r="U11" s="185" t="str">
        <f>IF(U5=MJ_Initialisation!AT18,T11+U17-SUM(U12:U15),"")</f>
        <v/>
      </c>
      <c r="V11" s="185" t="str">
        <f>IF(V5=MJ_Initialisation!AU18,U11+V17-SUM(V12:V15),"")</f>
        <v/>
      </c>
      <c r="W11" s="185" t="str">
        <f>IF(W5=MJ_Initialisation!AV18,V11+W17-SUM(W12:W15),"")</f>
        <v/>
      </c>
      <c r="X11" s="185" t="str">
        <f>IF(X5=MJ_Initialisation!AW18,W11+X17-SUM(X12:X15),"")</f>
        <v/>
      </c>
      <c r="Y11" s="185" t="str">
        <f>IF(Y5=MJ_Initialisation!AX18,X11+Y17-SUM(Y12:Y15),"")</f>
        <v/>
      </c>
      <c r="Z11" s="185" t="str">
        <f>IF(Z5=MJ_Initialisation!AY18,Y11+Z17-SUM(Z12:Z15),"")</f>
        <v/>
      </c>
      <c r="AA11" s="185" t="str">
        <f>IF(AA5=MJ_Initialisation!AZ18,Z11+AA17-SUM(AA12:AA15),"")</f>
        <v/>
      </c>
      <c r="AB11" s="185" t="str">
        <f>IF(AB5=MJ_Initialisation!BA18,AA11+AB17-SUM(AB12:AB15),"")</f>
        <v/>
      </c>
      <c r="AC11" s="185" t="str">
        <f>IF(AC5=MJ_Initialisation!BB18,AB11+AC17-SUM(AC12:AC15),"")</f>
        <v/>
      </c>
      <c r="AD11" s="185" t="str">
        <f>IF(AD5=MJ_Initialisation!BC18,AC11+AD17-SUM(AD12:AD15),"")</f>
        <v/>
      </c>
      <c r="AE11" s="185" t="str">
        <f>IF(AE5=MJ_Initialisation!BD18,AD11+AE17-SUM(AE12:AE15),"")</f>
        <v/>
      </c>
      <c r="AF11" s="185" t="str">
        <f>IF(AF5=MJ_Initialisation!BE18,AE11+AF17-SUM(AF12:AF15),"")</f>
        <v/>
      </c>
      <c r="AG11" s="270"/>
      <c r="AH11" s="270"/>
      <c r="AI11" s="270"/>
      <c r="AJ11" s="270"/>
      <c r="AK11" s="209"/>
      <c r="AL11" s="209"/>
    </row>
    <row r="12" spans="1:95" x14ac:dyDescent="0.25">
      <c r="A12" s="30">
        <v>1000</v>
      </c>
      <c r="B12" s="102" t="s">
        <v>29</v>
      </c>
      <c r="C12" s="103" t="s">
        <v>50</v>
      </c>
      <c r="D12" s="116" t="s">
        <v>33</v>
      </c>
      <c r="E12" s="103" t="s">
        <v>49</v>
      </c>
      <c r="F12" s="42" t="s">
        <v>48</v>
      </c>
      <c r="G12" s="8" t="s">
        <v>57</v>
      </c>
      <c r="H12" s="158"/>
      <c r="I12" s="13">
        <f>France!J12</f>
        <v>210</v>
      </c>
      <c r="J12" s="13">
        <f>France!K12</f>
        <v>60</v>
      </c>
      <c r="K12" s="13">
        <f>France!L12</f>
        <v>200</v>
      </c>
      <c r="L12" s="13">
        <f>France!M12</f>
        <v>80</v>
      </c>
      <c r="M12" s="13">
        <f>France!N12</f>
        <v>70</v>
      </c>
      <c r="N12" s="13">
        <f>France!O12</f>
        <v>150</v>
      </c>
      <c r="O12" s="13">
        <f>France!P12</f>
        <v>130</v>
      </c>
      <c r="P12" s="13">
        <f>France!Q12</f>
        <v>200</v>
      </c>
      <c r="Q12" s="13">
        <f>France!R12</f>
        <v>70</v>
      </c>
      <c r="R12" s="13">
        <f>France!S12</f>
        <v>160</v>
      </c>
      <c r="S12" s="13">
        <f>France!T12</f>
        <v>170</v>
      </c>
      <c r="T12" s="13">
        <f>France!U12</f>
        <v>130</v>
      </c>
      <c r="U12" s="13">
        <f>France!V12</f>
        <v>30</v>
      </c>
      <c r="V12" s="13">
        <f>France!W12</f>
        <v>120</v>
      </c>
      <c r="W12" s="13">
        <f>France!X12</f>
        <v>40</v>
      </c>
      <c r="X12" s="13">
        <f>France!Y12</f>
        <v>150</v>
      </c>
      <c r="Y12" s="13">
        <f>France!Z12</f>
        <v>150</v>
      </c>
      <c r="Z12" s="13">
        <f>France!AA12</f>
        <v>20</v>
      </c>
      <c r="AA12" s="13">
        <f>France!AB12</f>
        <v>170</v>
      </c>
      <c r="AB12" s="13">
        <f>France!AC12</f>
        <v>40</v>
      </c>
      <c r="AC12" s="13">
        <f>France!AD12</f>
        <v>130</v>
      </c>
      <c r="AD12" s="13">
        <f>France!AE12</f>
        <v>100</v>
      </c>
      <c r="AE12" s="13">
        <f>France!AF12</f>
        <v>190</v>
      </c>
      <c r="AF12" s="13">
        <f>France!AG12</f>
        <v>40</v>
      </c>
      <c r="AG12" s="227"/>
      <c r="AH12" s="227"/>
      <c r="AI12" s="227"/>
      <c r="AJ12" s="227"/>
      <c r="AK12" s="261"/>
      <c r="AL12" s="261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</row>
    <row r="13" spans="1:95" x14ac:dyDescent="0.25">
      <c r="A13" s="30">
        <v>1000</v>
      </c>
      <c r="B13" s="102" t="s">
        <v>29</v>
      </c>
      <c r="C13" s="103" t="s">
        <v>51</v>
      </c>
      <c r="D13" s="117" t="s">
        <v>35</v>
      </c>
      <c r="E13" s="103" t="s">
        <v>49</v>
      </c>
      <c r="F13" s="42" t="s">
        <v>48</v>
      </c>
      <c r="G13" s="8" t="s">
        <v>57</v>
      </c>
      <c r="H13" s="92"/>
      <c r="I13" s="15">
        <f ca="1">OFFSET(Espagne!J12,0,1)</f>
        <v>110</v>
      </c>
      <c r="J13" s="15">
        <f ca="1">OFFSET(Espagne!K12,0,1)</f>
        <v>10</v>
      </c>
      <c r="K13" s="15">
        <f ca="1">OFFSET(Espagne!L12,0,1)</f>
        <v>90</v>
      </c>
      <c r="L13" s="15">
        <f ca="1">OFFSET(Espagne!M12,0,1)</f>
        <v>10</v>
      </c>
      <c r="M13" s="15">
        <f ca="1">OFFSET(Espagne!N12,0,1)</f>
        <v>40</v>
      </c>
      <c r="N13" s="15">
        <f ca="1">OFFSET(Espagne!O12,0,1)</f>
        <v>0</v>
      </c>
      <c r="O13" s="15">
        <f ca="1">OFFSET(Espagne!P12,0,1)</f>
        <v>150</v>
      </c>
      <c r="P13" s="15">
        <f ca="1">OFFSET(Espagne!Q12,0,1)</f>
        <v>0</v>
      </c>
      <c r="Q13" s="15">
        <f ca="1">OFFSET(Espagne!R12,0,1)</f>
        <v>140</v>
      </c>
      <c r="R13" s="15">
        <f ca="1">OFFSET(Espagne!S12,0,1)</f>
        <v>140</v>
      </c>
      <c r="S13" s="15">
        <f ca="1">OFFSET(Espagne!T12,0,1)</f>
        <v>110</v>
      </c>
      <c r="T13" s="15">
        <f ca="1">OFFSET(Espagne!U12,0,1)</f>
        <v>80</v>
      </c>
      <c r="U13" s="15">
        <f ca="1">OFFSET(Espagne!V12,0,1)</f>
        <v>60</v>
      </c>
      <c r="V13" s="15">
        <f ca="1">OFFSET(Espagne!W12,0,1)</f>
        <v>50</v>
      </c>
      <c r="W13" s="15">
        <f ca="1">OFFSET(Espagne!X12,0,1)</f>
        <v>30</v>
      </c>
      <c r="X13" s="15">
        <f ca="1">OFFSET(Espagne!Y12,0,1)</f>
        <v>100</v>
      </c>
      <c r="Y13" s="15">
        <f ca="1">OFFSET(Espagne!Z12,0,1)</f>
        <v>50</v>
      </c>
      <c r="Z13" s="15">
        <f ca="1">OFFSET(Espagne!AA12,0,1)</f>
        <v>150</v>
      </c>
      <c r="AA13" s="15">
        <f ca="1">OFFSET(Espagne!AB12,0,1)</f>
        <v>130</v>
      </c>
      <c r="AB13" s="15">
        <f ca="1">OFFSET(Espagne!AC12,0,1)</f>
        <v>170</v>
      </c>
      <c r="AC13" s="15">
        <f ca="1">OFFSET(Espagne!AD12,0,1)</f>
        <v>20</v>
      </c>
      <c r="AD13" s="15">
        <f ca="1">OFFSET(Espagne!AE12,0,1)</f>
        <v>20</v>
      </c>
      <c r="AE13" s="15">
        <f ca="1">OFFSET(Espagne!AF12,0,1)</f>
        <v>20</v>
      </c>
      <c r="AF13" s="15">
        <f ca="1">OFFSET(Espagne!AG12,0,1)</f>
        <v>0</v>
      </c>
      <c r="AG13" s="228"/>
      <c r="AH13" s="228"/>
      <c r="AI13" s="228"/>
      <c r="AJ13" s="228"/>
      <c r="AK13" s="248"/>
      <c r="AL13" s="248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</row>
    <row r="14" spans="1:95" x14ac:dyDescent="0.25">
      <c r="A14" s="30">
        <v>1000</v>
      </c>
      <c r="B14" s="102" t="s">
        <v>29</v>
      </c>
      <c r="C14" s="103" t="s">
        <v>52</v>
      </c>
      <c r="D14" s="118" t="s">
        <v>36</v>
      </c>
      <c r="E14" s="103" t="s">
        <v>49</v>
      </c>
      <c r="F14" s="42" t="s">
        <v>48</v>
      </c>
      <c r="G14" s="8" t="s">
        <v>57</v>
      </c>
      <c r="H14" s="92"/>
      <c r="I14" s="15">
        <f ca="1">OFFSET(Chili!J12,0,2)</f>
        <v>150</v>
      </c>
      <c r="J14" s="15">
        <f ca="1">OFFSET(Chili!K12,0,2)</f>
        <v>200</v>
      </c>
      <c r="K14" s="15">
        <f ca="1">OFFSET(Chili!L12,0,2)</f>
        <v>200</v>
      </c>
      <c r="L14" s="15">
        <f ca="1">OFFSET(Chili!M12,0,2)</f>
        <v>50</v>
      </c>
      <c r="M14" s="15">
        <f ca="1">OFFSET(Chili!N12,0,2)</f>
        <v>150</v>
      </c>
      <c r="N14" s="15">
        <f ca="1">OFFSET(Chili!O12,0,2)</f>
        <v>250</v>
      </c>
      <c r="O14" s="15">
        <f ca="1">OFFSET(Chili!P12,0,2)</f>
        <v>100</v>
      </c>
      <c r="P14" s="15">
        <f ca="1">OFFSET(Chili!Q12,0,2)</f>
        <v>50</v>
      </c>
      <c r="Q14" s="15">
        <f ca="1">OFFSET(Chili!R12,0,2)</f>
        <v>250</v>
      </c>
      <c r="R14" s="15">
        <f ca="1">OFFSET(Chili!S12,0,2)</f>
        <v>200</v>
      </c>
      <c r="S14" s="15">
        <f ca="1">OFFSET(Chili!T12,0,2)</f>
        <v>50</v>
      </c>
      <c r="T14" s="15">
        <f ca="1">OFFSET(Chili!U12,0,2)</f>
        <v>250</v>
      </c>
      <c r="U14" s="15">
        <f ca="1">OFFSET(Chili!V12,0,2)</f>
        <v>200</v>
      </c>
      <c r="V14" s="15">
        <f ca="1">OFFSET(Chili!W12,0,2)</f>
        <v>250</v>
      </c>
      <c r="W14" s="15">
        <f ca="1">OFFSET(Chili!X12,0,2)</f>
        <v>250</v>
      </c>
      <c r="X14" s="15">
        <f ca="1">OFFSET(Chili!Y12,0,2)</f>
        <v>150</v>
      </c>
      <c r="Y14" s="15">
        <f ca="1">OFFSET(Chili!Z12,0,2)</f>
        <v>250</v>
      </c>
      <c r="Z14" s="15">
        <f ca="1">OFFSET(Chili!AA12,0,2)</f>
        <v>150</v>
      </c>
      <c r="AA14" s="15">
        <f ca="1">OFFSET(Chili!AB12,0,2)</f>
        <v>300</v>
      </c>
      <c r="AB14" s="15">
        <f ca="1">OFFSET(Chili!AC12,0,2)</f>
        <v>100</v>
      </c>
      <c r="AC14" s="15">
        <f ca="1">OFFSET(Chili!AD12,0,2)</f>
        <v>200</v>
      </c>
      <c r="AD14" s="15">
        <f ca="1">OFFSET(Chili!AE12,0,2)</f>
        <v>100</v>
      </c>
      <c r="AE14" s="15">
        <f ca="1">OFFSET(Chili!AF12,0,2)</f>
        <v>0</v>
      </c>
      <c r="AF14" s="15">
        <f ca="1">OFFSET(Chili!AG12,0,2)</f>
        <v>0</v>
      </c>
      <c r="AG14" s="228"/>
      <c r="AH14" s="228"/>
      <c r="AI14" s="228"/>
      <c r="AJ14" s="228"/>
      <c r="AK14" s="248"/>
      <c r="AL14" s="248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</row>
    <row r="15" spans="1:95" x14ac:dyDescent="0.25">
      <c r="A15" s="30">
        <v>1000</v>
      </c>
      <c r="B15" s="102" t="s">
        <v>29</v>
      </c>
      <c r="C15" s="103" t="s">
        <v>53</v>
      </c>
      <c r="D15" s="119" t="s">
        <v>34</v>
      </c>
      <c r="E15" s="103" t="s">
        <v>49</v>
      </c>
      <c r="F15" s="42" t="s">
        <v>48</v>
      </c>
      <c r="G15" s="8" t="s">
        <v>57</v>
      </c>
      <c r="H15" s="92"/>
      <c r="I15" s="15">
        <f ca="1">OFFSET(Australie!J12,0,3)</f>
        <v>60</v>
      </c>
      <c r="J15" s="15">
        <f ca="1">OFFSET(Australie!K12,0,3)</f>
        <v>40</v>
      </c>
      <c r="K15" s="15">
        <f ca="1">OFFSET(Australie!L12,0,3)</f>
        <v>60</v>
      </c>
      <c r="L15" s="15">
        <f ca="1">OFFSET(Australie!M12,0,3)</f>
        <v>80</v>
      </c>
      <c r="M15" s="15">
        <f ca="1">OFFSET(Australie!N12,0,3)</f>
        <v>50</v>
      </c>
      <c r="N15" s="15">
        <f ca="1">OFFSET(Australie!O12,0,3)</f>
        <v>10</v>
      </c>
      <c r="O15" s="15">
        <f ca="1">OFFSET(Australie!P12,0,3)</f>
        <v>60</v>
      </c>
      <c r="P15" s="15">
        <f ca="1">OFFSET(Australie!Q12,0,3)</f>
        <v>100</v>
      </c>
      <c r="Q15" s="15">
        <f ca="1">OFFSET(Australie!R12,0,3)</f>
        <v>80</v>
      </c>
      <c r="R15" s="15">
        <f ca="1">OFFSET(Australie!S12,0,3)</f>
        <v>50</v>
      </c>
      <c r="S15" s="15">
        <f ca="1">OFFSET(Australie!T12,0,3)</f>
        <v>60</v>
      </c>
      <c r="T15" s="15">
        <f ca="1">OFFSET(Australie!U12,0,3)</f>
        <v>70</v>
      </c>
      <c r="U15" s="15">
        <f ca="1">OFFSET(Australie!V12,0,3)</f>
        <v>10</v>
      </c>
      <c r="V15" s="15">
        <f ca="1">OFFSET(Australie!W12,0,3)</f>
        <v>0</v>
      </c>
      <c r="W15" s="15">
        <f ca="1">OFFSET(Australie!X12,0,3)</f>
        <v>20</v>
      </c>
      <c r="X15" s="15">
        <f ca="1">OFFSET(Australie!Y12,0,3)</f>
        <v>60</v>
      </c>
      <c r="Y15" s="15">
        <f ca="1">OFFSET(Australie!Z12,0,3)</f>
        <v>90</v>
      </c>
      <c r="Z15" s="15">
        <f ca="1">OFFSET(Australie!AA12,0,3)</f>
        <v>40</v>
      </c>
      <c r="AA15" s="15">
        <f ca="1">OFFSET(Australie!AB12,0,3)</f>
        <v>20</v>
      </c>
      <c r="AB15" s="15">
        <f ca="1">OFFSET(Australie!AC12,0,3)</f>
        <v>90</v>
      </c>
      <c r="AC15" s="15">
        <f ca="1">OFFSET(Australie!AD12,0,3)</f>
        <v>50</v>
      </c>
      <c r="AD15" s="15">
        <f ca="1">OFFSET(Australie!AE12,0,3)</f>
        <v>0</v>
      </c>
      <c r="AE15" s="15">
        <f ca="1">OFFSET(Australie!AF12,0,3)</f>
        <v>0</v>
      </c>
      <c r="AF15" s="15">
        <f ca="1">OFFSET(Australie!AG12,0,3)</f>
        <v>0</v>
      </c>
      <c r="AG15" s="228"/>
      <c r="AH15" s="228"/>
      <c r="AI15" s="228"/>
      <c r="AJ15" s="228"/>
      <c r="AK15" s="248"/>
      <c r="AL15" s="248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</row>
    <row r="16" spans="1:95" x14ac:dyDescent="0.25">
      <c r="A16" s="30">
        <v>1000</v>
      </c>
      <c r="B16" s="102" t="s">
        <v>29</v>
      </c>
      <c r="C16" s="103" t="s">
        <v>49</v>
      </c>
      <c r="D16" s="42" t="s">
        <v>48</v>
      </c>
      <c r="E16" s="103" t="s">
        <v>49</v>
      </c>
      <c r="F16" s="42" t="s">
        <v>48</v>
      </c>
      <c r="G16" s="124" t="s">
        <v>24</v>
      </c>
      <c r="H16" s="92"/>
      <c r="I16" s="6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49"/>
      <c r="AL16" s="249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</row>
    <row r="17" spans="1:92" x14ac:dyDescent="0.25">
      <c r="A17" s="30">
        <v>1000</v>
      </c>
      <c r="B17" s="102" t="s">
        <v>29</v>
      </c>
      <c r="C17" s="103" t="s">
        <v>66</v>
      </c>
      <c r="D17" s="42" t="s">
        <v>65</v>
      </c>
      <c r="E17" s="103" t="s">
        <v>49</v>
      </c>
      <c r="F17" s="42" t="s">
        <v>48</v>
      </c>
      <c r="G17" s="4" t="s">
        <v>45</v>
      </c>
      <c r="H17" s="92"/>
      <c r="I17" s="142"/>
      <c r="J17" s="142"/>
      <c r="K17" s="16">
        <f>MJ_Initialisation!F44</f>
        <v>550</v>
      </c>
      <c r="L17" s="16">
        <f>MJ_Initialisation!G44</f>
        <v>220</v>
      </c>
      <c r="M17" s="16">
        <f>MJ_Initialisation!H44</f>
        <v>310</v>
      </c>
      <c r="N17" s="16">
        <f>MJ_Initialisation!I44</f>
        <v>410</v>
      </c>
      <c r="O17" s="16">
        <f>MJ_Initialisation!J44</f>
        <v>440</v>
      </c>
      <c r="P17" s="16">
        <f>MJ_Initialisation!K44</f>
        <v>350</v>
      </c>
      <c r="Q17" s="16">
        <f>MJ_Initialisation!L44</f>
        <v>540</v>
      </c>
      <c r="R17" s="16">
        <f>MJ_Initialisation!M44</f>
        <v>550</v>
      </c>
      <c r="S17" s="16">
        <f>MJ_Initialisation!N44</f>
        <v>390</v>
      </c>
      <c r="T17" s="16">
        <f>MJ_Initialisation!O44</f>
        <v>530</v>
      </c>
      <c r="U17" s="16">
        <f>MJ_Initialisation!P44</f>
        <v>300</v>
      </c>
      <c r="V17" s="16">
        <f>MJ_Initialisation!Q44</f>
        <v>420</v>
      </c>
      <c r="W17" s="16">
        <f>MJ_Initialisation!R44</f>
        <v>340</v>
      </c>
      <c r="X17" s="16">
        <f>MJ_Initialisation!S44</f>
        <v>460</v>
      </c>
      <c r="Y17" s="16">
        <f>MJ_Initialisation!T44</f>
        <v>540</v>
      </c>
      <c r="Z17" s="16">
        <f>MJ_Initialisation!U44</f>
        <v>360</v>
      </c>
      <c r="AA17" s="16">
        <f>MJ_Initialisation!V44</f>
        <v>620</v>
      </c>
      <c r="AB17" s="16">
        <f>MJ_Initialisation!W44</f>
        <v>400</v>
      </c>
      <c r="AC17" s="16">
        <f>MJ_Initialisation!X44</f>
        <v>400</v>
      </c>
      <c r="AD17" s="16">
        <f>MJ_Initialisation!Y44</f>
        <v>220</v>
      </c>
      <c r="AE17" s="16">
        <f>MJ_Initialisation!Z44</f>
        <v>210</v>
      </c>
      <c r="AF17" s="16">
        <f>MJ_Initialisation!AA44</f>
        <v>40</v>
      </c>
      <c r="AG17" s="229"/>
      <c r="AH17" s="229"/>
      <c r="AI17" s="229"/>
      <c r="AJ17" s="229"/>
      <c r="AK17" s="260"/>
      <c r="AL17" s="260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</row>
    <row r="18" spans="1:92" x14ac:dyDescent="0.25">
      <c r="A18" s="30">
        <v>1000</v>
      </c>
      <c r="B18" s="102" t="s">
        <v>29</v>
      </c>
      <c r="C18" s="103" t="s">
        <v>66</v>
      </c>
      <c r="D18" s="42" t="s">
        <v>65</v>
      </c>
      <c r="E18" s="103" t="s">
        <v>49</v>
      </c>
      <c r="F18" s="42" t="s">
        <v>48</v>
      </c>
      <c r="G18" s="35" t="s">
        <v>73</v>
      </c>
      <c r="H18" s="31"/>
      <c r="I18" s="36">
        <f>MJ_Initialisation!D44</f>
        <v>530</v>
      </c>
      <c r="J18" s="36">
        <f>MJ_Initialisation!E44</f>
        <v>310</v>
      </c>
      <c r="K18" s="143"/>
      <c r="L18" s="254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254"/>
      <c r="AH18" s="254"/>
      <c r="AI18" s="254"/>
      <c r="AJ18" s="254"/>
      <c r="AK18" s="254"/>
      <c r="AL18" s="254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</row>
    <row r="19" spans="1:92" x14ac:dyDescent="0.25">
      <c r="A19" s="30">
        <v>1000</v>
      </c>
      <c r="B19" s="102" t="s">
        <v>29</v>
      </c>
      <c r="C19" s="103" t="s">
        <v>49</v>
      </c>
      <c r="D19" s="42" t="s">
        <v>48</v>
      </c>
      <c r="E19" s="103" t="s">
        <v>66</v>
      </c>
      <c r="F19" s="42" t="s">
        <v>65</v>
      </c>
      <c r="G19" s="127" t="s">
        <v>25</v>
      </c>
      <c r="H19" s="153"/>
      <c r="I19" s="225">
        <f ca="1">MAX(I17,SUM(I12:I15)+I16-H11-I18)</f>
        <v>0</v>
      </c>
      <c r="J19" s="225">
        <f ca="1">MAX(J17,SUM(J12:J15)+J16-I20-J18)</f>
        <v>0</v>
      </c>
      <c r="K19" s="225">
        <f t="shared" ref="K19:L19" ca="1" si="4">SUM(K12:K15)+K16-J20-K18</f>
        <v>550</v>
      </c>
      <c r="L19" s="225">
        <f t="shared" ca="1" si="4"/>
        <v>220</v>
      </c>
      <c r="M19" s="9">
        <f ca="1">SUM(M12:M15)+M16-L20-M18</f>
        <v>310</v>
      </c>
      <c r="N19" s="225">
        <f t="shared" ref="N19:AF19" ca="1" si="5">SUM(N12:N15)+N16-M20-N18</f>
        <v>410</v>
      </c>
      <c r="O19" s="225">
        <f t="shared" ca="1" si="5"/>
        <v>440</v>
      </c>
      <c r="P19" s="225">
        <f t="shared" ca="1" si="5"/>
        <v>350</v>
      </c>
      <c r="Q19" s="225">
        <f t="shared" ca="1" si="5"/>
        <v>540</v>
      </c>
      <c r="R19" s="225">
        <f t="shared" ca="1" si="5"/>
        <v>550</v>
      </c>
      <c r="S19" s="225">
        <f t="shared" ca="1" si="5"/>
        <v>390</v>
      </c>
      <c r="T19" s="225">
        <f t="shared" ca="1" si="5"/>
        <v>530</v>
      </c>
      <c r="U19" s="225">
        <f t="shared" ca="1" si="5"/>
        <v>300</v>
      </c>
      <c r="V19" s="225">
        <f t="shared" ca="1" si="5"/>
        <v>420</v>
      </c>
      <c r="W19" s="225">
        <f t="shared" ca="1" si="5"/>
        <v>340</v>
      </c>
      <c r="X19" s="225">
        <f t="shared" ca="1" si="5"/>
        <v>460</v>
      </c>
      <c r="Y19" s="225">
        <f t="shared" ca="1" si="5"/>
        <v>540</v>
      </c>
      <c r="Z19" s="225">
        <f t="shared" ca="1" si="5"/>
        <v>360</v>
      </c>
      <c r="AA19" s="225">
        <f t="shared" ca="1" si="5"/>
        <v>620</v>
      </c>
      <c r="AB19" s="225">
        <f t="shared" ca="1" si="5"/>
        <v>400</v>
      </c>
      <c r="AC19" s="225">
        <f t="shared" ca="1" si="5"/>
        <v>400</v>
      </c>
      <c r="AD19" s="225">
        <f t="shared" ca="1" si="5"/>
        <v>220</v>
      </c>
      <c r="AE19" s="225">
        <f t="shared" ca="1" si="5"/>
        <v>210</v>
      </c>
      <c r="AF19" s="225">
        <f t="shared" ca="1" si="5"/>
        <v>40</v>
      </c>
      <c r="AG19" s="225"/>
      <c r="AH19" s="225"/>
      <c r="AI19" s="225"/>
      <c r="AJ19" s="225"/>
      <c r="AK19" s="272"/>
      <c r="AL19" s="272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</row>
    <row r="20" spans="1:92" ht="15.75" thickBot="1" x14ac:dyDescent="0.3">
      <c r="A20" s="30">
        <v>1000</v>
      </c>
      <c r="B20" s="102" t="s">
        <v>29</v>
      </c>
      <c r="C20" s="103" t="s">
        <v>49</v>
      </c>
      <c r="D20" s="42" t="s">
        <v>48</v>
      </c>
      <c r="E20" s="103" t="s">
        <v>49</v>
      </c>
      <c r="F20" s="42" t="s">
        <v>48</v>
      </c>
      <c r="G20" s="125" t="s">
        <v>37</v>
      </c>
      <c r="I20" s="7">
        <f ca="1">H11+I19+I18-SUM(I12:I15)</f>
        <v>0</v>
      </c>
      <c r="J20" s="7">
        <f t="shared" ref="J20:AF20" ca="1" si="6">I20+J19+J18-SUM(J12:J15)</f>
        <v>0</v>
      </c>
      <c r="K20" s="7">
        <f t="shared" ca="1" si="6"/>
        <v>0</v>
      </c>
      <c r="L20" s="7">
        <f t="shared" ca="1" si="6"/>
        <v>0</v>
      </c>
      <c r="M20" s="7">
        <f t="shared" ca="1" si="6"/>
        <v>0</v>
      </c>
      <c r="N20" s="7">
        <f t="shared" ca="1" si="6"/>
        <v>0</v>
      </c>
      <c r="O20" s="7">
        <f t="shared" ca="1" si="6"/>
        <v>0</v>
      </c>
      <c r="P20" s="7">
        <f t="shared" ca="1" si="6"/>
        <v>0</v>
      </c>
      <c r="Q20" s="7">
        <f t="shared" ca="1" si="6"/>
        <v>0</v>
      </c>
      <c r="R20" s="7">
        <f t="shared" ca="1" si="6"/>
        <v>0</v>
      </c>
      <c r="S20" s="7">
        <f t="shared" ca="1" si="6"/>
        <v>0</v>
      </c>
      <c r="T20" s="7">
        <f t="shared" ca="1" si="6"/>
        <v>0</v>
      </c>
      <c r="U20" s="7">
        <f t="shared" ca="1" si="6"/>
        <v>0</v>
      </c>
      <c r="V20" s="7">
        <f t="shared" ca="1" si="6"/>
        <v>0</v>
      </c>
      <c r="W20" s="7">
        <f t="shared" ca="1" si="6"/>
        <v>0</v>
      </c>
      <c r="X20" s="7">
        <f t="shared" ca="1" si="6"/>
        <v>0</v>
      </c>
      <c r="Y20" s="7">
        <f t="shared" ca="1" si="6"/>
        <v>0</v>
      </c>
      <c r="Z20" s="7">
        <f t="shared" ca="1" si="6"/>
        <v>0</v>
      </c>
      <c r="AA20" s="7">
        <f t="shared" ca="1" si="6"/>
        <v>0</v>
      </c>
      <c r="AB20" s="7">
        <f t="shared" ca="1" si="6"/>
        <v>0</v>
      </c>
      <c r="AC20" s="7">
        <f t="shared" ca="1" si="6"/>
        <v>0</v>
      </c>
      <c r="AD20" s="7">
        <f t="shared" ca="1" si="6"/>
        <v>0</v>
      </c>
      <c r="AE20" s="7">
        <f t="shared" ca="1" si="6"/>
        <v>0</v>
      </c>
      <c r="AF20" s="7">
        <f t="shared" ca="1" si="6"/>
        <v>0</v>
      </c>
      <c r="AG20" s="224"/>
      <c r="AH20" s="224"/>
      <c r="AI20" s="224"/>
      <c r="AJ20" s="224"/>
      <c r="AK20" s="273"/>
      <c r="AL20" s="27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</row>
    <row r="21" spans="1:9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77"/>
      <c r="AG21" s="244"/>
      <c r="AH21" s="244"/>
      <c r="AI21" s="244"/>
      <c r="AJ21" s="244"/>
      <c r="AK21" s="239"/>
      <c r="AL21" s="239"/>
    </row>
    <row r="22" spans="1:92" ht="14.25" customHeight="1" x14ac:dyDescent="0.25">
      <c r="A22" s="30">
        <v>2000</v>
      </c>
      <c r="B22" s="121" t="s">
        <v>30</v>
      </c>
      <c r="C22" s="103" t="s">
        <v>49</v>
      </c>
      <c r="D22" s="42" t="s">
        <v>48</v>
      </c>
      <c r="E22" s="103" t="s">
        <v>50</v>
      </c>
      <c r="F22" s="116" t="s">
        <v>33</v>
      </c>
      <c r="G22" s="168" t="s">
        <v>117</v>
      </c>
      <c r="H22" s="171"/>
      <c r="I22" s="171">
        <f>PA_CDC!I51</f>
        <v>310</v>
      </c>
      <c r="J22" s="171" t="str">
        <f>IF(J5=MJ_Initialisation!AI18,MJ_Initialisation!E22,"")</f>
        <v/>
      </c>
      <c r="K22" s="171" t="str">
        <f>IF(K5=MJ_Initialisation!AJ18,MJ_Initialisation!F22,"")</f>
        <v/>
      </c>
      <c r="L22" s="171" t="str">
        <f>IF(L5=MJ_Initialisation!AK18,MJ_Initialisation!G22,"")</f>
        <v/>
      </c>
      <c r="M22" s="171" t="str">
        <f>IF(M5=MJ_Initialisation!AL18,MJ_Initialisation!H22,"")</f>
        <v/>
      </c>
      <c r="N22" s="171" t="str">
        <f>IF(N5=MJ_Initialisation!AM18,MJ_Initialisation!I22,"")</f>
        <v/>
      </c>
      <c r="O22" s="171" t="str">
        <f>IF(O5=MJ_Initialisation!AN18,MJ_Initialisation!J22,"")</f>
        <v/>
      </c>
      <c r="P22" s="171" t="str">
        <f>IF(P5=MJ_Initialisation!AO18,MJ_Initialisation!K22,"")</f>
        <v/>
      </c>
      <c r="Q22" s="171" t="str">
        <f>IF(Q5=MJ_Initialisation!AP18,MJ_Initialisation!L22,"")</f>
        <v/>
      </c>
      <c r="R22" s="171" t="str">
        <f>IF(R5=MJ_Initialisation!AQ18,MJ_Initialisation!M22,"")</f>
        <v/>
      </c>
      <c r="S22" s="171" t="str">
        <f>IF(S5=MJ_Initialisation!AR18,MJ_Initialisation!N22,"")</f>
        <v/>
      </c>
      <c r="T22" s="171" t="str">
        <f>IF(T5=MJ_Initialisation!AS18,MJ_Initialisation!O22,"")</f>
        <v/>
      </c>
      <c r="U22" s="171" t="str">
        <f>IF(U5=MJ_Initialisation!AT18,MJ_Initialisation!P22,"")</f>
        <v/>
      </c>
      <c r="V22" s="171" t="str">
        <f>IF(V5=MJ_Initialisation!AU18,MJ_Initialisation!Q22,"")</f>
        <v/>
      </c>
      <c r="W22" s="171" t="str">
        <f>IF(W5=MJ_Initialisation!AV18,MJ_Initialisation!R22,"")</f>
        <v/>
      </c>
      <c r="X22" s="171" t="str">
        <f>IF(X5=MJ_Initialisation!AW18,MJ_Initialisation!S22,"")</f>
        <v/>
      </c>
      <c r="Y22" s="171" t="str">
        <f>IF(Y5=MJ_Initialisation!AX18,MJ_Initialisation!T22,"")</f>
        <v/>
      </c>
      <c r="Z22" s="171" t="str">
        <f>IF(Z5=MJ_Initialisation!AY18,MJ_Initialisation!U22,"")</f>
        <v/>
      </c>
      <c r="AA22" s="171" t="str">
        <f>IF(AA5=MJ_Initialisation!AZ18,MJ_Initialisation!V22,"")</f>
        <v/>
      </c>
      <c r="AB22" s="171" t="str">
        <f>IF(AB5=MJ_Initialisation!BA18,MJ_Initialisation!W22,"")</f>
        <v/>
      </c>
      <c r="AC22" s="171" t="str">
        <f>IF(AC5=MJ_Initialisation!BB18,MJ_Initialisation!X22,"")</f>
        <v/>
      </c>
      <c r="AD22" s="171" t="str">
        <f>IF(AD5=MJ_Initialisation!BC18,MJ_Initialisation!Y22,"")</f>
        <v/>
      </c>
      <c r="AE22" s="171" t="str">
        <f>IF(AE5=MJ_Initialisation!BD18,MJ_Initialisation!Z22,"")</f>
        <v/>
      </c>
      <c r="AF22" s="171" t="str">
        <f>IF(AF5=MJ_Initialisation!BE18,MJ_Initialisation!AA22,"")</f>
        <v/>
      </c>
      <c r="AG22" s="264"/>
      <c r="AH22" s="264"/>
      <c r="AI22" s="264"/>
      <c r="AJ22" s="264"/>
      <c r="AK22" s="248"/>
      <c r="AL22" s="248"/>
    </row>
    <row r="23" spans="1:92" ht="14.25" customHeight="1" x14ac:dyDescent="0.25">
      <c r="A23" s="30">
        <v>2000</v>
      </c>
      <c r="B23" s="121" t="s">
        <v>30</v>
      </c>
      <c r="C23" s="103" t="s">
        <v>49</v>
      </c>
      <c r="D23" s="42" t="s">
        <v>48</v>
      </c>
      <c r="E23" s="103" t="s">
        <v>51</v>
      </c>
      <c r="F23" s="117" t="s">
        <v>35</v>
      </c>
      <c r="G23" s="170" t="s">
        <v>117</v>
      </c>
      <c r="H23" s="171"/>
      <c r="I23" s="171">
        <f ca="1">PA_CDC!I56</f>
        <v>140</v>
      </c>
      <c r="J23" s="171" t="str">
        <f>IF(J5=MJ_Initialisation!AI18,MJ_Initialisation!E30,"")</f>
        <v/>
      </c>
      <c r="K23" s="171" t="str">
        <f>IF(K5=MJ_Initialisation!AJ18,MJ_Initialisation!F30,"")</f>
        <v/>
      </c>
      <c r="L23" s="171" t="str">
        <f>IF(L5=MJ_Initialisation!AK18,MJ_Initialisation!G30,"")</f>
        <v/>
      </c>
      <c r="M23" s="171" t="str">
        <f>IF(M5=MJ_Initialisation!AL18,MJ_Initialisation!H30,"")</f>
        <v/>
      </c>
      <c r="N23" s="171" t="str">
        <f>IF(N5=MJ_Initialisation!AM18,MJ_Initialisation!I30,"")</f>
        <v/>
      </c>
      <c r="O23" s="171" t="str">
        <f>IF(O5=MJ_Initialisation!AN18,MJ_Initialisation!J30,"")</f>
        <v/>
      </c>
      <c r="P23" s="171" t="str">
        <f>IF(P5=MJ_Initialisation!AO18,MJ_Initialisation!K30,"")</f>
        <v/>
      </c>
      <c r="Q23" s="171" t="str">
        <f>IF(Q5=MJ_Initialisation!AP18,MJ_Initialisation!L30,"")</f>
        <v/>
      </c>
      <c r="R23" s="171" t="str">
        <f>IF(R5=MJ_Initialisation!AQ18,MJ_Initialisation!M30,"")</f>
        <v/>
      </c>
      <c r="S23" s="171" t="str">
        <f>IF(S5=MJ_Initialisation!AR18,MJ_Initialisation!N30,"")</f>
        <v/>
      </c>
      <c r="T23" s="171" t="str">
        <f>IF(T5=MJ_Initialisation!AS18,MJ_Initialisation!O30,"")</f>
        <v/>
      </c>
      <c r="U23" s="171" t="str">
        <f>IF(U5=MJ_Initialisation!AT18,MJ_Initialisation!P30,"")</f>
        <v/>
      </c>
      <c r="V23" s="171" t="str">
        <f>IF(V5=MJ_Initialisation!AU18,MJ_Initialisation!Q30,"")</f>
        <v/>
      </c>
      <c r="W23" s="171" t="str">
        <f>IF(W5=MJ_Initialisation!AV18,MJ_Initialisation!R30,"")</f>
        <v/>
      </c>
      <c r="X23" s="171" t="str">
        <f>IF(X5=MJ_Initialisation!AW18,MJ_Initialisation!S30,"")</f>
        <v/>
      </c>
      <c r="Y23" s="171" t="str">
        <f>IF(Y5=MJ_Initialisation!AX18,MJ_Initialisation!T30,"")</f>
        <v/>
      </c>
      <c r="Z23" s="171" t="str">
        <f>IF(Z5=MJ_Initialisation!AY18,MJ_Initialisation!U30,"")</f>
        <v/>
      </c>
      <c r="AA23" s="171" t="str">
        <f>IF(AA5=MJ_Initialisation!AZ18,MJ_Initialisation!V30,"")</f>
        <v/>
      </c>
      <c r="AB23" s="171" t="str">
        <f>IF(AB5=MJ_Initialisation!BA18,MJ_Initialisation!W30,"")</f>
        <v/>
      </c>
      <c r="AC23" s="171" t="str">
        <f>IF(AC5=MJ_Initialisation!BB18,MJ_Initialisation!X30,"")</f>
        <v/>
      </c>
      <c r="AD23" s="171" t="str">
        <f>IF(AD5=MJ_Initialisation!BC18,MJ_Initialisation!Y30,"")</f>
        <v/>
      </c>
      <c r="AE23" s="171" t="str">
        <f>IF(AE5=MJ_Initialisation!BD18,MJ_Initialisation!Z30,"")</f>
        <v/>
      </c>
      <c r="AF23" s="171" t="str">
        <f>IF(AF5=MJ_Initialisation!BE18,MJ_Initialisation!AA30,"")</f>
        <v/>
      </c>
      <c r="AG23" s="264"/>
      <c r="AH23" s="264"/>
      <c r="AI23" s="264"/>
      <c r="AJ23" s="264"/>
      <c r="AK23" s="248"/>
      <c r="AL23" s="248"/>
    </row>
    <row r="24" spans="1:92" x14ac:dyDescent="0.25">
      <c r="A24" s="30">
        <v>2000</v>
      </c>
      <c r="B24" s="121" t="s">
        <v>30</v>
      </c>
      <c r="C24" s="103" t="s">
        <v>49</v>
      </c>
      <c r="D24" s="42" t="s">
        <v>48</v>
      </c>
      <c r="E24" s="103" t="s">
        <v>53</v>
      </c>
      <c r="F24" s="119" t="s">
        <v>34</v>
      </c>
      <c r="G24" s="170" t="s">
        <v>117</v>
      </c>
      <c r="H24" s="171"/>
      <c r="I24" s="171">
        <f ca="1">PA_CDC!I61</f>
        <v>60</v>
      </c>
      <c r="J24" s="171" t="str">
        <f>IF(J5=MJ_Initialisation!AI18,MJ_Initialisation!E38,"")</f>
        <v/>
      </c>
      <c r="K24" s="171" t="str">
        <f>IF(K5=MJ_Initialisation!AJ18,MJ_Initialisation!F38,"")</f>
        <v/>
      </c>
      <c r="L24" s="171" t="str">
        <f>IF(L5=MJ_Initialisation!AK18,MJ_Initialisation!G38,"")</f>
        <v/>
      </c>
      <c r="M24" s="171" t="str">
        <f>IF(M5=MJ_Initialisation!AL18,MJ_Initialisation!H38,"")</f>
        <v/>
      </c>
      <c r="N24" s="171" t="str">
        <f>IF(N5=MJ_Initialisation!AM18,MJ_Initialisation!I38,"")</f>
        <v/>
      </c>
      <c r="O24" s="171" t="str">
        <f>IF(O5=MJ_Initialisation!AN18,MJ_Initialisation!J38,"")</f>
        <v/>
      </c>
      <c r="P24" s="171" t="str">
        <f>IF(P5=MJ_Initialisation!AO18,MJ_Initialisation!K38,"")</f>
        <v/>
      </c>
      <c r="Q24" s="171" t="str">
        <f>IF(Q5=MJ_Initialisation!AP18,MJ_Initialisation!L38,"")</f>
        <v/>
      </c>
      <c r="R24" s="171" t="str">
        <f>IF(R5=MJ_Initialisation!AQ18,MJ_Initialisation!M38,"")</f>
        <v/>
      </c>
      <c r="S24" s="171" t="str">
        <f>IF(S5=MJ_Initialisation!AR18,MJ_Initialisation!N38,"")</f>
        <v/>
      </c>
      <c r="T24" s="171" t="str">
        <f>IF(T5=MJ_Initialisation!AS18,MJ_Initialisation!O38,"")</f>
        <v/>
      </c>
      <c r="U24" s="171" t="str">
        <f>IF(U5=MJ_Initialisation!AT18,MJ_Initialisation!P38,"")</f>
        <v/>
      </c>
      <c r="V24" s="171" t="str">
        <f>IF(V5=MJ_Initialisation!AU18,MJ_Initialisation!Q38,"")</f>
        <v/>
      </c>
      <c r="W24" s="171" t="str">
        <f>IF(W5=MJ_Initialisation!AV18,MJ_Initialisation!R38,"")</f>
        <v/>
      </c>
      <c r="X24" s="171" t="str">
        <f>IF(X5=MJ_Initialisation!AW18,MJ_Initialisation!S38,"")</f>
        <v/>
      </c>
      <c r="Y24" s="171" t="str">
        <f>IF(Y5=MJ_Initialisation!AX18,MJ_Initialisation!T38,"")</f>
        <v/>
      </c>
      <c r="Z24" s="171" t="str">
        <f>IF(Z5=MJ_Initialisation!AY18,MJ_Initialisation!U38,"")</f>
        <v/>
      </c>
      <c r="AA24" s="171" t="str">
        <f>IF(AA5=MJ_Initialisation!AZ18,MJ_Initialisation!V38,"")</f>
        <v/>
      </c>
      <c r="AB24" s="171" t="str">
        <f>IF(AB5=MJ_Initialisation!BA18,MJ_Initialisation!W38,"")</f>
        <v/>
      </c>
      <c r="AC24" s="171" t="str">
        <f>IF(AC5=MJ_Initialisation!BB18,MJ_Initialisation!X38,"")</f>
        <v/>
      </c>
      <c r="AD24" s="171" t="str">
        <f>IF(AD5=MJ_Initialisation!BC18,MJ_Initialisation!Y38,"")</f>
        <v/>
      </c>
      <c r="AE24" s="171" t="str">
        <f>IF(AE5=MJ_Initialisation!BD18,MJ_Initialisation!Z38,"")</f>
        <v/>
      </c>
      <c r="AF24" s="171" t="str">
        <f>IF(AF5=MJ_Initialisation!BE18,MJ_Initialisation!AA38,"")</f>
        <v/>
      </c>
      <c r="AG24" s="264"/>
      <c r="AH24" s="264"/>
      <c r="AI24" s="264"/>
      <c r="AJ24" s="264"/>
      <c r="AK24" s="248"/>
      <c r="AL24" s="248"/>
    </row>
    <row r="25" spans="1:92" x14ac:dyDescent="0.25">
      <c r="A25" s="30">
        <v>2000</v>
      </c>
      <c r="B25" s="121" t="s">
        <v>30</v>
      </c>
      <c r="C25" s="103" t="s">
        <v>66</v>
      </c>
      <c r="D25" s="42" t="s">
        <v>65</v>
      </c>
      <c r="E25" s="103" t="s">
        <v>49</v>
      </c>
      <c r="F25" s="42" t="s">
        <v>48</v>
      </c>
      <c r="G25" s="170" t="s">
        <v>118</v>
      </c>
      <c r="H25" s="171"/>
      <c r="I25" s="171">
        <f>I32</f>
        <v>510</v>
      </c>
      <c r="J25" s="171" t="str">
        <f>IF(J5=MJ_Initialisation!AI18,MJ_Initialisation!E46,"")</f>
        <v/>
      </c>
      <c r="K25" s="171" t="str">
        <f>IF(K5=MJ_Initialisation!AJ18,MJ_Initialisation!F46,"")</f>
        <v/>
      </c>
      <c r="L25" s="171" t="str">
        <f>IF(L5=MJ_Initialisation!AK18,MJ_Initialisation!G46,"")</f>
        <v/>
      </c>
      <c r="M25" s="171" t="str">
        <f>IF(M5=MJ_Initialisation!AL18,MJ_Initialisation!H46,"")</f>
        <v/>
      </c>
      <c r="N25" s="171" t="str">
        <f>IF(N5=MJ_Initialisation!AM18,MJ_Initialisation!I46,"")</f>
        <v/>
      </c>
      <c r="O25" s="171" t="str">
        <f>IF(O5=MJ_Initialisation!AN18,MJ_Initialisation!J46,"")</f>
        <v/>
      </c>
      <c r="P25" s="171" t="str">
        <f>IF(P5=MJ_Initialisation!AO18,MJ_Initialisation!K46,"")</f>
        <v/>
      </c>
      <c r="Q25" s="171" t="str">
        <f>IF(Q5=MJ_Initialisation!AP18,MJ_Initialisation!L46,"")</f>
        <v/>
      </c>
      <c r="R25" s="171" t="str">
        <f>IF(R5=MJ_Initialisation!AQ18,MJ_Initialisation!M46,"")</f>
        <v/>
      </c>
      <c r="S25" s="171" t="str">
        <f>IF(S5=MJ_Initialisation!AR18,MJ_Initialisation!N46,"")</f>
        <v/>
      </c>
      <c r="T25" s="171" t="str">
        <f>IF(T5=MJ_Initialisation!AS18,MJ_Initialisation!O46,"")</f>
        <v/>
      </c>
      <c r="U25" s="171" t="str">
        <f>IF(U5=MJ_Initialisation!AT18,MJ_Initialisation!P46,"")</f>
        <v/>
      </c>
      <c r="V25" s="171" t="str">
        <f>IF(V5=MJ_Initialisation!AU18,MJ_Initialisation!Q46,"")</f>
        <v/>
      </c>
      <c r="W25" s="171" t="str">
        <f>IF(W5=MJ_Initialisation!AV18,MJ_Initialisation!R46,"")</f>
        <v/>
      </c>
      <c r="X25" s="171" t="str">
        <f>IF(X5=MJ_Initialisation!AW18,MJ_Initialisation!S46,"")</f>
        <v/>
      </c>
      <c r="Y25" s="171" t="str">
        <f>IF(Y5=MJ_Initialisation!AX18,MJ_Initialisation!T46,"")</f>
        <v/>
      </c>
      <c r="Z25" s="171" t="str">
        <f>IF(Z5=MJ_Initialisation!AY18,MJ_Initialisation!U46,"")</f>
        <v/>
      </c>
      <c r="AA25" s="171" t="str">
        <f>IF(AA5=MJ_Initialisation!AZ18,MJ_Initialisation!V46,"")</f>
        <v/>
      </c>
      <c r="AB25" s="171" t="str">
        <f>IF(AB5=MJ_Initialisation!BA18,MJ_Initialisation!W46,"")</f>
        <v/>
      </c>
      <c r="AC25" s="171" t="str">
        <f>IF(AC5=MJ_Initialisation!BB18,MJ_Initialisation!X46,"")</f>
        <v/>
      </c>
      <c r="AD25" s="171" t="str">
        <f>IF(AD5=MJ_Initialisation!BC18,MJ_Initialisation!Y46,"")</f>
        <v/>
      </c>
      <c r="AE25" s="171" t="str">
        <f>IF(AE5=MJ_Initialisation!BD18,MJ_Initialisation!Z46,"")</f>
        <v/>
      </c>
      <c r="AF25" s="171" t="str">
        <f>IF(AF5=MJ_Initialisation!BE18,MJ_Initialisation!AA46,"")</f>
        <v/>
      </c>
      <c r="AG25" s="264"/>
      <c r="AH25" s="264"/>
      <c r="AI25" s="264"/>
      <c r="AJ25" s="264"/>
      <c r="AK25" s="248"/>
      <c r="AL25" s="248"/>
    </row>
    <row r="26" spans="1:92" ht="15.75" thickBot="1" x14ac:dyDescent="0.3">
      <c r="A26" s="30">
        <v>2000</v>
      </c>
      <c r="B26" s="121" t="s">
        <v>30</v>
      </c>
      <c r="C26" s="103" t="s">
        <v>49</v>
      </c>
      <c r="D26" s="42" t="s">
        <v>48</v>
      </c>
      <c r="E26" s="103" t="s">
        <v>49</v>
      </c>
      <c r="F26" s="42" t="s">
        <v>48</v>
      </c>
      <c r="G26" s="168" t="s">
        <v>120</v>
      </c>
      <c r="H26" s="66">
        <f>MJ_Initialisation!AF17</f>
        <v>0</v>
      </c>
      <c r="I26" s="175">
        <f ca="1">H26+I25-SUM(I22:I24)</f>
        <v>0</v>
      </c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267"/>
      <c r="AH26" s="267"/>
      <c r="AI26" s="267"/>
      <c r="AJ26" s="267"/>
      <c r="AK26" s="274"/>
      <c r="AL26" s="274"/>
    </row>
    <row r="27" spans="1:92" x14ac:dyDescent="0.25">
      <c r="A27" s="30">
        <v>2000</v>
      </c>
      <c r="B27" s="121" t="s">
        <v>30</v>
      </c>
      <c r="C27" s="103" t="s">
        <v>50</v>
      </c>
      <c r="D27" s="116" t="s">
        <v>33</v>
      </c>
      <c r="E27" s="103" t="s">
        <v>49</v>
      </c>
      <c r="F27" s="42" t="s">
        <v>48</v>
      </c>
      <c r="G27" s="8" t="s">
        <v>57</v>
      </c>
      <c r="H27" s="3"/>
      <c r="I27" s="63">
        <f>France!J22</f>
        <v>310</v>
      </c>
      <c r="J27" s="63">
        <f>France!K22</f>
        <v>50</v>
      </c>
      <c r="K27" s="63">
        <f>France!L22</f>
        <v>110</v>
      </c>
      <c r="L27" s="63">
        <f>France!M22</f>
        <v>50</v>
      </c>
      <c r="M27" s="63">
        <f>France!N22</f>
        <v>20</v>
      </c>
      <c r="N27" s="63">
        <f>France!O22</f>
        <v>130</v>
      </c>
      <c r="O27" s="63">
        <f>France!P22</f>
        <v>170</v>
      </c>
      <c r="P27" s="63">
        <f>France!Q22</f>
        <v>180</v>
      </c>
      <c r="Q27" s="63">
        <f>France!R22</f>
        <v>180</v>
      </c>
      <c r="R27" s="63">
        <f>France!S22</f>
        <v>10</v>
      </c>
      <c r="S27" s="63">
        <f>France!T22</f>
        <v>100</v>
      </c>
      <c r="T27" s="63">
        <f>France!U22</f>
        <v>200</v>
      </c>
      <c r="U27" s="63">
        <f>France!V22</f>
        <v>30</v>
      </c>
      <c r="V27" s="63">
        <f>France!W22</f>
        <v>200</v>
      </c>
      <c r="W27" s="63">
        <f>France!X22</f>
        <v>50</v>
      </c>
      <c r="X27" s="63">
        <f>France!Y22</f>
        <v>40</v>
      </c>
      <c r="Y27" s="63">
        <f>France!Z22</f>
        <v>40</v>
      </c>
      <c r="Z27" s="63">
        <f>France!AA22</f>
        <v>10</v>
      </c>
      <c r="AA27" s="63">
        <f>France!AB22</f>
        <v>40</v>
      </c>
      <c r="AB27" s="63">
        <f>France!AC22</f>
        <v>100</v>
      </c>
      <c r="AC27" s="63">
        <f>France!AD22</f>
        <v>150</v>
      </c>
      <c r="AD27" s="63">
        <f>France!AE22</f>
        <v>100</v>
      </c>
      <c r="AE27" s="63">
        <f>France!AF22</f>
        <v>110</v>
      </c>
      <c r="AF27" s="63">
        <f>France!AG22</f>
        <v>40</v>
      </c>
      <c r="AG27" s="242"/>
      <c r="AH27" s="242"/>
      <c r="AI27" s="242"/>
      <c r="AJ27" s="242"/>
      <c r="AK27" s="275"/>
      <c r="AL27" s="275"/>
    </row>
    <row r="28" spans="1:92" x14ac:dyDescent="0.25">
      <c r="A28" s="30">
        <v>2000</v>
      </c>
      <c r="B28" s="121" t="s">
        <v>30</v>
      </c>
      <c r="C28" s="103" t="s">
        <v>51</v>
      </c>
      <c r="D28" s="117" t="s">
        <v>35</v>
      </c>
      <c r="E28" s="103" t="s">
        <v>49</v>
      </c>
      <c r="F28" s="42" t="s">
        <v>48</v>
      </c>
      <c r="G28" s="8" t="s">
        <v>57</v>
      </c>
      <c r="H28" s="5"/>
      <c r="I28" s="15">
        <f ca="1">OFFSET(Espagne!J22,0,1)</f>
        <v>140</v>
      </c>
      <c r="J28" s="15">
        <f ca="1">OFFSET(Espagne!K22,0,1)</f>
        <v>20</v>
      </c>
      <c r="K28" s="15">
        <f ca="1">OFFSET(Espagne!L22,0,1)</f>
        <v>170</v>
      </c>
      <c r="L28" s="15">
        <f ca="1">OFFSET(Espagne!M22,0,1)</f>
        <v>0</v>
      </c>
      <c r="M28" s="15">
        <f ca="1">OFFSET(Espagne!N22,0,1)</f>
        <v>60</v>
      </c>
      <c r="N28" s="15">
        <f ca="1">OFFSET(Espagne!O22,0,1)</f>
        <v>20</v>
      </c>
      <c r="O28" s="15">
        <f ca="1">OFFSET(Espagne!P22,0,1)</f>
        <v>170</v>
      </c>
      <c r="P28" s="15">
        <f ca="1">OFFSET(Espagne!Q22,0,1)</f>
        <v>40</v>
      </c>
      <c r="Q28" s="15">
        <f ca="1">OFFSET(Espagne!R22,0,1)</f>
        <v>80</v>
      </c>
      <c r="R28" s="15">
        <f ca="1">OFFSET(Espagne!S22,0,1)</f>
        <v>130</v>
      </c>
      <c r="S28" s="15">
        <f ca="1">OFFSET(Espagne!T22,0,1)</f>
        <v>140</v>
      </c>
      <c r="T28" s="15">
        <f ca="1">OFFSET(Espagne!U22,0,1)</f>
        <v>30</v>
      </c>
      <c r="U28" s="15">
        <f ca="1">OFFSET(Espagne!V22,0,1)</f>
        <v>70</v>
      </c>
      <c r="V28" s="15">
        <f ca="1">OFFSET(Espagne!W22,0,1)</f>
        <v>120</v>
      </c>
      <c r="W28" s="15">
        <f ca="1">OFFSET(Espagne!X22,0,1)</f>
        <v>140</v>
      </c>
      <c r="X28" s="15">
        <f ca="1">OFFSET(Espagne!Y22,0,1)</f>
        <v>10</v>
      </c>
      <c r="Y28" s="15">
        <f ca="1">OFFSET(Espagne!Z22,0,1)</f>
        <v>110</v>
      </c>
      <c r="Z28" s="15">
        <f ca="1">OFFSET(Espagne!AA22,0,1)</f>
        <v>30</v>
      </c>
      <c r="AA28" s="15">
        <f ca="1">OFFSET(Espagne!AB22,0,1)</f>
        <v>30</v>
      </c>
      <c r="AB28" s="15">
        <f ca="1">OFFSET(Espagne!AC22,0,1)</f>
        <v>60</v>
      </c>
      <c r="AC28" s="15">
        <f ca="1">OFFSET(Espagne!AD22,0,1)</f>
        <v>100</v>
      </c>
      <c r="AD28" s="15">
        <f ca="1">OFFSET(Espagne!AE22,0,1)</f>
        <v>100</v>
      </c>
      <c r="AE28" s="15">
        <f ca="1">OFFSET(Espagne!AF22,0,1)</f>
        <v>140</v>
      </c>
      <c r="AF28" s="15">
        <f ca="1">OFFSET(Espagne!AG22,0,1)</f>
        <v>0</v>
      </c>
      <c r="AG28" s="228"/>
      <c r="AH28" s="228"/>
      <c r="AI28" s="228"/>
      <c r="AJ28" s="228"/>
      <c r="AK28" s="248"/>
      <c r="AL28" s="248"/>
    </row>
    <row r="29" spans="1:92" x14ac:dyDescent="0.25">
      <c r="A29" s="30">
        <v>2000</v>
      </c>
      <c r="B29" s="121" t="s">
        <v>30</v>
      </c>
      <c r="C29" s="103" t="s">
        <v>53</v>
      </c>
      <c r="D29" s="119" t="s">
        <v>34</v>
      </c>
      <c r="E29" s="103" t="s">
        <v>49</v>
      </c>
      <c r="F29" s="42" t="s">
        <v>48</v>
      </c>
      <c r="G29" s="8" t="s">
        <v>57</v>
      </c>
      <c r="H29" s="5"/>
      <c r="I29" s="15">
        <f ca="1">OFFSET(Australie!J22,0,3)</f>
        <v>60</v>
      </c>
      <c r="J29" s="15">
        <f ca="1">OFFSET(Australie!K22,0,3)</f>
        <v>40</v>
      </c>
      <c r="K29" s="15">
        <f ca="1">OFFSET(Australie!L22,0,3)</f>
        <v>100</v>
      </c>
      <c r="L29" s="15">
        <f ca="1">OFFSET(Australie!M22,0,3)</f>
        <v>90</v>
      </c>
      <c r="M29" s="15">
        <f ca="1">OFFSET(Australie!N22,0,3)</f>
        <v>100</v>
      </c>
      <c r="N29" s="15">
        <f ca="1">OFFSET(Australie!O22,0,3)</f>
        <v>30</v>
      </c>
      <c r="O29" s="15">
        <f ca="1">OFFSET(Australie!P22,0,3)</f>
        <v>60</v>
      </c>
      <c r="P29" s="15">
        <f ca="1">OFFSET(Australie!Q22,0,3)</f>
        <v>80</v>
      </c>
      <c r="Q29" s="15">
        <f ca="1">OFFSET(Australie!R22,0,3)</f>
        <v>70</v>
      </c>
      <c r="R29" s="15">
        <f ca="1">OFFSET(Australie!S22,0,3)</f>
        <v>0</v>
      </c>
      <c r="S29" s="15">
        <f ca="1">OFFSET(Australie!T22,0,3)</f>
        <v>80</v>
      </c>
      <c r="T29" s="15">
        <f ca="1">OFFSET(Australie!U22,0,3)</f>
        <v>10</v>
      </c>
      <c r="U29" s="15">
        <f ca="1">OFFSET(Australie!V22,0,3)</f>
        <v>80</v>
      </c>
      <c r="V29" s="15">
        <f ca="1">OFFSET(Australie!W22,0,3)</f>
        <v>100</v>
      </c>
      <c r="W29" s="15">
        <f ca="1">OFFSET(Australie!X22,0,3)</f>
        <v>20</v>
      </c>
      <c r="X29" s="15">
        <f ca="1">OFFSET(Australie!Y22,0,3)</f>
        <v>90</v>
      </c>
      <c r="Y29" s="15">
        <f ca="1">OFFSET(Australie!Z22,0,3)</f>
        <v>90</v>
      </c>
      <c r="Z29" s="15">
        <f ca="1">OFFSET(Australie!AA22,0,3)</f>
        <v>100</v>
      </c>
      <c r="AA29" s="15">
        <f ca="1">OFFSET(Australie!AB22,0,3)</f>
        <v>80</v>
      </c>
      <c r="AB29" s="15">
        <f ca="1">OFFSET(Australie!AC22,0,3)</f>
        <v>90</v>
      </c>
      <c r="AC29" s="15">
        <f ca="1">OFFSET(Australie!AD22,0,3)</f>
        <v>20</v>
      </c>
      <c r="AD29" s="15">
        <f ca="1">OFFSET(Australie!AE22,0,3)</f>
        <v>0</v>
      </c>
      <c r="AE29" s="15">
        <f ca="1">OFFSET(Australie!AF22,0,3)</f>
        <v>0</v>
      </c>
      <c r="AF29" s="15">
        <f ca="1">OFFSET(Australie!AG22,0,3)</f>
        <v>0</v>
      </c>
      <c r="AG29" s="228"/>
      <c r="AH29" s="228"/>
      <c r="AI29" s="228"/>
      <c r="AJ29" s="228"/>
      <c r="AK29" s="248"/>
      <c r="AL29" s="248"/>
    </row>
    <row r="30" spans="1:92" x14ac:dyDescent="0.25">
      <c r="A30" s="30">
        <v>2000</v>
      </c>
      <c r="B30" s="121" t="s">
        <v>30</v>
      </c>
      <c r="C30" s="103" t="s">
        <v>49</v>
      </c>
      <c r="D30" s="42" t="s">
        <v>48</v>
      </c>
      <c r="E30" s="103" t="s">
        <v>49</v>
      </c>
      <c r="F30" s="42" t="s">
        <v>48</v>
      </c>
      <c r="G30" s="124" t="s">
        <v>24</v>
      </c>
      <c r="H30" s="5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  <c r="AI30" s="223"/>
      <c r="AJ30" s="223"/>
      <c r="AK30" s="249"/>
      <c r="AL30" s="249"/>
    </row>
    <row r="31" spans="1:92" x14ac:dyDescent="0.25">
      <c r="A31" s="30">
        <v>2000</v>
      </c>
      <c r="B31" s="121" t="s">
        <v>30</v>
      </c>
      <c r="C31" s="103" t="s">
        <v>66</v>
      </c>
      <c r="D31" s="42" t="s">
        <v>65</v>
      </c>
      <c r="E31" s="103" t="s">
        <v>49</v>
      </c>
      <c r="F31" s="42" t="s">
        <v>48</v>
      </c>
      <c r="G31" s="4" t="s">
        <v>45</v>
      </c>
      <c r="H31" s="5"/>
      <c r="I31" s="142"/>
      <c r="J31" s="142"/>
      <c r="K31" s="64">
        <f>MJ_Initialisation!F46</f>
        <v>380</v>
      </c>
      <c r="L31" s="64">
        <f>MJ_Initialisation!G46</f>
        <v>140</v>
      </c>
      <c r="M31" s="64">
        <f>MJ_Initialisation!H46</f>
        <v>180</v>
      </c>
      <c r="N31" s="64">
        <f>MJ_Initialisation!I46</f>
        <v>180</v>
      </c>
      <c r="O31" s="64">
        <f>MJ_Initialisation!J46</f>
        <v>400</v>
      </c>
      <c r="P31" s="64">
        <f>MJ_Initialisation!K46</f>
        <v>300</v>
      </c>
      <c r="Q31" s="64">
        <f>MJ_Initialisation!L46</f>
        <v>330</v>
      </c>
      <c r="R31" s="64">
        <f>MJ_Initialisation!M46</f>
        <v>140</v>
      </c>
      <c r="S31" s="64">
        <f>MJ_Initialisation!N46</f>
        <v>320</v>
      </c>
      <c r="T31" s="64">
        <f>MJ_Initialisation!O46</f>
        <v>240</v>
      </c>
      <c r="U31" s="64">
        <f>MJ_Initialisation!P46</f>
        <v>180</v>
      </c>
      <c r="V31" s="64">
        <f>MJ_Initialisation!Q46</f>
        <v>420</v>
      </c>
      <c r="W31" s="64">
        <f>MJ_Initialisation!R46</f>
        <v>210</v>
      </c>
      <c r="X31" s="64">
        <f>MJ_Initialisation!S46</f>
        <v>140</v>
      </c>
      <c r="Y31" s="64">
        <f>MJ_Initialisation!T46</f>
        <v>240</v>
      </c>
      <c r="Z31" s="64">
        <f>MJ_Initialisation!U46</f>
        <v>140</v>
      </c>
      <c r="AA31" s="64">
        <f>MJ_Initialisation!V46</f>
        <v>150</v>
      </c>
      <c r="AB31" s="64">
        <f>MJ_Initialisation!W46</f>
        <v>250</v>
      </c>
      <c r="AC31" s="64">
        <f>MJ_Initialisation!X46</f>
        <v>270</v>
      </c>
      <c r="AD31" s="64">
        <f>MJ_Initialisation!Y46</f>
        <v>200</v>
      </c>
      <c r="AE31" s="64">
        <f>MJ_Initialisation!Z46</f>
        <v>250</v>
      </c>
      <c r="AF31" s="64">
        <f>MJ_Initialisation!AA46</f>
        <v>40</v>
      </c>
      <c r="AG31" s="243"/>
      <c r="AH31" s="243"/>
      <c r="AI31" s="243"/>
      <c r="AJ31" s="243"/>
      <c r="AK31" s="239"/>
      <c r="AL31" s="239"/>
    </row>
    <row r="32" spans="1:92" x14ac:dyDescent="0.25">
      <c r="A32" s="30">
        <v>2000</v>
      </c>
      <c r="B32" s="121" t="s">
        <v>30</v>
      </c>
      <c r="C32" s="103" t="s">
        <v>66</v>
      </c>
      <c r="D32" s="42" t="s">
        <v>65</v>
      </c>
      <c r="E32" s="103" t="s">
        <v>49</v>
      </c>
      <c r="F32" s="42" t="s">
        <v>48</v>
      </c>
      <c r="G32" s="35" t="s">
        <v>73</v>
      </c>
      <c r="H32" s="31"/>
      <c r="I32" s="36">
        <f>MJ_Initialisation!D46</f>
        <v>510</v>
      </c>
      <c r="J32" s="36">
        <f>MJ_Initialisation!E46</f>
        <v>110</v>
      </c>
      <c r="K32" s="254"/>
      <c r="L32" s="25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255"/>
      <c r="AH32" s="255"/>
      <c r="AI32" s="255"/>
      <c r="AJ32" s="255"/>
      <c r="AK32" s="255"/>
      <c r="AL32" s="255"/>
    </row>
    <row r="33" spans="1:38" x14ac:dyDescent="0.25">
      <c r="A33" s="30">
        <v>2000</v>
      </c>
      <c r="B33" s="121" t="s">
        <v>30</v>
      </c>
      <c r="C33" s="103" t="s">
        <v>49</v>
      </c>
      <c r="D33" s="42" t="s">
        <v>48</v>
      </c>
      <c r="E33" s="103" t="s">
        <v>66</v>
      </c>
      <c r="F33" s="42" t="s">
        <v>65</v>
      </c>
      <c r="G33" s="127" t="s">
        <v>25</v>
      </c>
      <c r="H33" s="65"/>
      <c r="I33" s="225">
        <f ca="1">MAX(I31,SUM(I27:I29)+I30-H26-I32)</f>
        <v>0</v>
      </c>
      <c r="J33" s="225">
        <f t="shared" ref="J33:L33" ca="1" si="7">MAX(J31,SUM(J27:J29)+J30-I34-J32)</f>
        <v>0</v>
      </c>
      <c r="K33" s="225">
        <f t="shared" ref="K33" ca="1" si="8">SUM(K26:K29)+K30-J34-K32</f>
        <v>380</v>
      </c>
      <c r="L33" s="225">
        <f t="shared" ref="L33" ca="1" si="9">SUM(L26:L29)+L30-K34-L32</f>
        <v>140</v>
      </c>
      <c r="M33" s="225">
        <f ca="1">SUM(M26:M29)+M30-L34-M32</f>
        <v>180</v>
      </c>
      <c r="N33" s="225">
        <f t="shared" ref="N33" ca="1" si="10">SUM(N26:N29)+N30-M34-N32</f>
        <v>180</v>
      </c>
      <c r="O33" s="225">
        <f t="shared" ref="O33" ca="1" si="11">SUM(O26:O29)+O30-N34-O32</f>
        <v>400</v>
      </c>
      <c r="P33" s="225">
        <f t="shared" ref="P33" ca="1" si="12">SUM(P26:P29)+P30-O34-P32</f>
        <v>300</v>
      </c>
      <c r="Q33" s="225">
        <f t="shared" ref="Q33" ca="1" si="13">SUM(Q26:Q29)+Q30-P34-Q32</f>
        <v>330</v>
      </c>
      <c r="R33" s="225">
        <f t="shared" ref="R33" ca="1" si="14">SUM(R26:R29)+R30-Q34-R32</f>
        <v>140</v>
      </c>
      <c r="S33" s="225">
        <f t="shared" ref="S33" ca="1" si="15">SUM(S26:S29)+S30-R34-S32</f>
        <v>320</v>
      </c>
      <c r="T33" s="225">
        <f t="shared" ref="T33" ca="1" si="16">SUM(T26:T29)+T30-S34-T32</f>
        <v>240</v>
      </c>
      <c r="U33" s="225">
        <f t="shared" ref="U33" ca="1" si="17">SUM(U26:U29)+U30-T34-U32</f>
        <v>180</v>
      </c>
      <c r="V33" s="225">
        <f t="shared" ref="V33" ca="1" si="18">SUM(V26:V29)+V30-U34-V32</f>
        <v>420</v>
      </c>
      <c r="W33" s="225">
        <f t="shared" ref="W33" ca="1" si="19">SUM(W26:W29)+W30-V34-W32</f>
        <v>210</v>
      </c>
      <c r="X33" s="225">
        <f t="shared" ref="X33" ca="1" si="20">SUM(X26:X29)+X30-W34-X32</f>
        <v>140</v>
      </c>
      <c r="Y33" s="225">
        <f t="shared" ref="Y33" ca="1" si="21">SUM(Y26:Y29)+Y30-X34-Y32</f>
        <v>240</v>
      </c>
      <c r="Z33" s="225">
        <f t="shared" ref="Z33" ca="1" si="22">SUM(Z26:Z29)+Z30-Y34-Z32</f>
        <v>140</v>
      </c>
      <c r="AA33" s="225">
        <f t="shared" ref="AA33" ca="1" si="23">SUM(AA26:AA29)+AA30-Z34-AA32</f>
        <v>150</v>
      </c>
      <c r="AB33" s="225">
        <f t="shared" ref="AB33" ca="1" si="24">SUM(AB26:AB29)+AB30-AA34-AB32</f>
        <v>250</v>
      </c>
      <c r="AC33" s="225">
        <f t="shared" ref="AC33" ca="1" si="25">SUM(AC26:AC29)+AC30-AB34-AC32</f>
        <v>270</v>
      </c>
      <c r="AD33" s="225">
        <f t="shared" ref="AD33" ca="1" si="26">SUM(AD26:AD29)+AD30-AC34-AD32</f>
        <v>200</v>
      </c>
      <c r="AE33" s="225">
        <f t="shared" ref="AE33" ca="1" si="27">SUM(AE26:AE29)+AE30-AD34-AE32</f>
        <v>250</v>
      </c>
      <c r="AF33" s="225">
        <f t="shared" ref="AF33" ca="1" si="28">SUM(AF26:AF29)+AF30-AE34-AF32</f>
        <v>40</v>
      </c>
      <c r="AG33" s="225"/>
      <c r="AH33" s="225"/>
      <c r="AI33" s="225"/>
      <c r="AJ33" s="225"/>
      <c r="AK33" s="272"/>
      <c r="AL33" s="272"/>
    </row>
    <row r="34" spans="1:38" ht="15.75" thickBot="1" x14ac:dyDescent="0.3">
      <c r="A34" s="30">
        <v>2000</v>
      </c>
      <c r="B34" s="121" t="s">
        <v>30</v>
      </c>
      <c r="C34" s="103" t="s">
        <v>49</v>
      </c>
      <c r="D34" s="42" t="s">
        <v>48</v>
      </c>
      <c r="E34" s="103" t="s">
        <v>49</v>
      </c>
      <c r="F34" s="42" t="s">
        <v>48</v>
      </c>
      <c r="G34" s="125" t="s">
        <v>37</v>
      </c>
      <c r="I34" s="7">
        <f ca="1">H26+I33+I32-SUM(I27:I29)</f>
        <v>0</v>
      </c>
      <c r="J34" s="7">
        <f t="shared" ref="J34:AF34" ca="1" si="29">I34+J33+J32-SUM(J27:J29)</f>
        <v>0</v>
      </c>
      <c r="K34" s="7">
        <f t="shared" ca="1" si="29"/>
        <v>0</v>
      </c>
      <c r="L34" s="7">
        <f t="shared" ca="1" si="29"/>
        <v>0</v>
      </c>
      <c r="M34" s="7">
        <f t="shared" ca="1" si="29"/>
        <v>0</v>
      </c>
      <c r="N34" s="7">
        <f t="shared" ca="1" si="29"/>
        <v>0</v>
      </c>
      <c r="O34" s="7">
        <f t="shared" ca="1" si="29"/>
        <v>0</v>
      </c>
      <c r="P34" s="7">
        <f t="shared" ca="1" si="29"/>
        <v>0</v>
      </c>
      <c r="Q34" s="7">
        <f t="shared" ca="1" si="29"/>
        <v>0</v>
      </c>
      <c r="R34" s="7">
        <f t="shared" ca="1" si="29"/>
        <v>0</v>
      </c>
      <c r="S34" s="7">
        <f t="shared" ca="1" si="29"/>
        <v>0</v>
      </c>
      <c r="T34" s="7">
        <f t="shared" ca="1" si="29"/>
        <v>0</v>
      </c>
      <c r="U34" s="7">
        <f t="shared" ca="1" si="29"/>
        <v>0</v>
      </c>
      <c r="V34" s="7">
        <f t="shared" ca="1" si="29"/>
        <v>0</v>
      </c>
      <c r="W34" s="7">
        <f t="shared" ca="1" si="29"/>
        <v>0</v>
      </c>
      <c r="X34" s="7">
        <f t="shared" ca="1" si="29"/>
        <v>0</v>
      </c>
      <c r="Y34" s="7">
        <f t="shared" ca="1" si="29"/>
        <v>0</v>
      </c>
      <c r="Z34" s="7">
        <f t="shared" ca="1" si="29"/>
        <v>0</v>
      </c>
      <c r="AA34" s="7">
        <f t="shared" ca="1" si="29"/>
        <v>0</v>
      </c>
      <c r="AB34" s="7">
        <f t="shared" ca="1" si="29"/>
        <v>0</v>
      </c>
      <c r="AC34" s="7">
        <f t="shared" ca="1" si="29"/>
        <v>0</v>
      </c>
      <c r="AD34" s="7">
        <f t="shared" ca="1" si="29"/>
        <v>0</v>
      </c>
      <c r="AE34" s="7">
        <f t="shared" ca="1" si="29"/>
        <v>0</v>
      </c>
      <c r="AF34" s="7">
        <f t="shared" ca="1" si="29"/>
        <v>0</v>
      </c>
      <c r="AG34" s="224"/>
      <c r="AH34" s="224"/>
      <c r="AI34" s="224"/>
      <c r="AJ34" s="224"/>
      <c r="AK34" s="273"/>
      <c r="AL34" s="273"/>
    </row>
    <row r="35" spans="1:38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77"/>
      <c r="AG35" s="244"/>
      <c r="AH35" s="244"/>
      <c r="AI35" s="244"/>
      <c r="AJ35" s="244"/>
      <c r="AK35" s="239"/>
      <c r="AL35" s="239"/>
    </row>
    <row r="36" spans="1:38" ht="14.25" customHeight="1" x14ac:dyDescent="0.25">
      <c r="A36" s="108">
        <v>3000</v>
      </c>
      <c r="B36" s="122" t="s">
        <v>31</v>
      </c>
      <c r="C36" s="103" t="s">
        <v>49</v>
      </c>
      <c r="D36" s="42" t="s">
        <v>48</v>
      </c>
      <c r="E36" s="103" t="s">
        <v>50</v>
      </c>
      <c r="F36" s="116" t="s">
        <v>33</v>
      </c>
      <c r="G36" s="170" t="s">
        <v>117</v>
      </c>
      <c r="H36" s="171"/>
      <c r="I36" s="171">
        <f>PA_CDC!I80</f>
        <v>370</v>
      </c>
      <c r="J36" s="171" t="str">
        <f>IF(J5=MJ_Initialisation!AI18,MJ_Initialisation!E24,"")</f>
        <v/>
      </c>
      <c r="K36" s="171" t="str">
        <f>IF(K5=MJ_Initialisation!AJ18,MJ_Initialisation!F24,"")</f>
        <v/>
      </c>
      <c r="L36" s="171" t="str">
        <f>IF(L5=MJ_Initialisation!AK18,MJ_Initialisation!G24,"")</f>
        <v/>
      </c>
      <c r="M36" s="171" t="str">
        <f>IF(M5=MJ_Initialisation!AL18,MJ_Initialisation!H24,"")</f>
        <v/>
      </c>
      <c r="N36" s="171" t="str">
        <f>IF(N5=MJ_Initialisation!AM18,MJ_Initialisation!I24,"")</f>
        <v/>
      </c>
      <c r="O36" s="171" t="str">
        <f>IF(O5=MJ_Initialisation!AN18,MJ_Initialisation!J24,"")</f>
        <v/>
      </c>
      <c r="P36" s="171" t="str">
        <f>IF(P5=MJ_Initialisation!AO18,MJ_Initialisation!K24,"")</f>
        <v/>
      </c>
      <c r="Q36" s="171" t="str">
        <f>IF(Q5=MJ_Initialisation!AP18,MJ_Initialisation!L24,"")</f>
        <v/>
      </c>
      <c r="R36" s="171" t="str">
        <f>IF(R5=MJ_Initialisation!AQ18,MJ_Initialisation!M24,"")</f>
        <v/>
      </c>
      <c r="S36" s="171" t="str">
        <f>IF(S5=MJ_Initialisation!AR18,MJ_Initialisation!N24,"")</f>
        <v/>
      </c>
      <c r="T36" s="171" t="str">
        <f>IF(T5=MJ_Initialisation!AS18,MJ_Initialisation!O24,"")</f>
        <v/>
      </c>
      <c r="U36" s="171" t="str">
        <f>IF(U5=MJ_Initialisation!AT18,MJ_Initialisation!P24,"")</f>
        <v/>
      </c>
      <c r="V36" s="171" t="str">
        <f>IF(V5=MJ_Initialisation!AU18,MJ_Initialisation!Q24,"")</f>
        <v/>
      </c>
      <c r="W36" s="171" t="str">
        <f>IF(W5=MJ_Initialisation!AV18,MJ_Initialisation!R24,"")</f>
        <v/>
      </c>
      <c r="X36" s="171" t="str">
        <f>IF(X5=MJ_Initialisation!AW18,MJ_Initialisation!S24,"")</f>
        <v/>
      </c>
      <c r="Y36" s="171" t="str">
        <f>IF(Y5=MJ_Initialisation!AX18,MJ_Initialisation!T24,"")</f>
        <v/>
      </c>
      <c r="Z36" s="171" t="str">
        <f>IF(Z5=MJ_Initialisation!AY18,MJ_Initialisation!U24,"")</f>
        <v/>
      </c>
      <c r="AA36" s="171" t="str">
        <f>IF(AA5=MJ_Initialisation!AZ18,MJ_Initialisation!V24,"")</f>
        <v/>
      </c>
      <c r="AB36" s="171" t="str">
        <f>IF(AB5=MJ_Initialisation!BA18,MJ_Initialisation!W24,"")</f>
        <v/>
      </c>
      <c r="AC36" s="171" t="str">
        <f>IF(AC5=MJ_Initialisation!BB18,MJ_Initialisation!X24,"")</f>
        <v/>
      </c>
      <c r="AD36" s="171" t="str">
        <f>IF(AD5=MJ_Initialisation!BC18,MJ_Initialisation!Y24,"")</f>
        <v/>
      </c>
      <c r="AE36" s="171" t="str">
        <f>IF(AE5=MJ_Initialisation!BD18,MJ_Initialisation!Z24,"")</f>
        <v/>
      </c>
      <c r="AF36" s="171" t="str">
        <f>IF(AF5=MJ_Initialisation!BE18,MJ_Initialisation!AA24,"")</f>
        <v/>
      </c>
      <c r="AG36" s="264"/>
      <c r="AH36" s="264"/>
      <c r="AI36" s="264"/>
      <c r="AJ36" s="264"/>
      <c r="AK36" s="248"/>
      <c r="AL36" s="248"/>
    </row>
    <row r="37" spans="1:38" x14ac:dyDescent="0.25">
      <c r="A37" s="108">
        <v>3000</v>
      </c>
      <c r="B37" s="122" t="s">
        <v>31</v>
      </c>
      <c r="C37" s="103" t="s">
        <v>49</v>
      </c>
      <c r="D37" s="42" t="s">
        <v>48</v>
      </c>
      <c r="E37" s="103" t="s">
        <v>52</v>
      </c>
      <c r="F37" s="118" t="s">
        <v>36</v>
      </c>
      <c r="G37" s="170" t="s">
        <v>117</v>
      </c>
      <c r="H37" s="171"/>
      <c r="I37" s="171">
        <f ca="1">PA_CDC!I85</f>
        <v>150</v>
      </c>
      <c r="J37" s="171" t="str">
        <f>IF(J5=MJ_Initialisation!AI18,MJ_Initialisation!E34,"")</f>
        <v/>
      </c>
      <c r="K37" s="171" t="str">
        <f>IF(K5=MJ_Initialisation!AJ18,MJ_Initialisation!F34,"")</f>
        <v/>
      </c>
      <c r="L37" s="171" t="str">
        <f>IF(L5=MJ_Initialisation!AK18,MJ_Initialisation!G34,"")</f>
        <v/>
      </c>
      <c r="M37" s="171" t="str">
        <f>IF(M5=MJ_Initialisation!AL18,MJ_Initialisation!H34,"")</f>
        <v/>
      </c>
      <c r="N37" s="171" t="str">
        <f>IF(N5=MJ_Initialisation!AM18,MJ_Initialisation!I34,"")</f>
        <v/>
      </c>
      <c r="O37" s="171" t="str">
        <f>IF(O5=MJ_Initialisation!AN18,MJ_Initialisation!J34,"")</f>
        <v/>
      </c>
      <c r="P37" s="171" t="str">
        <f>IF(P5=MJ_Initialisation!AO18,MJ_Initialisation!K34,"")</f>
        <v/>
      </c>
      <c r="Q37" s="171" t="str">
        <f>IF(Q5=MJ_Initialisation!AP18,MJ_Initialisation!L34,"")</f>
        <v/>
      </c>
      <c r="R37" s="171" t="str">
        <f>IF(R5=MJ_Initialisation!AQ18,MJ_Initialisation!M34,"")</f>
        <v/>
      </c>
      <c r="S37" s="171" t="str">
        <f>IF(S5=MJ_Initialisation!AR18,MJ_Initialisation!N34,"")</f>
        <v/>
      </c>
      <c r="T37" s="171" t="str">
        <f>IF(T5=MJ_Initialisation!AS18,MJ_Initialisation!O34,"")</f>
        <v/>
      </c>
      <c r="U37" s="171" t="str">
        <f>IF(U5=MJ_Initialisation!AT18,MJ_Initialisation!P34,"")</f>
        <v/>
      </c>
      <c r="V37" s="171" t="str">
        <f>IF(V5=MJ_Initialisation!AU18,MJ_Initialisation!Q34,"")</f>
        <v/>
      </c>
      <c r="W37" s="171" t="str">
        <f>IF(W5=MJ_Initialisation!AV18,MJ_Initialisation!R34,"")</f>
        <v/>
      </c>
      <c r="X37" s="171" t="str">
        <f>IF(X5=MJ_Initialisation!AW18,MJ_Initialisation!S34,"")</f>
        <v/>
      </c>
      <c r="Y37" s="171" t="str">
        <f>IF(Y5=MJ_Initialisation!AX18,MJ_Initialisation!T34,"")</f>
        <v/>
      </c>
      <c r="Z37" s="171" t="str">
        <f>IF(Z5=MJ_Initialisation!AY18,MJ_Initialisation!U34,"")</f>
        <v/>
      </c>
      <c r="AA37" s="171" t="str">
        <f>IF(AA5=MJ_Initialisation!AZ18,MJ_Initialisation!V34,"")</f>
        <v/>
      </c>
      <c r="AB37" s="171" t="str">
        <f>IF(AB5=MJ_Initialisation!BA18,MJ_Initialisation!W34,"")</f>
        <v/>
      </c>
      <c r="AC37" s="171" t="str">
        <f>IF(AC5=MJ_Initialisation!BB18,MJ_Initialisation!X34,"")</f>
        <v/>
      </c>
      <c r="AD37" s="171" t="str">
        <f>IF(AD5=MJ_Initialisation!BC18,MJ_Initialisation!Y34,"")</f>
        <v/>
      </c>
      <c r="AE37" s="171" t="str">
        <f>IF(AE5=MJ_Initialisation!BD18,MJ_Initialisation!Z34,"")</f>
        <v/>
      </c>
      <c r="AF37" s="171" t="str">
        <f>IF(AF5=MJ_Initialisation!BE18,MJ_Initialisation!AA34,"")</f>
        <v/>
      </c>
      <c r="AG37" s="264"/>
      <c r="AH37" s="264"/>
      <c r="AI37" s="264"/>
      <c r="AJ37" s="264"/>
      <c r="AK37" s="248"/>
      <c r="AL37" s="248"/>
    </row>
    <row r="38" spans="1:38" x14ac:dyDescent="0.25">
      <c r="A38" s="108">
        <v>3000</v>
      </c>
      <c r="B38" s="122" t="s">
        <v>31</v>
      </c>
      <c r="C38" s="103" t="s">
        <v>66</v>
      </c>
      <c r="D38" s="42" t="s">
        <v>65</v>
      </c>
      <c r="E38" s="103" t="s">
        <v>49</v>
      </c>
      <c r="F38" s="42" t="s">
        <v>48</v>
      </c>
      <c r="G38" s="170" t="s">
        <v>118</v>
      </c>
      <c r="H38" s="171"/>
      <c r="I38" s="171">
        <f>I44</f>
        <v>520</v>
      </c>
      <c r="J38" s="171" t="str">
        <f>IF(J5=MJ_Initialisation!AI18,MJ_Initialisation!E48,"")</f>
        <v/>
      </c>
      <c r="K38" s="171" t="str">
        <f>IF(K5=MJ_Initialisation!AJ18,MJ_Initialisation!F48,"")</f>
        <v/>
      </c>
      <c r="L38" s="171" t="str">
        <f>IF(L5=MJ_Initialisation!AK18,MJ_Initialisation!G48,"")</f>
        <v/>
      </c>
      <c r="M38" s="171" t="str">
        <f>IF(M5=MJ_Initialisation!AL18,MJ_Initialisation!H48,"")</f>
        <v/>
      </c>
      <c r="N38" s="171" t="str">
        <f>IF(N5=MJ_Initialisation!AM18,MJ_Initialisation!I48,"")</f>
        <v/>
      </c>
      <c r="O38" s="171" t="str">
        <f>IF(O5=MJ_Initialisation!AN18,MJ_Initialisation!J48,"")</f>
        <v/>
      </c>
      <c r="P38" s="171" t="str">
        <f>IF(P5=MJ_Initialisation!AO18,MJ_Initialisation!K48,"")</f>
        <v/>
      </c>
      <c r="Q38" s="171" t="str">
        <f>IF(Q5=MJ_Initialisation!AP18,MJ_Initialisation!L48,"")</f>
        <v/>
      </c>
      <c r="R38" s="171" t="str">
        <f>IF(R5=MJ_Initialisation!AQ18,MJ_Initialisation!M48,"")</f>
        <v/>
      </c>
      <c r="S38" s="171" t="str">
        <f>IF(S5=MJ_Initialisation!AR18,MJ_Initialisation!N48,"")</f>
        <v/>
      </c>
      <c r="T38" s="171" t="str">
        <f>IF(T5=MJ_Initialisation!AS18,MJ_Initialisation!O48,"")</f>
        <v/>
      </c>
      <c r="U38" s="171" t="str">
        <f>IF(U5=MJ_Initialisation!AT18,MJ_Initialisation!P48,"")</f>
        <v/>
      </c>
      <c r="V38" s="171" t="str">
        <f>IF(V5=MJ_Initialisation!AU18,MJ_Initialisation!Q48,"")</f>
        <v/>
      </c>
      <c r="W38" s="171" t="str">
        <f>IF(W5=MJ_Initialisation!AV18,MJ_Initialisation!R48,"")</f>
        <v/>
      </c>
      <c r="X38" s="171" t="str">
        <f>IF(X5=MJ_Initialisation!AW18,MJ_Initialisation!S48,"")</f>
        <v/>
      </c>
      <c r="Y38" s="171" t="str">
        <f>IF(Y5=MJ_Initialisation!AX18,MJ_Initialisation!T48,"")</f>
        <v/>
      </c>
      <c r="Z38" s="171" t="str">
        <f>IF(Z5=MJ_Initialisation!AY18,MJ_Initialisation!U48,"")</f>
        <v/>
      </c>
      <c r="AA38" s="171" t="str">
        <f>IF(AA5=MJ_Initialisation!AZ18,MJ_Initialisation!V48,"")</f>
        <v/>
      </c>
      <c r="AB38" s="171" t="str">
        <f>IF(AB5=MJ_Initialisation!BA18,MJ_Initialisation!W48,"")</f>
        <v/>
      </c>
      <c r="AC38" s="171" t="str">
        <f>IF(AC5=MJ_Initialisation!BB18,MJ_Initialisation!X48,"")</f>
        <v/>
      </c>
      <c r="AD38" s="171" t="str">
        <f>IF(AD5=MJ_Initialisation!BC18,MJ_Initialisation!Y48,"")</f>
        <v/>
      </c>
      <c r="AE38" s="171" t="str">
        <f>IF(AE5=MJ_Initialisation!BD18,MJ_Initialisation!Z48,"")</f>
        <v/>
      </c>
      <c r="AF38" s="171" t="str">
        <f>IF(AF5=MJ_Initialisation!BE18,MJ_Initialisation!AA48,"")</f>
        <v/>
      </c>
      <c r="AG38" s="264"/>
      <c r="AH38" s="264"/>
      <c r="AI38" s="264"/>
      <c r="AJ38" s="264"/>
      <c r="AK38" s="248"/>
      <c r="AL38" s="248"/>
    </row>
    <row r="39" spans="1:38" x14ac:dyDescent="0.25">
      <c r="A39" s="108">
        <v>3000</v>
      </c>
      <c r="B39" s="122" t="s">
        <v>31</v>
      </c>
      <c r="C39" s="103" t="s">
        <v>49</v>
      </c>
      <c r="D39" s="42" t="s">
        <v>48</v>
      </c>
      <c r="E39" s="103" t="s">
        <v>49</v>
      </c>
      <c r="F39" s="42" t="s">
        <v>48</v>
      </c>
      <c r="G39" s="168" t="s">
        <v>120</v>
      </c>
      <c r="H39" s="67">
        <f>MJ_Initialisation!AF18</f>
        <v>0</v>
      </c>
      <c r="I39" s="171">
        <f ca="1">H39+I38-I37-I36</f>
        <v>0</v>
      </c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263"/>
      <c r="AH39" s="263"/>
      <c r="AI39" s="263"/>
      <c r="AJ39" s="263"/>
      <c r="AK39" s="249"/>
      <c r="AL39" s="249"/>
    </row>
    <row r="40" spans="1:38" x14ac:dyDescent="0.25">
      <c r="A40" s="108">
        <v>3000</v>
      </c>
      <c r="B40" s="122" t="s">
        <v>31</v>
      </c>
      <c r="C40" s="103" t="s">
        <v>50</v>
      </c>
      <c r="D40" s="116" t="s">
        <v>33</v>
      </c>
      <c r="E40" s="103" t="s">
        <v>49</v>
      </c>
      <c r="F40" s="42" t="s">
        <v>48</v>
      </c>
      <c r="G40" s="8" t="s">
        <v>57</v>
      </c>
      <c r="H40" s="5"/>
      <c r="I40" s="64">
        <f>France!J32</f>
        <v>370</v>
      </c>
      <c r="J40" s="64">
        <f>France!K32</f>
        <v>170</v>
      </c>
      <c r="K40" s="64">
        <f>France!L32</f>
        <v>110</v>
      </c>
      <c r="L40" s="64">
        <f>France!M32</f>
        <v>110</v>
      </c>
      <c r="M40" s="64">
        <f>France!N32</f>
        <v>150</v>
      </c>
      <c r="N40" s="64">
        <f>France!O32</f>
        <v>180</v>
      </c>
      <c r="O40" s="64">
        <f>France!P32</f>
        <v>80</v>
      </c>
      <c r="P40" s="64">
        <f>France!Q32</f>
        <v>120</v>
      </c>
      <c r="Q40" s="64">
        <f>France!R32</f>
        <v>20</v>
      </c>
      <c r="R40" s="64">
        <f>France!S32</f>
        <v>20</v>
      </c>
      <c r="S40" s="64">
        <f>France!T32</f>
        <v>50</v>
      </c>
      <c r="T40" s="64">
        <f>France!U32</f>
        <v>120</v>
      </c>
      <c r="U40" s="64">
        <f>France!V32</f>
        <v>150</v>
      </c>
      <c r="V40" s="64">
        <f>France!W32</f>
        <v>140</v>
      </c>
      <c r="W40" s="64">
        <f>France!X32</f>
        <v>160</v>
      </c>
      <c r="X40" s="64">
        <f>France!Y32</f>
        <v>30</v>
      </c>
      <c r="Y40" s="64">
        <f>France!Z32</f>
        <v>30</v>
      </c>
      <c r="Z40" s="64">
        <f>France!AA32</f>
        <v>0</v>
      </c>
      <c r="AA40" s="64">
        <f>France!AB32</f>
        <v>110</v>
      </c>
      <c r="AB40" s="64">
        <f>France!AC32</f>
        <v>80</v>
      </c>
      <c r="AC40" s="64">
        <f>France!AD32</f>
        <v>180</v>
      </c>
      <c r="AD40" s="64">
        <f>France!AE32</f>
        <v>170</v>
      </c>
      <c r="AE40" s="64">
        <f>France!AF32</f>
        <v>20</v>
      </c>
      <c r="AF40" s="64">
        <f>France!AG32</f>
        <v>30</v>
      </c>
      <c r="AG40" s="243"/>
      <c r="AH40" s="243"/>
      <c r="AI40" s="243"/>
      <c r="AJ40" s="243"/>
      <c r="AK40" s="239"/>
      <c r="AL40" s="239"/>
    </row>
    <row r="41" spans="1:38" x14ac:dyDescent="0.25">
      <c r="A41" s="108">
        <v>3000</v>
      </c>
      <c r="B41" s="122" t="s">
        <v>31</v>
      </c>
      <c r="C41" s="103" t="s">
        <v>52</v>
      </c>
      <c r="D41" s="118" t="s">
        <v>36</v>
      </c>
      <c r="E41" s="103" t="s">
        <v>49</v>
      </c>
      <c r="F41" s="42" t="s">
        <v>48</v>
      </c>
      <c r="G41" s="8" t="s">
        <v>57</v>
      </c>
      <c r="H41" s="5"/>
      <c r="I41" s="15">
        <f ca="1">OFFSET(Chili!J22,0,2)</f>
        <v>150</v>
      </c>
      <c r="J41" s="15">
        <f ca="1">OFFSET(Chili!K22,0,2)</f>
        <v>150</v>
      </c>
      <c r="K41" s="15">
        <f ca="1">OFFSET(Chili!L22,0,2)</f>
        <v>200</v>
      </c>
      <c r="L41" s="15">
        <f ca="1">OFFSET(Chili!M22,0,2)</f>
        <v>100</v>
      </c>
      <c r="M41" s="15">
        <f ca="1">OFFSET(Chili!N22,0,2)</f>
        <v>150</v>
      </c>
      <c r="N41" s="15">
        <f ca="1">OFFSET(Chili!O22,0,2)</f>
        <v>150</v>
      </c>
      <c r="O41" s="15">
        <f ca="1">OFFSET(Chili!P22,0,2)</f>
        <v>300</v>
      </c>
      <c r="P41" s="15">
        <f ca="1">OFFSET(Chili!Q22,0,2)</f>
        <v>150</v>
      </c>
      <c r="Q41" s="15">
        <f ca="1">OFFSET(Chili!R22,0,2)</f>
        <v>150</v>
      </c>
      <c r="R41" s="15">
        <f ca="1">OFFSET(Chili!S22,0,2)</f>
        <v>100</v>
      </c>
      <c r="S41" s="15">
        <f ca="1">OFFSET(Chili!T22,0,2)</f>
        <v>50</v>
      </c>
      <c r="T41" s="15">
        <f ca="1">OFFSET(Chili!U22,0,2)</f>
        <v>100</v>
      </c>
      <c r="U41" s="15">
        <f ca="1">OFFSET(Chili!V22,0,2)</f>
        <v>150</v>
      </c>
      <c r="V41" s="15">
        <f ca="1">OFFSET(Chili!W22,0,2)</f>
        <v>150</v>
      </c>
      <c r="W41" s="15">
        <f ca="1">OFFSET(Chili!X22,0,2)</f>
        <v>100</v>
      </c>
      <c r="X41" s="15">
        <f ca="1">OFFSET(Chili!Y22,0,2)</f>
        <v>50</v>
      </c>
      <c r="Y41" s="15">
        <f ca="1">OFFSET(Chili!Z22,0,2)</f>
        <v>250</v>
      </c>
      <c r="Z41" s="15">
        <f ca="1">OFFSET(Chili!AA22,0,2)</f>
        <v>150</v>
      </c>
      <c r="AA41" s="15">
        <f ca="1">OFFSET(Chili!AB22,0,2)</f>
        <v>250</v>
      </c>
      <c r="AB41" s="15">
        <f ca="1">OFFSET(Chili!AC22,0,2)</f>
        <v>200</v>
      </c>
      <c r="AC41" s="15">
        <f ca="1">OFFSET(Chili!AD22,0,2)</f>
        <v>100</v>
      </c>
      <c r="AD41" s="15">
        <f ca="1">OFFSET(Chili!AE22,0,2)</f>
        <v>50</v>
      </c>
      <c r="AE41" s="15">
        <f ca="1">OFFSET(Chili!AF22,0,2)</f>
        <v>0</v>
      </c>
      <c r="AF41" s="15">
        <f ca="1">OFFSET(Chili!AG22,0,2)</f>
        <v>0</v>
      </c>
      <c r="AG41" s="228"/>
      <c r="AH41" s="228"/>
      <c r="AI41" s="228"/>
      <c r="AJ41" s="228"/>
      <c r="AK41" s="248"/>
      <c r="AL41" s="248"/>
    </row>
    <row r="42" spans="1:38" x14ac:dyDescent="0.25">
      <c r="A42" s="108">
        <v>3000</v>
      </c>
      <c r="B42" s="122" t="s">
        <v>31</v>
      </c>
      <c r="C42" s="103" t="s">
        <v>49</v>
      </c>
      <c r="D42" s="42" t="s">
        <v>48</v>
      </c>
      <c r="E42" s="103" t="s">
        <v>49</v>
      </c>
      <c r="F42" s="42" t="s">
        <v>48</v>
      </c>
      <c r="G42" s="124" t="s">
        <v>24</v>
      </c>
      <c r="H42" s="31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  <c r="AC42" s="223"/>
      <c r="AD42" s="223"/>
      <c r="AE42" s="223"/>
      <c r="AF42" s="223"/>
      <c r="AG42" s="223"/>
      <c r="AH42" s="223"/>
      <c r="AI42" s="223"/>
      <c r="AJ42" s="223"/>
      <c r="AK42" s="249"/>
      <c r="AL42" s="249"/>
    </row>
    <row r="43" spans="1:38" x14ac:dyDescent="0.25">
      <c r="A43" s="108">
        <v>3000</v>
      </c>
      <c r="B43" s="122" t="s">
        <v>31</v>
      </c>
      <c r="C43" s="103" t="s">
        <v>66</v>
      </c>
      <c r="D43" s="42" t="s">
        <v>65</v>
      </c>
      <c r="E43" s="103" t="s">
        <v>49</v>
      </c>
      <c r="F43" s="42" t="s">
        <v>48</v>
      </c>
      <c r="G43" s="4" t="s">
        <v>45</v>
      </c>
      <c r="H43" s="5"/>
      <c r="I43" s="142"/>
      <c r="J43" s="142"/>
      <c r="K43" s="64">
        <f>MJ_Initialisation!F48</f>
        <v>310</v>
      </c>
      <c r="L43" s="64">
        <f>MJ_Initialisation!G48</f>
        <v>210</v>
      </c>
      <c r="M43" s="64">
        <f>MJ_Initialisation!H48</f>
        <v>300</v>
      </c>
      <c r="N43" s="64">
        <f>MJ_Initialisation!I48</f>
        <v>330</v>
      </c>
      <c r="O43" s="64">
        <f>MJ_Initialisation!J48</f>
        <v>380</v>
      </c>
      <c r="P43" s="64">
        <f>MJ_Initialisation!K48</f>
        <v>270</v>
      </c>
      <c r="Q43" s="64">
        <f>MJ_Initialisation!L48</f>
        <v>170</v>
      </c>
      <c r="R43" s="64">
        <f>MJ_Initialisation!M48</f>
        <v>120</v>
      </c>
      <c r="S43" s="64">
        <f>MJ_Initialisation!N48</f>
        <v>100</v>
      </c>
      <c r="T43" s="64">
        <f>MJ_Initialisation!O48</f>
        <v>220</v>
      </c>
      <c r="U43" s="64">
        <f>MJ_Initialisation!P48</f>
        <v>300</v>
      </c>
      <c r="V43" s="64">
        <f>MJ_Initialisation!Q48</f>
        <v>290</v>
      </c>
      <c r="W43" s="64">
        <f>MJ_Initialisation!R48</f>
        <v>260</v>
      </c>
      <c r="X43" s="64">
        <f>MJ_Initialisation!S48</f>
        <v>80</v>
      </c>
      <c r="Y43" s="64">
        <f>MJ_Initialisation!T48</f>
        <v>280</v>
      </c>
      <c r="Z43" s="64">
        <f>MJ_Initialisation!U48</f>
        <v>150</v>
      </c>
      <c r="AA43" s="64">
        <f>MJ_Initialisation!V48</f>
        <v>360</v>
      </c>
      <c r="AB43" s="64">
        <f>MJ_Initialisation!W48</f>
        <v>280</v>
      </c>
      <c r="AC43" s="64">
        <f>MJ_Initialisation!X48</f>
        <v>280</v>
      </c>
      <c r="AD43" s="64">
        <f>MJ_Initialisation!Y48</f>
        <v>220</v>
      </c>
      <c r="AE43" s="64">
        <f>MJ_Initialisation!Z48</f>
        <v>20</v>
      </c>
      <c r="AF43" s="64">
        <f>MJ_Initialisation!AA48</f>
        <v>30</v>
      </c>
      <c r="AG43" s="243"/>
      <c r="AH43" s="243"/>
      <c r="AI43" s="243"/>
      <c r="AJ43" s="243"/>
      <c r="AK43" s="239"/>
      <c r="AL43" s="239"/>
    </row>
    <row r="44" spans="1:38" x14ac:dyDescent="0.25">
      <c r="A44" s="108">
        <v>3000</v>
      </c>
      <c r="B44" s="122" t="s">
        <v>31</v>
      </c>
      <c r="C44" s="103" t="s">
        <v>66</v>
      </c>
      <c r="D44" s="42" t="s">
        <v>65</v>
      </c>
      <c r="E44" s="103" t="s">
        <v>49</v>
      </c>
      <c r="F44" s="42" t="s">
        <v>48</v>
      </c>
      <c r="G44" s="35" t="s">
        <v>73</v>
      </c>
      <c r="H44" s="31"/>
      <c r="I44" s="36">
        <f>MJ_Initialisation!D48</f>
        <v>520</v>
      </c>
      <c r="J44" s="36">
        <f>MJ_Initialisation!E48</f>
        <v>320</v>
      </c>
      <c r="K44" s="254"/>
      <c r="L44" s="25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255"/>
      <c r="AH44" s="255"/>
      <c r="AI44" s="255"/>
      <c r="AJ44" s="255"/>
      <c r="AK44" s="255"/>
      <c r="AL44" s="255"/>
    </row>
    <row r="45" spans="1:38" x14ac:dyDescent="0.25">
      <c r="A45" s="108">
        <v>3000</v>
      </c>
      <c r="B45" s="122" t="s">
        <v>31</v>
      </c>
      <c r="C45" s="103" t="s">
        <v>49</v>
      </c>
      <c r="D45" s="42" t="s">
        <v>48</v>
      </c>
      <c r="E45" s="103" t="s">
        <v>66</v>
      </c>
      <c r="F45" s="42" t="s">
        <v>65</v>
      </c>
      <c r="G45" s="127" t="s">
        <v>25</v>
      </c>
      <c r="H45" s="5"/>
      <c r="I45" s="225">
        <f ca="1">MAX(I43,SUM(I40:I41)+I42-H39-I44)</f>
        <v>0</v>
      </c>
      <c r="J45" s="225">
        <f t="shared" ref="J45:L45" ca="1" si="30">MAX(J43,SUM(J40:J41)+J42-I46-J44)</f>
        <v>0</v>
      </c>
      <c r="K45" s="225">
        <f t="shared" ref="K45" ca="1" si="31">SUM(K38:K41)+K42-J46-K44</f>
        <v>310</v>
      </c>
      <c r="L45" s="225">
        <f t="shared" ref="L45" ca="1" si="32">SUM(L38:L41)+L42-K46-L44</f>
        <v>210</v>
      </c>
      <c r="M45" s="225">
        <f ca="1">SUM(M38:M41)+M42-L46-M44</f>
        <v>300</v>
      </c>
      <c r="N45" s="225">
        <f t="shared" ref="N45" ca="1" si="33">SUM(N38:N41)+N42-M46-N44</f>
        <v>330</v>
      </c>
      <c r="O45" s="225">
        <f t="shared" ref="O45" ca="1" si="34">SUM(O38:O41)+O42-N46-O44</f>
        <v>380</v>
      </c>
      <c r="P45" s="225">
        <f t="shared" ref="P45" ca="1" si="35">SUM(P38:P41)+P42-O46-P44</f>
        <v>270</v>
      </c>
      <c r="Q45" s="225">
        <f t="shared" ref="Q45" ca="1" si="36">SUM(Q38:Q41)+Q42-P46-Q44</f>
        <v>170</v>
      </c>
      <c r="R45" s="225">
        <f t="shared" ref="R45" ca="1" si="37">SUM(R38:R41)+R42-Q46-R44</f>
        <v>120</v>
      </c>
      <c r="S45" s="225">
        <f t="shared" ref="S45" ca="1" si="38">SUM(S38:S41)+S42-R46-S44</f>
        <v>100</v>
      </c>
      <c r="T45" s="225">
        <f t="shared" ref="T45" ca="1" si="39">SUM(T38:T41)+T42-S46-T44</f>
        <v>220</v>
      </c>
      <c r="U45" s="225">
        <f t="shared" ref="U45" ca="1" si="40">SUM(U38:U41)+U42-T46-U44</f>
        <v>300</v>
      </c>
      <c r="V45" s="225">
        <f t="shared" ref="V45" ca="1" si="41">SUM(V38:V41)+V42-U46-V44</f>
        <v>290</v>
      </c>
      <c r="W45" s="225">
        <f t="shared" ref="W45" ca="1" si="42">SUM(W38:W41)+W42-V46-W44</f>
        <v>260</v>
      </c>
      <c r="X45" s="225">
        <f t="shared" ref="X45" ca="1" si="43">SUM(X38:X41)+X42-W46-X44</f>
        <v>80</v>
      </c>
      <c r="Y45" s="225">
        <f t="shared" ref="Y45" ca="1" si="44">SUM(Y38:Y41)+Y42-X46-Y44</f>
        <v>280</v>
      </c>
      <c r="Z45" s="225">
        <f t="shared" ref="Z45" ca="1" si="45">SUM(Z38:Z41)+Z42-Y46-Z44</f>
        <v>150</v>
      </c>
      <c r="AA45" s="225">
        <f t="shared" ref="AA45" ca="1" si="46">SUM(AA38:AA41)+AA42-Z46-AA44</f>
        <v>360</v>
      </c>
      <c r="AB45" s="225">
        <f t="shared" ref="AB45" ca="1" si="47">SUM(AB38:AB41)+AB42-AA46-AB44</f>
        <v>280</v>
      </c>
      <c r="AC45" s="225">
        <f t="shared" ref="AC45" ca="1" si="48">SUM(AC38:AC41)+AC42-AB46-AC44</f>
        <v>280</v>
      </c>
      <c r="AD45" s="225">
        <f t="shared" ref="AD45" ca="1" si="49">SUM(AD38:AD41)+AD42-AC46-AD44</f>
        <v>220</v>
      </c>
      <c r="AE45" s="225">
        <f t="shared" ref="AE45" ca="1" si="50">SUM(AE38:AE41)+AE42-AD46-AE44</f>
        <v>20</v>
      </c>
      <c r="AF45" s="225">
        <f t="shared" ref="AF45" ca="1" si="51">SUM(AF38:AF41)+AF42-AE46-AF44</f>
        <v>30</v>
      </c>
      <c r="AG45" s="225"/>
      <c r="AH45" s="225"/>
      <c r="AI45" s="225"/>
      <c r="AJ45" s="225"/>
      <c r="AK45" s="272"/>
      <c r="AL45" s="272"/>
    </row>
    <row r="46" spans="1:38" ht="15.75" thickBot="1" x14ac:dyDescent="0.3">
      <c r="A46" s="108">
        <v>3000</v>
      </c>
      <c r="B46" s="122" t="s">
        <v>31</v>
      </c>
      <c r="C46" s="103" t="s">
        <v>49</v>
      </c>
      <c r="D46" s="42" t="s">
        <v>48</v>
      </c>
      <c r="E46" s="103" t="s">
        <v>49</v>
      </c>
      <c r="F46" s="42" t="s">
        <v>48</v>
      </c>
      <c r="G46" s="125" t="s">
        <v>37</v>
      </c>
      <c r="I46" s="7">
        <f ca="1">H39+I45+I44-SUM(I40:I41)</f>
        <v>0</v>
      </c>
      <c r="J46" s="7">
        <f t="shared" ref="J46:AF46" ca="1" si="52">I46+J45+J44-SUM(J40:J41)</f>
        <v>0</v>
      </c>
      <c r="K46" s="7">
        <f t="shared" ca="1" si="52"/>
        <v>0</v>
      </c>
      <c r="L46" s="7">
        <f t="shared" ca="1" si="52"/>
        <v>0</v>
      </c>
      <c r="M46" s="7">
        <f t="shared" ca="1" si="52"/>
        <v>0</v>
      </c>
      <c r="N46" s="7">
        <f t="shared" ca="1" si="52"/>
        <v>0</v>
      </c>
      <c r="O46" s="7">
        <f t="shared" ca="1" si="52"/>
        <v>0</v>
      </c>
      <c r="P46" s="7">
        <f t="shared" ca="1" si="52"/>
        <v>0</v>
      </c>
      <c r="Q46" s="7">
        <f t="shared" ca="1" si="52"/>
        <v>0</v>
      </c>
      <c r="R46" s="7">
        <f t="shared" ca="1" si="52"/>
        <v>0</v>
      </c>
      <c r="S46" s="7">
        <f t="shared" ca="1" si="52"/>
        <v>0</v>
      </c>
      <c r="T46" s="7">
        <f t="shared" ca="1" si="52"/>
        <v>0</v>
      </c>
      <c r="U46" s="7">
        <f t="shared" ca="1" si="52"/>
        <v>0</v>
      </c>
      <c r="V46" s="7">
        <f t="shared" ca="1" si="52"/>
        <v>0</v>
      </c>
      <c r="W46" s="7">
        <f t="shared" ca="1" si="52"/>
        <v>0</v>
      </c>
      <c r="X46" s="7">
        <f t="shared" ca="1" si="52"/>
        <v>0</v>
      </c>
      <c r="Y46" s="7">
        <f t="shared" ca="1" si="52"/>
        <v>0</v>
      </c>
      <c r="Z46" s="7">
        <f t="shared" ca="1" si="52"/>
        <v>0</v>
      </c>
      <c r="AA46" s="7">
        <f t="shared" ca="1" si="52"/>
        <v>0</v>
      </c>
      <c r="AB46" s="7">
        <f t="shared" ca="1" si="52"/>
        <v>0</v>
      </c>
      <c r="AC46" s="7">
        <f t="shared" ca="1" si="52"/>
        <v>0</v>
      </c>
      <c r="AD46" s="7">
        <f t="shared" ca="1" si="52"/>
        <v>0</v>
      </c>
      <c r="AE46" s="7">
        <f t="shared" ca="1" si="52"/>
        <v>0</v>
      </c>
      <c r="AF46" s="7">
        <f t="shared" ca="1" si="52"/>
        <v>0</v>
      </c>
      <c r="AG46" s="224"/>
      <c r="AH46" s="224"/>
      <c r="AI46" s="224"/>
      <c r="AJ46" s="224"/>
      <c r="AK46" s="273"/>
      <c r="AL46" s="273"/>
    </row>
    <row r="47" spans="1:38" ht="15.75" thickBot="1" x14ac:dyDescent="0.3">
      <c r="A47" s="77"/>
      <c r="B47" s="77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77"/>
      <c r="AG47" s="244"/>
      <c r="AH47" s="244"/>
      <c r="AI47" s="244"/>
      <c r="AJ47" s="244"/>
      <c r="AK47" s="239"/>
      <c r="AL47" s="239"/>
    </row>
    <row r="48" spans="1:38" ht="14.25" customHeight="1" thickBot="1" x14ac:dyDescent="0.3">
      <c r="A48" s="26">
        <v>4000</v>
      </c>
      <c r="B48" s="123" t="s">
        <v>44</v>
      </c>
      <c r="C48" s="103" t="s">
        <v>49</v>
      </c>
      <c r="D48" s="42" t="s">
        <v>48</v>
      </c>
      <c r="E48" s="103" t="s">
        <v>50</v>
      </c>
      <c r="F48" s="116" t="s">
        <v>33</v>
      </c>
      <c r="G48" s="170" t="s">
        <v>117</v>
      </c>
      <c r="H48" s="171"/>
      <c r="I48" s="294">
        <f>PA_CDC!I99</f>
        <v>360</v>
      </c>
      <c r="J48" s="171" t="str">
        <f>IF(J5=MJ_Initialisation!AI18,MJ_Initialisation!E26,"")</f>
        <v/>
      </c>
      <c r="K48" s="171" t="str">
        <f>IF(K5=MJ_Initialisation!AJ18,MJ_Initialisation!F26,"")</f>
        <v/>
      </c>
      <c r="L48" s="171" t="str">
        <f>IF(L5=MJ_Initialisation!AK18,MJ_Initialisation!G26,"")</f>
        <v/>
      </c>
      <c r="M48" s="171" t="str">
        <f>IF(M5=MJ_Initialisation!AL18,MJ_Initialisation!H26,"")</f>
        <v/>
      </c>
      <c r="N48" s="171" t="str">
        <f>IF(N5=MJ_Initialisation!AM18,MJ_Initialisation!I26,"")</f>
        <v/>
      </c>
      <c r="O48" s="171" t="str">
        <f>IF(O5=MJ_Initialisation!AN18,MJ_Initialisation!J26,"")</f>
        <v/>
      </c>
      <c r="P48" s="171" t="str">
        <f>IF(P5=MJ_Initialisation!AO18,MJ_Initialisation!K26,"")</f>
        <v/>
      </c>
      <c r="Q48" s="171" t="str">
        <f>IF(Q5=MJ_Initialisation!AP18,MJ_Initialisation!L26,"")</f>
        <v/>
      </c>
      <c r="R48" s="171" t="str">
        <f>IF(R5=MJ_Initialisation!AQ18,MJ_Initialisation!M26,"")</f>
        <v/>
      </c>
      <c r="S48" s="171" t="str">
        <f>IF(S5=MJ_Initialisation!AR18,MJ_Initialisation!N26,"")</f>
        <v/>
      </c>
      <c r="T48" s="171" t="str">
        <f>IF(T5=MJ_Initialisation!AS18,MJ_Initialisation!O26,"")</f>
        <v/>
      </c>
      <c r="U48" s="171" t="str">
        <f>IF(U5=MJ_Initialisation!AT18,MJ_Initialisation!P26,"")</f>
        <v/>
      </c>
      <c r="V48" s="171" t="str">
        <f>IF(V5=MJ_Initialisation!AU18,MJ_Initialisation!Q26,"")</f>
        <v/>
      </c>
      <c r="W48" s="171" t="str">
        <f>IF(W5=MJ_Initialisation!AV18,MJ_Initialisation!R26,"")</f>
        <v/>
      </c>
      <c r="X48" s="171" t="str">
        <f>IF(X5=MJ_Initialisation!AW18,MJ_Initialisation!S26,"")</f>
        <v/>
      </c>
      <c r="Y48" s="171" t="str">
        <f>IF(Y5=MJ_Initialisation!AX18,MJ_Initialisation!T26,"")</f>
        <v/>
      </c>
      <c r="Z48" s="171" t="str">
        <f>IF(Z5=MJ_Initialisation!AY18,MJ_Initialisation!U26,"")</f>
        <v/>
      </c>
      <c r="AA48" s="171" t="str">
        <f>IF(AA5=MJ_Initialisation!AZ18,MJ_Initialisation!V26,"")</f>
        <v/>
      </c>
      <c r="AB48" s="171" t="str">
        <f>IF(AB5=MJ_Initialisation!BA18,MJ_Initialisation!W26,"")</f>
        <v/>
      </c>
      <c r="AC48" s="171" t="str">
        <f>IF(AC5=MJ_Initialisation!BB18,MJ_Initialisation!X26,"")</f>
        <v/>
      </c>
      <c r="AD48" s="171" t="str">
        <f>IF(AD5=MJ_Initialisation!BC18,MJ_Initialisation!Y26,"")</f>
        <v/>
      </c>
      <c r="AE48" s="171" t="str">
        <f>IF(AE5=MJ_Initialisation!BD18,MJ_Initialisation!Z26,"")</f>
        <v/>
      </c>
      <c r="AF48" s="171" t="str">
        <f>IF(AF5=MJ_Initialisation!BE18,MJ_Initialisation!AA26,"")</f>
        <v/>
      </c>
      <c r="AG48" s="264"/>
      <c r="AH48" s="264"/>
      <c r="AI48" s="264"/>
      <c r="AJ48" s="264"/>
      <c r="AK48" s="248"/>
      <c r="AL48" s="248"/>
    </row>
    <row r="49" spans="1:92" ht="15.75" thickBot="1" x14ac:dyDescent="0.3">
      <c r="A49" s="26">
        <v>4000</v>
      </c>
      <c r="B49" s="123" t="s">
        <v>44</v>
      </c>
      <c r="C49" s="103" t="s">
        <v>66</v>
      </c>
      <c r="D49" s="42" t="s">
        <v>65</v>
      </c>
      <c r="E49" s="103" t="s">
        <v>49</v>
      </c>
      <c r="F49" s="42" t="s">
        <v>48</v>
      </c>
      <c r="G49" s="170" t="s">
        <v>118</v>
      </c>
      <c r="H49" s="171"/>
      <c r="I49" s="171">
        <f>I54</f>
        <v>360</v>
      </c>
      <c r="J49" s="171" t="str">
        <f>IF(J5=MJ_Initialisation!AI18,MJ_Initialisation!E50,"")</f>
        <v/>
      </c>
      <c r="K49" s="171" t="str">
        <f>IF(K5=MJ_Initialisation!AJ18,MJ_Initialisation!F50,"")</f>
        <v/>
      </c>
      <c r="L49" s="171" t="str">
        <f>IF(L5=MJ_Initialisation!AK18,MJ_Initialisation!G50,"")</f>
        <v/>
      </c>
      <c r="M49" s="171" t="str">
        <f>IF(M5=MJ_Initialisation!AL18,MJ_Initialisation!H50,"")</f>
        <v/>
      </c>
      <c r="N49" s="171" t="str">
        <f>IF(N5=MJ_Initialisation!AM18,MJ_Initialisation!I50,"")</f>
        <v/>
      </c>
      <c r="O49" s="171" t="str">
        <f>IF(O5=MJ_Initialisation!AN18,MJ_Initialisation!J50,"")</f>
        <v/>
      </c>
      <c r="P49" s="171" t="str">
        <f>IF(P5=MJ_Initialisation!AO18,MJ_Initialisation!K50,"")</f>
        <v/>
      </c>
      <c r="Q49" s="171" t="str">
        <f>IF(Q5=MJ_Initialisation!AP18,MJ_Initialisation!L50,"")</f>
        <v/>
      </c>
      <c r="R49" s="171" t="str">
        <f>IF(R5=MJ_Initialisation!AQ18,MJ_Initialisation!M50,"")</f>
        <v/>
      </c>
      <c r="S49" s="171" t="str">
        <f>IF(S5=MJ_Initialisation!AR18,MJ_Initialisation!N50,"")</f>
        <v/>
      </c>
      <c r="T49" s="171" t="str">
        <f>IF(T5=MJ_Initialisation!AS18,MJ_Initialisation!O50,"")</f>
        <v/>
      </c>
      <c r="U49" s="171" t="str">
        <f>IF(U5=MJ_Initialisation!AT18,MJ_Initialisation!P50,"")</f>
        <v/>
      </c>
      <c r="V49" s="171" t="str">
        <f>IF(V5=MJ_Initialisation!AU18,MJ_Initialisation!Q50,"")</f>
        <v/>
      </c>
      <c r="W49" s="171" t="str">
        <f>IF(W5=MJ_Initialisation!AV18,MJ_Initialisation!R50,"")</f>
        <v/>
      </c>
      <c r="X49" s="171" t="str">
        <f>IF(X5=MJ_Initialisation!AW18,MJ_Initialisation!S50,"")</f>
        <v/>
      </c>
      <c r="Y49" s="171" t="str">
        <f>IF(Y5=MJ_Initialisation!AX18,MJ_Initialisation!T50,"")</f>
        <v/>
      </c>
      <c r="Z49" s="171" t="str">
        <f>IF(Z5=MJ_Initialisation!AY18,MJ_Initialisation!U50,"")</f>
        <v/>
      </c>
      <c r="AA49" s="171" t="str">
        <f>IF(AA5=MJ_Initialisation!AZ18,MJ_Initialisation!V50,"")</f>
        <v/>
      </c>
      <c r="AB49" s="171" t="str">
        <f>IF(AB5=MJ_Initialisation!BA18,MJ_Initialisation!W50,"")</f>
        <v/>
      </c>
      <c r="AC49" s="171" t="str">
        <f>IF(AC5=MJ_Initialisation!BB18,MJ_Initialisation!X50,"")</f>
        <v/>
      </c>
      <c r="AD49" s="171" t="str">
        <f>IF(AD5=MJ_Initialisation!BC18,MJ_Initialisation!Y50,"")</f>
        <v/>
      </c>
      <c r="AE49" s="171" t="str">
        <f>IF(AE5=MJ_Initialisation!BD18,MJ_Initialisation!Z50,"")</f>
        <v/>
      </c>
      <c r="AF49" s="171" t="str">
        <f>IF(AF5=MJ_Initialisation!BE18,MJ_Initialisation!AA50,"")</f>
        <v/>
      </c>
      <c r="AG49" s="264"/>
      <c r="AH49" s="264"/>
      <c r="AI49" s="264"/>
      <c r="AJ49" s="264"/>
      <c r="AK49" s="248"/>
      <c r="AL49" s="248"/>
    </row>
    <row r="50" spans="1:92" ht="15.75" thickBot="1" x14ac:dyDescent="0.3">
      <c r="A50" s="26">
        <v>4000</v>
      </c>
      <c r="B50" s="123" t="s">
        <v>44</v>
      </c>
      <c r="C50" s="103" t="s">
        <v>49</v>
      </c>
      <c r="D50" s="42" t="s">
        <v>48</v>
      </c>
      <c r="E50" s="103" t="s">
        <v>49</v>
      </c>
      <c r="F50" s="42" t="s">
        <v>48</v>
      </c>
      <c r="G50" s="168" t="s">
        <v>120</v>
      </c>
      <c r="H50" s="19">
        <f>MJ_Initialisation!AF19</f>
        <v>0</v>
      </c>
      <c r="I50" s="295">
        <f>H50+I49-I48</f>
        <v>0</v>
      </c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267"/>
      <c r="AH50" s="267"/>
      <c r="AI50" s="267"/>
      <c r="AJ50" s="267"/>
      <c r="AK50" s="274"/>
      <c r="AL50" s="274"/>
    </row>
    <row r="51" spans="1:92" ht="15.75" thickBot="1" x14ac:dyDescent="0.3">
      <c r="A51" s="26">
        <v>4000</v>
      </c>
      <c r="B51" s="123" t="s">
        <v>44</v>
      </c>
      <c r="C51" s="103" t="s">
        <v>50</v>
      </c>
      <c r="D51" s="116" t="s">
        <v>33</v>
      </c>
      <c r="E51" s="103" t="s">
        <v>49</v>
      </c>
      <c r="F51" s="42" t="s">
        <v>48</v>
      </c>
      <c r="G51" s="8" t="s">
        <v>57</v>
      </c>
      <c r="H51" s="12"/>
      <c r="I51" s="13">
        <f>France!J42</f>
        <v>360</v>
      </c>
      <c r="J51" s="13">
        <f>France!K42</f>
        <v>60</v>
      </c>
      <c r="K51" s="13">
        <f>France!L42</f>
        <v>80</v>
      </c>
      <c r="L51" s="13">
        <f>France!M42</f>
        <v>10</v>
      </c>
      <c r="M51" s="13">
        <f>France!N42</f>
        <v>160</v>
      </c>
      <c r="N51" s="13">
        <f>France!O42</f>
        <v>80</v>
      </c>
      <c r="O51" s="13">
        <f>France!P42</f>
        <v>40</v>
      </c>
      <c r="P51" s="13">
        <f>France!Q42</f>
        <v>120</v>
      </c>
      <c r="Q51" s="13">
        <f>France!R42</f>
        <v>170</v>
      </c>
      <c r="R51" s="13">
        <f>France!S42</f>
        <v>80</v>
      </c>
      <c r="S51" s="13">
        <f>France!T42</f>
        <v>150</v>
      </c>
      <c r="T51" s="13">
        <f>France!U42</f>
        <v>40</v>
      </c>
      <c r="U51" s="13">
        <f>France!V42</f>
        <v>40</v>
      </c>
      <c r="V51" s="13">
        <f>France!W42</f>
        <v>70</v>
      </c>
      <c r="W51" s="13">
        <f>France!X42</f>
        <v>120</v>
      </c>
      <c r="X51" s="13">
        <f>France!Y42</f>
        <v>170</v>
      </c>
      <c r="Y51" s="13">
        <f>France!Z42</f>
        <v>170</v>
      </c>
      <c r="Z51" s="13">
        <f>France!AA42</f>
        <v>180</v>
      </c>
      <c r="AA51" s="13">
        <f>France!AB42</f>
        <v>10</v>
      </c>
      <c r="AB51" s="13">
        <f>France!AC42</f>
        <v>130</v>
      </c>
      <c r="AC51" s="13">
        <f>France!AD42</f>
        <v>10</v>
      </c>
      <c r="AD51" s="13">
        <f>France!AE42</f>
        <v>190</v>
      </c>
      <c r="AE51" s="13">
        <f>France!AF42</f>
        <v>110</v>
      </c>
      <c r="AF51" s="13">
        <f>France!AG42</f>
        <v>100</v>
      </c>
      <c r="AG51" s="227"/>
      <c r="AH51" s="227"/>
      <c r="AI51" s="227"/>
      <c r="AJ51" s="227"/>
      <c r="AK51" s="261"/>
      <c r="AL51" s="261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</row>
    <row r="52" spans="1:92" ht="15.75" thickBot="1" x14ac:dyDescent="0.3">
      <c r="A52" s="26">
        <v>4000</v>
      </c>
      <c r="B52" s="123" t="s">
        <v>44</v>
      </c>
      <c r="C52" s="103" t="s">
        <v>49</v>
      </c>
      <c r="D52" s="42" t="s">
        <v>48</v>
      </c>
      <c r="E52" s="103" t="s">
        <v>49</v>
      </c>
      <c r="F52" s="42" t="s">
        <v>48</v>
      </c>
      <c r="G52" s="124" t="s">
        <v>24</v>
      </c>
      <c r="H52" s="14"/>
      <c r="I52" s="223"/>
      <c r="J52" s="223"/>
      <c r="K52" s="223"/>
      <c r="L52" s="223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  <c r="AI52" s="223"/>
      <c r="AJ52" s="223"/>
      <c r="AK52" s="249"/>
      <c r="AL52" s="249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</row>
    <row r="53" spans="1:92" ht="15.75" thickBot="1" x14ac:dyDescent="0.3">
      <c r="A53" s="26">
        <v>4000</v>
      </c>
      <c r="B53" s="123" t="s">
        <v>44</v>
      </c>
      <c r="C53" s="103" t="s">
        <v>66</v>
      </c>
      <c r="D53" s="42" t="s">
        <v>65</v>
      </c>
      <c r="E53" s="103" t="s">
        <v>49</v>
      </c>
      <c r="F53" s="42" t="s">
        <v>48</v>
      </c>
      <c r="G53" s="4" t="s">
        <v>45</v>
      </c>
      <c r="H53" s="14"/>
      <c r="I53" s="142"/>
      <c r="J53" s="142"/>
      <c r="K53" s="64">
        <f>MJ_Initialisation!F50</f>
        <v>80</v>
      </c>
      <c r="L53" s="64">
        <f>MJ_Initialisation!G50</f>
        <v>10</v>
      </c>
      <c r="M53" s="64">
        <f>MJ_Initialisation!H50</f>
        <v>160</v>
      </c>
      <c r="N53" s="64">
        <f>MJ_Initialisation!I50</f>
        <v>80</v>
      </c>
      <c r="O53" s="64">
        <f>MJ_Initialisation!J50</f>
        <v>40</v>
      </c>
      <c r="P53" s="64">
        <f>MJ_Initialisation!K50</f>
        <v>120</v>
      </c>
      <c r="Q53" s="64">
        <f>MJ_Initialisation!L50</f>
        <v>170</v>
      </c>
      <c r="R53" s="64">
        <f>MJ_Initialisation!M50</f>
        <v>80</v>
      </c>
      <c r="S53" s="64">
        <f>MJ_Initialisation!N50</f>
        <v>150</v>
      </c>
      <c r="T53" s="64">
        <f>MJ_Initialisation!O50</f>
        <v>40</v>
      </c>
      <c r="U53" s="64">
        <f>MJ_Initialisation!P50</f>
        <v>40</v>
      </c>
      <c r="V53" s="64">
        <f>MJ_Initialisation!Q50</f>
        <v>70</v>
      </c>
      <c r="W53" s="64">
        <f>MJ_Initialisation!R50</f>
        <v>120</v>
      </c>
      <c r="X53" s="64">
        <f>MJ_Initialisation!S50</f>
        <v>170</v>
      </c>
      <c r="Y53" s="64">
        <f>MJ_Initialisation!T50</f>
        <v>170</v>
      </c>
      <c r="Z53" s="64">
        <f>MJ_Initialisation!U50</f>
        <v>180</v>
      </c>
      <c r="AA53" s="64">
        <f>MJ_Initialisation!V50</f>
        <v>10</v>
      </c>
      <c r="AB53" s="64">
        <f>MJ_Initialisation!W50</f>
        <v>130</v>
      </c>
      <c r="AC53" s="64">
        <f>MJ_Initialisation!X50</f>
        <v>10</v>
      </c>
      <c r="AD53" s="64">
        <f>MJ_Initialisation!Y50</f>
        <v>190</v>
      </c>
      <c r="AE53" s="64">
        <f>MJ_Initialisation!Z50</f>
        <v>110</v>
      </c>
      <c r="AF53" s="64">
        <f>MJ_Initialisation!AA50</f>
        <v>100</v>
      </c>
      <c r="AG53" s="243"/>
      <c r="AH53" s="243"/>
      <c r="AI53" s="243"/>
      <c r="AJ53" s="243"/>
      <c r="AK53" s="239"/>
      <c r="AL53" s="239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</row>
    <row r="54" spans="1:92" ht="15.75" thickBot="1" x14ac:dyDescent="0.3">
      <c r="A54" s="26">
        <v>4000</v>
      </c>
      <c r="B54" s="123" t="s">
        <v>44</v>
      </c>
      <c r="C54" s="103" t="s">
        <v>66</v>
      </c>
      <c r="D54" s="42" t="s">
        <v>65</v>
      </c>
      <c r="E54" s="103" t="s">
        <v>49</v>
      </c>
      <c r="F54" s="42" t="s">
        <v>48</v>
      </c>
      <c r="G54" s="35" t="s">
        <v>73</v>
      </c>
      <c r="H54" s="31"/>
      <c r="I54" s="36">
        <f>MJ_Initialisation!D50</f>
        <v>360</v>
      </c>
      <c r="J54" s="36">
        <f>MJ_Initialisation!E50</f>
        <v>60</v>
      </c>
      <c r="K54" s="254"/>
      <c r="L54" s="25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255"/>
      <c r="AH54" s="255"/>
      <c r="AI54" s="255"/>
      <c r="AJ54" s="255"/>
      <c r="AK54" s="255"/>
      <c r="AL54" s="25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</row>
    <row r="55" spans="1:92" ht="15.75" thickBot="1" x14ac:dyDescent="0.3">
      <c r="A55" s="26">
        <v>4000</v>
      </c>
      <c r="B55" s="123" t="s">
        <v>44</v>
      </c>
      <c r="C55" s="103" t="s">
        <v>49</v>
      </c>
      <c r="D55" s="42" t="s">
        <v>48</v>
      </c>
      <c r="E55" s="103" t="s">
        <v>66</v>
      </c>
      <c r="F55" s="42" t="s">
        <v>65</v>
      </c>
      <c r="G55" s="127" t="s">
        <v>25</v>
      </c>
      <c r="H55" s="18"/>
      <c r="I55" s="225">
        <f>MAX(I53,I51+I52-H50-I54)</f>
        <v>0</v>
      </c>
      <c r="J55" s="225">
        <f t="shared" ref="J55" si="53">MAX(J53,J51+J52-I56-J54)</f>
        <v>0</v>
      </c>
      <c r="K55" s="225">
        <f t="shared" ref="K55" si="54">SUM(K48:K51)+K52-J56-K54</f>
        <v>80</v>
      </c>
      <c r="L55" s="225">
        <f t="shared" ref="L55" si="55">SUM(L48:L51)+L52-K56-L54</f>
        <v>10</v>
      </c>
      <c r="M55" s="225">
        <f>SUM(M48:M51)+M52-L56-M54</f>
        <v>160</v>
      </c>
      <c r="N55" s="225">
        <f t="shared" ref="N55" si="56">SUM(N48:N51)+N52-M56-N54</f>
        <v>80</v>
      </c>
      <c r="O55" s="225">
        <f t="shared" ref="O55" si="57">SUM(O48:O51)+O52-N56-O54</f>
        <v>40</v>
      </c>
      <c r="P55" s="225">
        <f t="shared" ref="P55" si="58">SUM(P48:P51)+P52-O56-P54</f>
        <v>120</v>
      </c>
      <c r="Q55" s="225">
        <f t="shared" ref="Q55" si="59">SUM(Q48:Q51)+Q52-P56-Q54</f>
        <v>170</v>
      </c>
      <c r="R55" s="225">
        <f t="shared" ref="R55" si="60">SUM(R48:R51)+R52-Q56-R54</f>
        <v>80</v>
      </c>
      <c r="S55" s="225">
        <f t="shared" ref="S55" si="61">SUM(S48:S51)+S52-R56-S54</f>
        <v>150</v>
      </c>
      <c r="T55" s="225">
        <f t="shared" ref="T55" si="62">SUM(T48:T51)+T52-S56-T54</f>
        <v>40</v>
      </c>
      <c r="U55" s="225">
        <f t="shared" ref="U55" si="63">SUM(U48:U51)+U52-T56-U54</f>
        <v>40</v>
      </c>
      <c r="V55" s="225">
        <f t="shared" ref="V55" si="64">SUM(V48:V51)+V52-U56-V54</f>
        <v>70</v>
      </c>
      <c r="W55" s="225">
        <f t="shared" ref="W55" si="65">SUM(W48:W51)+W52-V56-W54</f>
        <v>120</v>
      </c>
      <c r="X55" s="225">
        <f t="shared" ref="X55" si="66">SUM(X48:X51)+X52-W56-X54</f>
        <v>170</v>
      </c>
      <c r="Y55" s="225">
        <f t="shared" ref="Y55" si="67">SUM(Y48:Y51)+Y52-X56-Y54</f>
        <v>170</v>
      </c>
      <c r="Z55" s="225">
        <f t="shared" ref="Z55" si="68">SUM(Z48:Z51)+Z52-Y56-Z54</f>
        <v>180</v>
      </c>
      <c r="AA55" s="225">
        <f t="shared" ref="AA55" si="69">SUM(AA48:AA51)+AA52-Z56-AA54</f>
        <v>10</v>
      </c>
      <c r="AB55" s="225">
        <f t="shared" ref="AB55" si="70">SUM(AB48:AB51)+AB52-AA56-AB54</f>
        <v>130</v>
      </c>
      <c r="AC55" s="225">
        <f t="shared" ref="AC55" si="71">SUM(AC48:AC51)+AC52-AB56-AC54</f>
        <v>10</v>
      </c>
      <c r="AD55" s="225">
        <f t="shared" ref="AD55" si="72">SUM(AD48:AD51)+AD52-AC56-AD54</f>
        <v>190</v>
      </c>
      <c r="AE55" s="225">
        <f t="shared" ref="AE55" si="73">SUM(AE48:AE51)+AE52-AD56-AE54</f>
        <v>110</v>
      </c>
      <c r="AF55" s="225">
        <f t="shared" ref="AF55" si="74">SUM(AF48:AF51)+AF52-AE56-AF54</f>
        <v>100</v>
      </c>
      <c r="AG55" s="225"/>
      <c r="AH55" s="225"/>
      <c r="AI55" s="225"/>
      <c r="AJ55" s="225"/>
      <c r="AK55" s="272"/>
      <c r="AL55" s="272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</row>
    <row r="56" spans="1:92" ht="15.75" thickBot="1" x14ac:dyDescent="0.3">
      <c r="A56" s="26">
        <v>4000</v>
      </c>
      <c r="B56" s="123" t="s">
        <v>44</v>
      </c>
      <c r="C56" s="103" t="s">
        <v>49</v>
      </c>
      <c r="D56" s="42" t="s">
        <v>48</v>
      </c>
      <c r="E56" s="103" t="s">
        <v>49</v>
      </c>
      <c r="F56" s="42" t="s">
        <v>48</v>
      </c>
      <c r="G56" s="167" t="s">
        <v>37</v>
      </c>
      <c r="H56" s="42"/>
      <c r="I56" s="7">
        <f>H50+I55+I54-I51</f>
        <v>0</v>
      </c>
      <c r="J56" s="7">
        <f t="shared" ref="J56:AF56" si="75">I56+J55+J54-J51</f>
        <v>0</v>
      </c>
      <c r="K56" s="7">
        <f t="shared" si="75"/>
        <v>0</v>
      </c>
      <c r="L56" s="7">
        <f t="shared" si="75"/>
        <v>0</v>
      </c>
      <c r="M56" s="7">
        <f t="shared" si="75"/>
        <v>0</v>
      </c>
      <c r="N56" s="7">
        <f t="shared" si="75"/>
        <v>0</v>
      </c>
      <c r="O56" s="7">
        <f t="shared" si="75"/>
        <v>0</v>
      </c>
      <c r="P56" s="7">
        <f t="shared" si="75"/>
        <v>0</v>
      </c>
      <c r="Q56" s="7">
        <f t="shared" si="75"/>
        <v>0</v>
      </c>
      <c r="R56" s="7">
        <f t="shared" si="75"/>
        <v>0</v>
      </c>
      <c r="S56" s="7">
        <f t="shared" si="75"/>
        <v>0</v>
      </c>
      <c r="T56" s="7">
        <f t="shared" si="75"/>
        <v>0</v>
      </c>
      <c r="U56" s="7">
        <f t="shared" si="75"/>
        <v>0</v>
      </c>
      <c r="V56" s="7">
        <f t="shared" si="75"/>
        <v>0</v>
      </c>
      <c r="W56" s="7">
        <f t="shared" si="75"/>
        <v>0</v>
      </c>
      <c r="X56" s="7">
        <f t="shared" si="75"/>
        <v>0</v>
      </c>
      <c r="Y56" s="7">
        <f t="shared" si="75"/>
        <v>0</v>
      </c>
      <c r="Z56" s="7">
        <f t="shared" si="75"/>
        <v>0</v>
      </c>
      <c r="AA56" s="7">
        <f t="shared" si="75"/>
        <v>0</v>
      </c>
      <c r="AB56" s="7">
        <f t="shared" si="75"/>
        <v>0</v>
      </c>
      <c r="AC56" s="7">
        <f t="shared" si="75"/>
        <v>0</v>
      </c>
      <c r="AD56" s="7">
        <f t="shared" si="75"/>
        <v>0</v>
      </c>
      <c r="AE56" s="7">
        <f t="shared" si="75"/>
        <v>0</v>
      </c>
      <c r="AF56" s="7">
        <f t="shared" si="75"/>
        <v>0</v>
      </c>
      <c r="AG56" s="224"/>
      <c r="AH56" s="224"/>
      <c r="AI56" s="224"/>
      <c r="AJ56" s="224"/>
      <c r="AK56" s="273"/>
      <c r="AL56" s="27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</row>
    <row r="57" spans="1:92" x14ac:dyDescent="0.25">
      <c r="D57" s="23"/>
      <c r="E57" s="23"/>
      <c r="F57" s="23"/>
      <c r="G57" s="23"/>
    </row>
    <row r="58" spans="1:92" x14ac:dyDescent="0.25">
      <c r="D58" s="23"/>
      <c r="E58" s="23"/>
      <c r="F58" s="23"/>
      <c r="G58" s="23"/>
    </row>
    <row r="59" spans="1:92" x14ac:dyDescent="0.25">
      <c r="D59" s="23"/>
      <c r="E59" s="23"/>
      <c r="F59" s="23"/>
      <c r="G59" s="23"/>
    </row>
    <row r="60" spans="1:92" x14ac:dyDescent="0.25">
      <c r="D60" s="23"/>
      <c r="E60" s="23"/>
      <c r="F60" s="23"/>
      <c r="G60" s="23"/>
    </row>
    <row r="61" spans="1:92" x14ac:dyDescent="0.25">
      <c r="D61" s="23"/>
      <c r="E61" s="23"/>
      <c r="F61" s="23"/>
      <c r="G61" s="23"/>
    </row>
    <row r="62" spans="1:92" x14ac:dyDescent="0.25">
      <c r="D62" s="23"/>
      <c r="E62" s="23"/>
      <c r="F62" s="23"/>
      <c r="G62" s="23"/>
    </row>
    <row r="63" spans="1:92" x14ac:dyDescent="0.25">
      <c r="D63" s="23"/>
      <c r="E63" s="23"/>
      <c r="F63" s="23"/>
      <c r="G63" s="23"/>
    </row>
    <row r="64" spans="1:92" x14ac:dyDescent="0.25">
      <c r="D64" s="23"/>
      <c r="E64" s="23"/>
      <c r="F64" s="23"/>
      <c r="G64" s="23"/>
    </row>
    <row r="65" spans="4:7" x14ac:dyDescent="0.25">
      <c r="D65" s="23"/>
      <c r="E65" s="23"/>
      <c r="F65" s="23"/>
      <c r="G65" s="23"/>
    </row>
    <row r="66" spans="4:7" x14ac:dyDescent="0.25">
      <c r="D66" s="23"/>
      <c r="E66" s="23"/>
      <c r="F66" s="23"/>
      <c r="G66" s="23"/>
    </row>
    <row r="67" spans="4:7" x14ac:dyDescent="0.25">
      <c r="D67" s="23"/>
      <c r="E67" s="23"/>
      <c r="F67" s="23"/>
      <c r="G67" s="23"/>
    </row>
    <row r="68" spans="4:7" x14ac:dyDescent="0.25">
      <c r="D68" s="23"/>
      <c r="E68" s="23"/>
      <c r="F68" s="23"/>
      <c r="G68" s="23"/>
    </row>
    <row r="69" spans="4:7" x14ac:dyDescent="0.25">
      <c r="D69" s="23"/>
      <c r="E69" s="23"/>
      <c r="F69" s="23"/>
      <c r="G69" s="23"/>
    </row>
    <row r="70" spans="4:7" x14ac:dyDescent="0.25">
      <c r="D70" s="23"/>
      <c r="E70" s="23"/>
      <c r="F70" s="23"/>
      <c r="G70" s="23"/>
    </row>
    <row r="71" spans="4:7" x14ac:dyDescent="0.25">
      <c r="D71" s="23"/>
      <c r="E71" s="23"/>
      <c r="F71" s="23"/>
      <c r="G71" s="23"/>
    </row>
    <row r="72" spans="4:7" x14ac:dyDescent="0.25">
      <c r="D72" s="23"/>
      <c r="E72" s="23"/>
      <c r="F72" s="23"/>
      <c r="G72" s="23"/>
    </row>
    <row r="73" spans="4:7" x14ac:dyDescent="0.25">
      <c r="D73" s="23"/>
      <c r="E73" s="23"/>
      <c r="F73" s="23"/>
      <c r="G73" s="23"/>
    </row>
    <row r="74" spans="4:7" x14ac:dyDescent="0.25">
      <c r="D74" s="23"/>
      <c r="E74" s="23"/>
      <c r="F74" s="23"/>
      <c r="G74" s="23"/>
    </row>
    <row r="75" spans="4:7" x14ac:dyDescent="0.25">
      <c r="D75" s="23"/>
      <c r="E75" s="23"/>
      <c r="F75" s="23"/>
      <c r="G75" s="23"/>
    </row>
    <row r="76" spans="4:7" x14ac:dyDescent="0.25">
      <c r="D76" s="23"/>
      <c r="E76" s="23"/>
      <c r="F76" s="23"/>
      <c r="G76" s="23"/>
    </row>
    <row r="77" spans="4:7" x14ac:dyDescent="0.25">
      <c r="D77" s="23"/>
      <c r="E77" s="23"/>
      <c r="F77" s="23"/>
      <c r="G77" s="23"/>
    </row>
    <row r="78" spans="4:7" x14ac:dyDescent="0.25">
      <c r="D78" s="23"/>
      <c r="E78" s="23"/>
      <c r="F78" s="23"/>
      <c r="G78" s="23"/>
    </row>
    <row r="79" spans="4:7" x14ac:dyDescent="0.25">
      <c r="D79" s="23"/>
      <c r="E79" s="23"/>
      <c r="F79" s="23"/>
      <c r="G79" s="23"/>
    </row>
    <row r="80" spans="4:7" x14ac:dyDescent="0.25">
      <c r="D80" s="23"/>
      <c r="E80" s="23"/>
      <c r="F80" s="23"/>
      <c r="G80" s="23"/>
    </row>
    <row r="81" spans="4:7" x14ac:dyDescent="0.25">
      <c r="D81" s="23"/>
      <c r="E81" s="23"/>
      <c r="F81" s="23"/>
      <c r="G81" s="23"/>
    </row>
    <row r="82" spans="4:7" x14ac:dyDescent="0.25">
      <c r="D82" s="23"/>
      <c r="E82" s="23"/>
      <c r="F82" s="23"/>
      <c r="G82" s="23"/>
    </row>
    <row r="83" spans="4:7" x14ac:dyDescent="0.25">
      <c r="D83" s="23"/>
      <c r="E83" s="23"/>
      <c r="F83" s="23"/>
      <c r="G83" s="23"/>
    </row>
    <row r="84" spans="4:7" x14ac:dyDescent="0.25">
      <c r="D84" s="23"/>
      <c r="E84" s="23"/>
      <c r="F84" s="23"/>
      <c r="G84" s="23"/>
    </row>
    <row r="85" spans="4:7" x14ac:dyDescent="0.25">
      <c r="D85" s="23"/>
      <c r="E85" s="23"/>
      <c r="F85" s="23"/>
      <c r="G85" s="23"/>
    </row>
    <row r="86" spans="4:7" x14ac:dyDescent="0.25">
      <c r="D86" s="23"/>
      <c r="E86" s="23"/>
      <c r="F86" s="23"/>
      <c r="G86" s="23"/>
    </row>
    <row r="87" spans="4:7" x14ac:dyDescent="0.25">
      <c r="D87" s="23"/>
      <c r="E87" s="23"/>
      <c r="F87" s="23"/>
      <c r="G87" s="23"/>
    </row>
    <row r="88" spans="4:7" x14ac:dyDescent="0.25">
      <c r="D88" s="23"/>
      <c r="E88" s="23"/>
      <c r="F88" s="23"/>
      <c r="G88" s="23"/>
    </row>
    <row r="89" spans="4:7" x14ac:dyDescent="0.25">
      <c r="D89" s="23"/>
      <c r="E89" s="23"/>
      <c r="F89" s="23"/>
      <c r="G89" s="23"/>
    </row>
    <row r="90" spans="4:7" x14ac:dyDescent="0.25">
      <c r="D90" s="23"/>
      <c r="E90" s="23"/>
      <c r="F90" s="23"/>
      <c r="G90" s="23"/>
    </row>
    <row r="91" spans="4:7" x14ac:dyDescent="0.25">
      <c r="D91" s="23"/>
      <c r="E91" s="23"/>
      <c r="F91" s="23"/>
      <c r="G91" s="23"/>
    </row>
    <row r="92" spans="4:7" x14ac:dyDescent="0.25">
      <c r="D92" s="23"/>
      <c r="E92" s="23"/>
      <c r="F92" s="23"/>
      <c r="G92" s="23"/>
    </row>
    <row r="93" spans="4:7" x14ac:dyDescent="0.25">
      <c r="D93" s="23"/>
      <c r="E93" s="23"/>
      <c r="F93" s="23"/>
      <c r="G93" s="23"/>
    </row>
    <row r="94" spans="4:7" x14ac:dyDescent="0.25">
      <c r="D94" s="23"/>
      <c r="E94" s="23"/>
      <c r="F94" s="23"/>
      <c r="G94" s="23"/>
    </row>
    <row r="95" spans="4:7" x14ac:dyDescent="0.25">
      <c r="D95" s="23"/>
      <c r="E95" s="23"/>
      <c r="F95" s="23"/>
      <c r="G95" s="23"/>
    </row>
    <row r="96" spans="4:7" x14ac:dyDescent="0.25">
      <c r="D96" s="23"/>
      <c r="E96" s="23"/>
      <c r="F96" s="23"/>
      <c r="G96" s="23"/>
    </row>
    <row r="97" spans="4:7" x14ac:dyDescent="0.25">
      <c r="D97" s="23"/>
      <c r="E97" s="23"/>
      <c r="F97" s="23"/>
      <c r="G97" s="23"/>
    </row>
    <row r="98" spans="4:7" x14ac:dyDescent="0.25">
      <c r="D98" s="23"/>
      <c r="E98" s="23"/>
      <c r="F98" s="23"/>
      <c r="G98" s="23"/>
    </row>
    <row r="99" spans="4:7" x14ac:dyDescent="0.25">
      <c r="D99" s="23"/>
      <c r="E99" s="23"/>
      <c r="F99" s="23"/>
      <c r="G99" s="23"/>
    </row>
    <row r="100" spans="4:7" x14ac:dyDescent="0.25">
      <c r="D100" s="23"/>
      <c r="E100" s="23"/>
      <c r="F100" s="23"/>
      <c r="G100" s="23"/>
    </row>
    <row r="101" spans="4:7" x14ac:dyDescent="0.25">
      <c r="D101" s="23"/>
      <c r="E101" s="23"/>
      <c r="F101" s="23"/>
      <c r="G101" s="23"/>
    </row>
    <row r="102" spans="4:7" x14ac:dyDescent="0.25">
      <c r="D102" s="23"/>
      <c r="E102" s="23"/>
      <c r="F102" s="23"/>
      <c r="G102" s="23"/>
    </row>
    <row r="103" spans="4:7" x14ac:dyDescent="0.25">
      <c r="D103" s="23"/>
      <c r="E103" s="23"/>
      <c r="F103" s="23"/>
      <c r="G103" s="23"/>
    </row>
    <row r="104" spans="4:7" x14ac:dyDescent="0.25">
      <c r="D104" s="23"/>
      <c r="E104" s="23"/>
      <c r="F104" s="23"/>
      <c r="G104" s="23"/>
    </row>
    <row r="105" spans="4:7" x14ac:dyDescent="0.25">
      <c r="D105" s="23"/>
      <c r="E105" s="23"/>
      <c r="F105" s="23"/>
      <c r="G105" s="23"/>
    </row>
    <row r="106" spans="4:7" x14ac:dyDescent="0.25">
      <c r="D106" s="23"/>
      <c r="E106" s="23"/>
      <c r="F106" s="23"/>
      <c r="G106" s="23"/>
    </row>
    <row r="107" spans="4:7" x14ac:dyDescent="0.25">
      <c r="D107" s="23"/>
      <c r="E107" s="23"/>
      <c r="F107" s="23"/>
      <c r="G107" s="23"/>
    </row>
    <row r="108" spans="4:7" x14ac:dyDescent="0.25">
      <c r="D108" s="23"/>
      <c r="E108" s="23"/>
      <c r="F108" s="23"/>
      <c r="G108" s="23"/>
    </row>
    <row r="109" spans="4:7" x14ac:dyDescent="0.25">
      <c r="D109" s="23"/>
      <c r="E109" s="23"/>
      <c r="F109" s="23"/>
      <c r="G109" s="23"/>
    </row>
    <row r="110" spans="4:7" x14ac:dyDescent="0.25">
      <c r="D110" s="23"/>
      <c r="E110" s="23"/>
      <c r="F110" s="23"/>
      <c r="G110" s="23"/>
    </row>
    <row r="111" spans="4:7" x14ac:dyDescent="0.25">
      <c r="D111" s="23"/>
      <c r="E111" s="23"/>
      <c r="F111" s="23"/>
      <c r="G111" s="23"/>
    </row>
    <row r="112" spans="4:7" x14ac:dyDescent="0.25">
      <c r="D112" s="23"/>
      <c r="E112" s="23"/>
      <c r="F112" s="23"/>
      <c r="G112" s="23"/>
    </row>
    <row r="113" spans="4:7" x14ac:dyDescent="0.25">
      <c r="D113" s="23"/>
      <c r="E113" s="23"/>
      <c r="F113" s="23"/>
      <c r="G113" s="23"/>
    </row>
    <row r="114" spans="4:7" x14ac:dyDescent="0.25">
      <c r="D114" s="23"/>
      <c r="E114" s="23"/>
      <c r="F114" s="23"/>
      <c r="G114" s="23"/>
    </row>
    <row r="115" spans="4:7" x14ac:dyDescent="0.25">
      <c r="D115" s="23"/>
      <c r="E115" s="23"/>
      <c r="F115" s="23"/>
      <c r="G115" s="23"/>
    </row>
    <row r="116" spans="4:7" x14ac:dyDescent="0.25">
      <c r="D116" s="23"/>
      <c r="E116" s="23"/>
      <c r="F116" s="23"/>
      <c r="G116" s="23"/>
    </row>
    <row r="117" spans="4:7" x14ac:dyDescent="0.25">
      <c r="D117" s="23"/>
      <c r="E117" s="23"/>
      <c r="F117" s="23"/>
      <c r="G117" s="23"/>
    </row>
    <row r="118" spans="4:7" x14ac:dyDescent="0.25">
      <c r="D118" s="23"/>
      <c r="E118" s="23"/>
      <c r="F118" s="23"/>
      <c r="G118" s="23"/>
    </row>
    <row r="119" spans="4:7" x14ac:dyDescent="0.25">
      <c r="D119" s="23"/>
      <c r="E119" s="23"/>
      <c r="F119" s="23"/>
      <c r="G119" s="23"/>
    </row>
    <row r="120" spans="4:7" x14ac:dyDescent="0.25">
      <c r="D120" s="23"/>
      <c r="E120" s="23"/>
      <c r="F120" s="23"/>
      <c r="G120" s="23"/>
    </row>
    <row r="121" spans="4:7" x14ac:dyDescent="0.25">
      <c r="D121" s="23"/>
      <c r="E121" s="23"/>
      <c r="F121" s="23"/>
      <c r="G121" s="23"/>
    </row>
    <row r="122" spans="4:7" x14ac:dyDescent="0.25">
      <c r="D122" s="23"/>
      <c r="E122" s="23"/>
      <c r="F122" s="23"/>
      <c r="G122" s="23"/>
    </row>
    <row r="123" spans="4:7" x14ac:dyDescent="0.25">
      <c r="D123" s="23"/>
      <c r="E123" s="23"/>
      <c r="F123" s="23"/>
      <c r="G123" s="23"/>
    </row>
    <row r="124" spans="4:7" x14ac:dyDescent="0.25">
      <c r="D124" s="23"/>
      <c r="E124" s="23"/>
      <c r="F124" s="23"/>
      <c r="G124" s="23"/>
    </row>
    <row r="125" spans="4:7" x14ac:dyDescent="0.25">
      <c r="D125" s="23"/>
      <c r="E125" s="23"/>
      <c r="F125" s="23"/>
      <c r="G125" s="23"/>
    </row>
    <row r="126" spans="4:7" x14ac:dyDescent="0.25">
      <c r="D126" s="23"/>
      <c r="E126" s="23"/>
      <c r="F126" s="23"/>
      <c r="G126" s="23"/>
    </row>
    <row r="127" spans="4:7" x14ac:dyDescent="0.25">
      <c r="D127" s="23"/>
      <c r="E127" s="23"/>
      <c r="F127" s="23"/>
      <c r="G127" s="23"/>
    </row>
    <row r="128" spans="4:7" x14ac:dyDescent="0.25">
      <c r="D128" s="23"/>
      <c r="E128" s="23"/>
      <c r="F128" s="23"/>
      <c r="G128" s="23"/>
    </row>
    <row r="129" spans="4:7" x14ac:dyDescent="0.25">
      <c r="D129" s="23"/>
      <c r="E129" s="23"/>
      <c r="F129" s="23"/>
      <c r="G129" s="23"/>
    </row>
    <row r="130" spans="4:7" x14ac:dyDescent="0.25">
      <c r="D130" s="23"/>
      <c r="E130" s="23"/>
      <c r="F130" s="23"/>
      <c r="G130" s="23"/>
    </row>
    <row r="131" spans="4:7" x14ac:dyDescent="0.25">
      <c r="D131" s="23"/>
      <c r="E131" s="23"/>
      <c r="F131" s="23"/>
      <c r="G131" s="23"/>
    </row>
    <row r="132" spans="4:7" x14ac:dyDescent="0.25">
      <c r="D132" s="23"/>
      <c r="E132" s="23"/>
      <c r="F132" s="23"/>
      <c r="G132" s="23"/>
    </row>
    <row r="133" spans="4:7" x14ac:dyDescent="0.25">
      <c r="D133" s="23"/>
      <c r="E133" s="23"/>
      <c r="F133" s="23"/>
      <c r="G133" s="23"/>
    </row>
    <row r="134" spans="4:7" x14ac:dyDescent="0.25">
      <c r="D134" s="23"/>
      <c r="E134" s="23"/>
      <c r="F134" s="23"/>
      <c r="G134" s="23"/>
    </row>
    <row r="135" spans="4:7" x14ac:dyDescent="0.25">
      <c r="D135" s="23"/>
      <c r="E135" s="23"/>
      <c r="F135" s="23"/>
      <c r="G135" s="23"/>
    </row>
    <row r="136" spans="4:7" x14ac:dyDescent="0.25">
      <c r="D136" s="23"/>
      <c r="E136" s="23"/>
      <c r="F136" s="23"/>
      <c r="G136" s="23"/>
    </row>
    <row r="137" spans="4:7" x14ac:dyDescent="0.25">
      <c r="D137" s="23"/>
      <c r="E137" s="23"/>
      <c r="F137" s="23"/>
      <c r="G137" s="23"/>
    </row>
    <row r="138" spans="4:7" x14ac:dyDescent="0.25">
      <c r="D138" s="23"/>
      <c r="E138" s="23"/>
      <c r="F138" s="23"/>
      <c r="G138" s="23"/>
    </row>
    <row r="139" spans="4:7" x14ac:dyDescent="0.25">
      <c r="D139" s="23"/>
      <c r="E139" s="23"/>
      <c r="F139" s="23"/>
      <c r="G139" s="23"/>
    </row>
    <row r="140" spans="4:7" x14ac:dyDescent="0.25">
      <c r="D140" s="23"/>
      <c r="E140" s="23"/>
      <c r="F140" s="23"/>
      <c r="G140" s="23"/>
    </row>
    <row r="141" spans="4:7" x14ac:dyDescent="0.25">
      <c r="D141" s="23"/>
      <c r="E141" s="23"/>
      <c r="F141" s="23"/>
      <c r="G141" s="23"/>
    </row>
    <row r="142" spans="4:7" x14ac:dyDescent="0.25">
      <c r="D142" s="23"/>
      <c r="E142" s="23"/>
      <c r="F142" s="23"/>
      <c r="G142" s="23"/>
    </row>
    <row r="143" spans="4:7" x14ac:dyDescent="0.25">
      <c r="D143" s="23"/>
      <c r="E143" s="23"/>
      <c r="F143" s="23"/>
      <c r="G143" s="23"/>
    </row>
    <row r="144" spans="4:7" x14ac:dyDescent="0.25">
      <c r="D144" s="23"/>
      <c r="E144" s="23"/>
      <c r="F144" s="23"/>
      <c r="G144" s="23"/>
    </row>
    <row r="145" spans="4:7" x14ac:dyDescent="0.25">
      <c r="D145" s="23"/>
      <c r="E145" s="23"/>
      <c r="F145" s="23"/>
      <c r="G145" s="23"/>
    </row>
    <row r="146" spans="4:7" x14ac:dyDescent="0.25">
      <c r="D146" s="23"/>
      <c r="E146" s="23"/>
      <c r="F146" s="23"/>
      <c r="G146" s="23"/>
    </row>
    <row r="147" spans="4:7" x14ac:dyDescent="0.25">
      <c r="D147" s="23"/>
      <c r="E147" s="23"/>
      <c r="F147" s="23"/>
      <c r="G147" s="23"/>
    </row>
    <row r="148" spans="4:7" x14ac:dyDescent="0.25">
      <c r="D148" s="23"/>
      <c r="E148" s="23"/>
      <c r="F148" s="23"/>
      <c r="G148" s="23"/>
    </row>
    <row r="149" spans="4:7" x14ac:dyDescent="0.25">
      <c r="D149" s="23"/>
      <c r="E149" s="23"/>
      <c r="F149" s="23"/>
      <c r="G149" s="23"/>
    </row>
    <row r="150" spans="4:7" x14ac:dyDescent="0.25">
      <c r="D150" s="23"/>
      <c r="E150" s="23"/>
      <c r="F150" s="23"/>
      <c r="G150" s="23"/>
    </row>
    <row r="151" spans="4:7" x14ac:dyDescent="0.25">
      <c r="D151" s="23"/>
      <c r="E151" s="23"/>
      <c r="F151" s="23"/>
      <c r="G151" s="23"/>
    </row>
    <row r="152" spans="4:7" x14ac:dyDescent="0.25">
      <c r="D152" s="23"/>
      <c r="E152" s="23"/>
      <c r="F152" s="23"/>
      <c r="G152" s="23"/>
    </row>
    <row r="153" spans="4:7" x14ac:dyDescent="0.25">
      <c r="D153" s="23"/>
      <c r="E153" s="23"/>
      <c r="F153" s="23"/>
      <c r="G153" s="23"/>
    </row>
    <row r="154" spans="4:7" x14ac:dyDescent="0.25">
      <c r="D154" s="23"/>
      <c r="E154" s="23"/>
      <c r="F154" s="23"/>
      <c r="G154" s="23"/>
    </row>
    <row r="155" spans="4:7" x14ac:dyDescent="0.25">
      <c r="D155" s="23"/>
      <c r="E155" s="23"/>
      <c r="F155" s="23"/>
      <c r="G155" s="23"/>
    </row>
    <row r="156" spans="4:7" x14ac:dyDescent="0.25">
      <c r="D156" s="23"/>
      <c r="E156" s="23"/>
      <c r="F156" s="23"/>
      <c r="G156" s="23"/>
    </row>
    <row r="157" spans="4:7" x14ac:dyDescent="0.25">
      <c r="D157" s="23"/>
      <c r="E157" s="23"/>
      <c r="F157" s="23"/>
      <c r="G157" s="23"/>
    </row>
    <row r="158" spans="4:7" x14ac:dyDescent="0.25">
      <c r="D158" s="23"/>
      <c r="E158" s="23"/>
      <c r="F158" s="23"/>
      <c r="G158" s="23"/>
    </row>
    <row r="159" spans="4:7" x14ac:dyDescent="0.25">
      <c r="D159" s="23"/>
      <c r="E159" s="23"/>
      <c r="F159" s="23"/>
      <c r="G159" s="23"/>
    </row>
    <row r="160" spans="4:7" x14ac:dyDescent="0.25">
      <c r="D160" s="23"/>
      <c r="E160" s="23"/>
      <c r="F160" s="23"/>
      <c r="G160" s="23"/>
    </row>
    <row r="161" spans="4:7" x14ac:dyDescent="0.25">
      <c r="D161" s="23"/>
      <c r="E161" s="23"/>
      <c r="F161" s="23"/>
      <c r="G161" s="23"/>
    </row>
    <row r="162" spans="4:7" x14ac:dyDescent="0.25">
      <c r="D162" s="23"/>
      <c r="E162" s="23"/>
      <c r="F162" s="23"/>
      <c r="G162" s="23"/>
    </row>
    <row r="163" spans="4:7" x14ac:dyDescent="0.25">
      <c r="D163" s="23"/>
      <c r="E163" s="23"/>
      <c r="F163" s="23"/>
      <c r="G163" s="23"/>
    </row>
    <row r="164" spans="4:7" x14ac:dyDescent="0.25">
      <c r="D164" s="23"/>
      <c r="E164" s="23"/>
      <c r="F164" s="23"/>
      <c r="G164" s="23"/>
    </row>
    <row r="165" spans="4:7" x14ac:dyDescent="0.25">
      <c r="D165" s="23"/>
      <c r="E165" s="23"/>
      <c r="F165" s="23"/>
      <c r="G165" s="23"/>
    </row>
    <row r="166" spans="4:7" x14ac:dyDescent="0.25">
      <c r="D166" s="23"/>
      <c r="E166" s="23"/>
      <c r="F166" s="23"/>
      <c r="G166" s="23"/>
    </row>
    <row r="167" spans="4:7" x14ac:dyDescent="0.25">
      <c r="D167" s="23"/>
      <c r="E167" s="23"/>
      <c r="F167" s="23"/>
      <c r="G167" s="23"/>
    </row>
    <row r="168" spans="4:7" x14ac:dyDescent="0.25">
      <c r="D168" s="23"/>
      <c r="E168" s="23"/>
      <c r="F168" s="23"/>
      <c r="G168" s="23"/>
    </row>
    <row r="169" spans="4:7" x14ac:dyDescent="0.25">
      <c r="D169" s="23"/>
      <c r="E169" s="23"/>
      <c r="F169" s="23"/>
      <c r="G169" s="23"/>
    </row>
    <row r="170" spans="4:7" x14ac:dyDescent="0.25">
      <c r="D170" s="23"/>
      <c r="E170" s="23"/>
      <c r="F170" s="23"/>
      <c r="G170" s="23"/>
    </row>
    <row r="171" spans="4:7" x14ac:dyDescent="0.25">
      <c r="D171" s="23"/>
      <c r="E171" s="23"/>
      <c r="F171" s="23"/>
      <c r="G171" s="23"/>
    </row>
    <row r="172" spans="4:7" x14ac:dyDescent="0.25">
      <c r="D172" s="23"/>
      <c r="E172" s="23"/>
      <c r="F172" s="23"/>
      <c r="G172" s="23"/>
    </row>
    <row r="173" spans="4:7" x14ac:dyDescent="0.25">
      <c r="D173" s="23"/>
      <c r="E173" s="23"/>
      <c r="F173" s="23"/>
      <c r="G173" s="23"/>
    </row>
    <row r="174" spans="4:7" x14ac:dyDescent="0.25">
      <c r="D174" s="23"/>
      <c r="E174" s="23"/>
      <c r="F174" s="23"/>
      <c r="G174" s="23"/>
    </row>
    <row r="175" spans="4:7" x14ac:dyDescent="0.25">
      <c r="D175" s="23"/>
      <c r="E175" s="23"/>
      <c r="F175" s="23"/>
      <c r="G175" s="23"/>
    </row>
    <row r="176" spans="4:7" x14ac:dyDescent="0.25">
      <c r="D176" s="23"/>
      <c r="E176" s="23"/>
      <c r="F176" s="23"/>
      <c r="G176" s="23"/>
    </row>
    <row r="177" spans="4:7" x14ac:dyDescent="0.25">
      <c r="D177" s="23"/>
      <c r="E177" s="23"/>
      <c r="F177" s="23"/>
      <c r="G177" s="23"/>
    </row>
    <row r="178" spans="4:7" x14ac:dyDescent="0.25">
      <c r="D178" s="23"/>
      <c r="E178" s="23"/>
      <c r="F178" s="23"/>
      <c r="G178" s="23"/>
    </row>
    <row r="179" spans="4:7" x14ac:dyDescent="0.25">
      <c r="D179" s="23"/>
      <c r="E179" s="23"/>
      <c r="F179" s="23"/>
      <c r="G179" s="23"/>
    </row>
    <row r="180" spans="4:7" x14ac:dyDescent="0.25">
      <c r="D180" s="23"/>
      <c r="E180" s="23"/>
      <c r="F180" s="23"/>
      <c r="G180" s="23"/>
    </row>
    <row r="181" spans="4:7" x14ac:dyDescent="0.25">
      <c r="D181" s="23"/>
      <c r="E181" s="23"/>
      <c r="F181" s="23"/>
      <c r="G181" s="23"/>
    </row>
    <row r="182" spans="4:7" x14ac:dyDescent="0.25">
      <c r="D182" s="23"/>
      <c r="E182" s="23"/>
      <c r="F182" s="23"/>
      <c r="G182" s="23"/>
    </row>
    <row r="183" spans="4:7" x14ac:dyDescent="0.25">
      <c r="D183" s="23"/>
      <c r="E183" s="23"/>
      <c r="F183" s="23"/>
      <c r="G183" s="23"/>
    </row>
    <row r="184" spans="4:7" x14ac:dyDescent="0.25">
      <c r="D184" s="23"/>
      <c r="E184" s="23"/>
      <c r="F184" s="23"/>
      <c r="G184" s="23"/>
    </row>
    <row r="185" spans="4:7" x14ac:dyDescent="0.25">
      <c r="D185" s="23"/>
      <c r="E185" s="23"/>
      <c r="F185" s="23"/>
      <c r="G185" s="23"/>
    </row>
    <row r="186" spans="4:7" x14ac:dyDescent="0.25">
      <c r="D186" s="23"/>
      <c r="E186" s="23"/>
      <c r="F186" s="23"/>
      <c r="G186" s="23"/>
    </row>
    <row r="187" spans="4:7" x14ac:dyDescent="0.25">
      <c r="D187" s="23"/>
      <c r="E187" s="23"/>
      <c r="F187" s="23"/>
      <c r="G187" s="23"/>
    </row>
    <row r="188" spans="4:7" x14ac:dyDescent="0.25">
      <c r="D188" s="23"/>
      <c r="E188" s="23"/>
      <c r="F188" s="23"/>
      <c r="G188" s="23"/>
    </row>
    <row r="189" spans="4:7" x14ac:dyDescent="0.25">
      <c r="D189" s="23"/>
      <c r="E189" s="23"/>
      <c r="F189" s="23"/>
      <c r="G189" s="23"/>
    </row>
    <row r="190" spans="4:7" x14ac:dyDescent="0.25">
      <c r="D190" s="23"/>
      <c r="E190" s="23"/>
      <c r="F190" s="23"/>
      <c r="G190" s="23"/>
    </row>
    <row r="191" spans="4:7" x14ac:dyDescent="0.25">
      <c r="D191" s="23"/>
      <c r="E191" s="23"/>
      <c r="F191" s="23"/>
      <c r="G191" s="23"/>
    </row>
    <row r="192" spans="4:7" x14ac:dyDescent="0.25">
      <c r="D192" s="23"/>
      <c r="E192" s="23"/>
      <c r="F192" s="23"/>
      <c r="G192" s="23"/>
    </row>
    <row r="193" spans="4:7" x14ac:dyDescent="0.25">
      <c r="D193" s="23"/>
      <c r="E193" s="23"/>
      <c r="F193" s="23"/>
      <c r="G193" s="23"/>
    </row>
    <row r="194" spans="4:7" x14ac:dyDescent="0.25">
      <c r="D194" s="23"/>
      <c r="E194" s="23"/>
      <c r="F194" s="23"/>
      <c r="G194" s="23"/>
    </row>
    <row r="195" spans="4:7" x14ac:dyDescent="0.25">
      <c r="D195" s="23"/>
      <c r="E195" s="23"/>
      <c r="F195" s="23"/>
      <c r="G195" s="23"/>
    </row>
    <row r="196" spans="4:7" x14ac:dyDescent="0.25">
      <c r="D196" s="23"/>
      <c r="E196" s="23"/>
      <c r="F196" s="23"/>
      <c r="G196" s="23"/>
    </row>
    <row r="197" spans="4:7" x14ac:dyDescent="0.25">
      <c r="D197" s="23"/>
      <c r="E197" s="23"/>
      <c r="F197" s="23"/>
      <c r="G197" s="23"/>
    </row>
    <row r="198" spans="4:7" x14ac:dyDescent="0.25">
      <c r="D198" s="23"/>
      <c r="E198" s="23"/>
      <c r="F198" s="23"/>
      <c r="G198" s="23"/>
    </row>
    <row r="199" spans="4:7" x14ac:dyDescent="0.25">
      <c r="D199" s="23"/>
      <c r="E199" s="23"/>
      <c r="F199" s="23"/>
      <c r="G199" s="23"/>
    </row>
    <row r="200" spans="4:7" x14ac:dyDescent="0.25">
      <c r="D200" s="23"/>
      <c r="E200" s="23"/>
      <c r="F200" s="23"/>
      <c r="G200" s="23"/>
    </row>
    <row r="201" spans="4:7" x14ac:dyDescent="0.25">
      <c r="D201" s="23"/>
      <c r="E201" s="23"/>
      <c r="F201" s="23"/>
      <c r="G201" s="23"/>
    </row>
    <row r="202" spans="4:7" x14ac:dyDescent="0.25">
      <c r="D202" s="23"/>
      <c r="E202" s="23"/>
      <c r="F202" s="23"/>
      <c r="G202" s="23"/>
    </row>
    <row r="203" spans="4:7" x14ac:dyDescent="0.25">
      <c r="D203" s="23"/>
      <c r="E203" s="23"/>
      <c r="F203" s="23"/>
      <c r="G203" s="23"/>
    </row>
    <row r="204" spans="4:7" x14ac:dyDescent="0.25">
      <c r="D204" s="23"/>
      <c r="E204" s="23"/>
      <c r="F204" s="23"/>
      <c r="G204" s="23"/>
    </row>
    <row r="205" spans="4:7" x14ac:dyDescent="0.25">
      <c r="D205" s="23"/>
      <c r="E205" s="23"/>
      <c r="F205" s="23"/>
      <c r="G205" s="23"/>
    </row>
    <row r="206" spans="4:7" x14ac:dyDescent="0.25">
      <c r="D206" s="23"/>
      <c r="E206" s="23"/>
      <c r="F206" s="23"/>
      <c r="G206" s="23"/>
    </row>
    <row r="207" spans="4:7" x14ac:dyDescent="0.25">
      <c r="D207" s="23"/>
      <c r="E207" s="23"/>
      <c r="F207" s="23"/>
      <c r="G207" s="23"/>
    </row>
    <row r="208" spans="4:7" x14ac:dyDescent="0.25">
      <c r="D208" s="23"/>
      <c r="E208" s="23"/>
      <c r="F208" s="23"/>
      <c r="G208" s="23"/>
    </row>
    <row r="209" spans="4:7" x14ac:dyDescent="0.25">
      <c r="D209" s="23"/>
      <c r="E209" s="23"/>
      <c r="F209" s="23"/>
      <c r="G209" s="23"/>
    </row>
    <row r="210" spans="4:7" x14ac:dyDescent="0.25">
      <c r="D210" s="23"/>
      <c r="E210" s="23"/>
      <c r="F210" s="23"/>
      <c r="G210" s="23"/>
    </row>
    <row r="211" spans="4:7" x14ac:dyDescent="0.25">
      <c r="D211" s="23"/>
      <c r="E211" s="23"/>
      <c r="F211" s="23"/>
      <c r="G211" s="23"/>
    </row>
    <row r="212" spans="4:7" x14ac:dyDescent="0.25">
      <c r="D212" s="23"/>
      <c r="E212" s="23"/>
      <c r="F212" s="23"/>
      <c r="G212" s="23"/>
    </row>
    <row r="213" spans="4:7" x14ac:dyDescent="0.25">
      <c r="D213" s="23"/>
      <c r="E213" s="23"/>
      <c r="F213" s="23"/>
      <c r="G213" s="23"/>
    </row>
    <row r="214" spans="4:7" x14ac:dyDescent="0.25">
      <c r="D214" s="23"/>
      <c r="E214" s="23"/>
      <c r="F214" s="23"/>
      <c r="G214" s="23"/>
    </row>
    <row r="215" spans="4:7" x14ac:dyDescent="0.25">
      <c r="D215" s="23"/>
      <c r="E215" s="23"/>
      <c r="F215" s="23"/>
      <c r="G215" s="23"/>
    </row>
    <row r="216" spans="4:7" x14ac:dyDescent="0.25">
      <c r="D216" s="23"/>
      <c r="E216" s="23"/>
      <c r="F216" s="23"/>
      <c r="G216" s="23"/>
    </row>
    <row r="217" spans="4:7" x14ac:dyDescent="0.25">
      <c r="D217" s="23"/>
      <c r="E217" s="23"/>
      <c r="F217" s="23"/>
      <c r="G217" s="23"/>
    </row>
    <row r="218" spans="4:7" x14ac:dyDescent="0.25">
      <c r="D218" s="23"/>
      <c r="E218" s="23"/>
      <c r="F218" s="23"/>
      <c r="G218" s="23"/>
    </row>
    <row r="219" spans="4:7" x14ac:dyDescent="0.25">
      <c r="D219" s="23"/>
      <c r="E219" s="23"/>
      <c r="F219" s="23"/>
      <c r="G219" s="23"/>
    </row>
    <row r="220" spans="4:7" x14ac:dyDescent="0.25">
      <c r="D220" s="23"/>
      <c r="E220" s="23"/>
      <c r="F220" s="23"/>
      <c r="G220" s="23"/>
    </row>
    <row r="221" spans="4:7" x14ac:dyDescent="0.25">
      <c r="D221" s="23"/>
      <c r="E221" s="23"/>
      <c r="F221" s="23"/>
      <c r="G221" s="23"/>
    </row>
    <row r="222" spans="4:7" x14ac:dyDescent="0.25">
      <c r="D222" s="23"/>
      <c r="E222" s="23"/>
      <c r="F222" s="23"/>
      <c r="G222" s="23"/>
    </row>
    <row r="223" spans="4:7" x14ac:dyDescent="0.25">
      <c r="D223" s="23"/>
      <c r="E223" s="23"/>
      <c r="F223" s="23"/>
      <c r="G223" s="23"/>
    </row>
    <row r="224" spans="4:7" x14ac:dyDescent="0.25">
      <c r="D224" s="23"/>
      <c r="E224" s="23"/>
      <c r="F224" s="23"/>
      <c r="G224" s="23"/>
    </row>
    <row r="225" spans="4:7" x14ac:dyDescent="0.25">
      <c r="D225" s="23"/>
      <c r="E225" s="23"/>
      <c r="F225" s="23"/>
      <c r="G225" s="23"/>
    </row>
    <row r="226" spans="4:7" x14ac:dyDescent="0.25">
      <c r="D226" s="23"/>
      <c r="E226" s="23"/>
      <c r="F226" s="23"/>
      <c r="G226" s="23"/>
    </row>
    <row r="227" spans="4:7" x14ac:dyDescent="0.25">
      <c r="D227" s="23"/>
      <c r="E227" s="23"/>
      <c r="F227" s="23"/>
      <c r="G227" s="23"/>
    </row>
    <row r="228" spans="4:7" x14ac:dyDescent="0.25">
      <c r="D228" s="23"/>
      <c r="E228" s="23"/>
      <c r="F228" s="23"/>
      <c r="G228" s="23"/>
    </row>
    <row r="229" spans="4:7" x14ac:dyDescent="0.25">
      <c r="D229" s="23"/>
      <c r="E229" s="23"/>
      <c r="F229" s="23"/>
      <c r="G229" s="23"/>
    </row>
    <row r="230" spans="4:7" x14ac:dyDescent="0.25">
      <c r="D230" s="23"/>
      <c r="E230" s="23"/>
      <c r="F230" s="23"/>
      <c r="G230" s="23"/>
    </row>
    <row r="231" spans="4:7" x14ac:dyDescent="0.25">
      <c r="D231" s="23"/>
      <c r="E231" s="23"/>
      <c r="F231" s="23"/>
      <c r="G231" s="23"/>
    </row>
    <row r="232" spans="4:7" x14ac:dyDescent="0.25">
      <c r="D232" s="23"/>
      <c r="E232" s="23"/>
      <c r="F232" s="23"/>
      <c r="G232" s="23"/>
    </row>
    <row r="233" spans="4:7" x14ac:dyDescent="0.25">
      <c r="D233" s="23"/>
      <c r="E233" s="23"/>
      <c r="F233" s="23"/>
      <c r="G233" s="23"/>
    </row>
    <row r="234" spans="4:7" x14ac:dyDescent="0.25">
      <c r="D234" s="23"/>
      <c r="E234" s="23"/>
      <c r="F234" s="23"/>
      <c r="G234" s="23"/>
    </row>
    <row r="235" spans="4:7" x14ac:dyDescent="0.25">
      <c r="D235" s="23"/>
      <c r="E235" s="23"/>
      <c r="F235" s="23"/>
      <c r="G235" s="23"/>
    </row>
    <row r="236" spans="4:7" x14ac:dyDescent="0.25">
      <c r="D236" s="23"/>
      <c r="E236" s="23"/>
      <c r="F236" s="23"/>
      <c r="G236" s="23"/>
    </row>
    <row r="237" spans="4:7" x14ac:dyDescent="0.25">
      <c r="D237" s="23"/>
      <c r="E237" s="23"/>
      <c r="F237" s="23"/>
      <c r="G237" s="23"/>
    </row>
    <row r="238" spans="4:7" x14ac:dyDescent="0.25">
      <c r="D238" s="23"/>
      <c r="E238" s="23"/>
      <c r="F238" s="23"/>
      <c r="G238" s="23"/>
    </row>
    <row r="239" spans="4:7" x14ac:dyDescent="0.25">
      <c r="D239" s="23"/>
      <c r="E239" s="23"/>
      <c r="F239" s="23"/>
      <c r="G239" s="23"/>
    </row>
    <row r="240" spans="4:7" x14ac:dyDescent="0.25">
      <c r="D240" s="23"/>
      <c r="E240" s="23"/>
      <c r="F240" s="23"/>
      <c r="G240" s="23"/>
    </row>
    <row r="241" spans="4:7" x14ac:dyDescent="0.25">
      <c r="D241" s="23"/>
      <c r="E241" s="23"/>
      <c r="F241" s="23"/>
      <c r="G241" s="23"/>
    </row>
    <row r="242" spans="4:7" x14ac:dyDescent="0.25">
      <c r="D242" s="23"/>
      <c r="E242" s="23"/>
      <c r="F242" s="23"/>
      <c r="G242" s="23"/>
    </row>
    <row r="243" spans="4:7" x14ac:dyDescent="0.25">
      <c r="D243" s="23"/>
      <c r="E243" s="23"/>
      <c r="F243" s="23"/>
      <c r="G243" s="23"/>
    </row>
    <row r="244" spans="4:7" x14ac:dyDescent="0.25">
      <c r="D244" s="23"/>
      <c r="E244" s="23"/>
      <c r="F244" s="23"/>
      <c r="G244" s="23"/>
    </row>
    <row r="245" spans="4:7" x14ac:dyDescent="0.25">
      <c r="D245" s="23"/>
      <c r="E245" s="23"/>
      <c r="F245" s="23"/>
      <c r="G245" s="23"/>
    </row>
    <row r="246" spans="4:7" x14ac:dyDescent="0.25">
      <c r="D246" s="23"/>
      <c r="E246" s="23"/>
      <c r="F246" s="23"/>
      <c r="G246" s="23"/>
    </row>
    <row r="247" spans="4:7" x14ac:dyDescent="0.25">
      <c r="D247" s="23"/>
      <c r="E247" s="23"/>
      <c r="F247" s="23"/>
      <c r="G247" s="23"/>
    </row>
    <row r="248" spans="4:7" x14ac:dyDescent="0.25">
      <c r="D248" s="23"/>
      <c r="E248" s="23"/>
      <c r="F248" s="23"/>
      <c r="G248" s="23"/>
    </row>
    <row r="249" spans="4:7" x14ac:dyDescent="0.25">
      <c r="D249" s="23"/>
      <c r="E249" s="23"/>
      <c r="F249" s="23"/>
      <c r="G249" s="23"/>
    </row>
    <row r="250" spans="4:7" x14ac:dyDescent="0.25">
      <c r="D250" s="23"/>
      <c r="E250" s="23"/>
      <c r="F250" s="23"/>
      <c r="G250" s="23"/>
    </row>
    <row r="251" spans="4:7" x14ac:dyDescent="0.25">
      <c r="D251" s="23"/>
      <c r="E251" s="23"/>
      <c r="F251" s="23"/>
      <c r="G251" s="23"/>
    </row>
    <row r="252" spans="4:7" x14ac:dyDescent="0.25">
      <c r="D252" s="23"/>
      <c r="E252" s="23"/>
      <c r="F252" s="23"/>
      <c r="G252" s="23"/>
    </row>
    <row r="253" spans="4:7" x14ac:dyDescent="0.25">
      <c r="D253" s="23"/>
      <c r="E253" s="23"/>
      <c r="F253" s="23"/>
      <c r="G253" s="23"/>
    </row>
    <row r="254" spans="4:7" x14ac:dyDescent="0.25">
      <c r="D254" s="23"/>
      <c r="E254" s="23"/>
      <c r="F254" s="23"/>
      <c r="G254" s="23"/>
    </row>
    <row r="255" spans="4:7" x14ac:dyDescent="0.25">
      <c r="D255" s="23"/>
      <c r="E255" s="23"/>
      <c r="F255" s="23"/>
      <c r="G255" s="23"/>
    </row>
    <row r="256" spans="4:7" x14ac:dyDescent="0.25">
      <c r="D256" s="23"/>
      <c r="E256" s="23"/>
      <c r="F256" s="23"/>
      <c r="G256" s="23"/>
    </row>
    <row r="257" spans="4:7" x14ac:dyDescent="0.25">
      <c r="D257" s="23"/>
      <c r="E257" s="23"/>
      <c r="F257" s="23"/>
      <c r="G257" s="23"/>
    </row>
    <row r="258" spans="4:7" x14ac:dyDescent="0.25">
      <c r="D258" s="23"/>
      <c r="E258" s="23"/>
      <c r="F258" s="23"/>
      <c r="G258" s="23"/>
    </row>
    <row r="259" spans="4:7" x14ac:dyDescent="0.25">
      <c r="D259" s="23"/>
      <c r="E259" s="23"/>
      <c r="F259" s="23"/>
      <c r="G259" s="23"/>
    </row>
    <row r="260" spans="4:7" x14ac:dyDescent="0.25">
      <c r="D260" s="23"/>
      <c r="E260" s="23"/>
      <c r="F260" s="23"/>
      <c r="G260" s="23"/>
    </row>
    <row r="261" spans="4:7" x14ac:dyDescent="0.25">
      <c r="D261" s="23"/>
      <c r="E261" s="23"/>
      <c r="F261" s="23"/>
      <c r="G261" s="23"/>
    </row>
    <row r="262" spans="4:7" x14ac:dyDescent="0.25">
      <c r="D262" s="23"/>
      <c r="E262" s="23"/>
      <c r="F262" s="23"/>
      <c r="G262" s="23"/>
    </row>
    <row r="263" spans="4:7" x14ac:dyDescent="0.25">
      <c r="D263" s="23"/>
      <c r="E263" s="23"/>
      <c r="F263" s="23"/>
      <c r="G263" s="23"/>
    </row>
    <row r="264" spans="4:7" x14ac:dyDescent="0.25">
      <c r="D264" s="23"/>
      <c r="E264" s="23"/>
      <c r="F264" s="23"/>
      <c r="G264" s="23"/>
    </row>
    <row r="265" spans="4:7" x14ac:dyDescent="0.25">
      <c r="D265" s="23"/>
      <c r="E265" s="23"/>
      <c r="F265" s="23"/>
      <c r="G265" s="23"/>
    </row>
    <row r="266" spans="4:7" x14ac:dyDescent="0.25">
      <c r="D266" s="23"/>
      <c r="E266" s="23"/>
      <c r="F266" s="23"/>
      <c r="G266" s="23"/>
    </row>
    <row r="267" spans="4:7" x14ac:dyDescent="0.25">
      <c r="D267" s="23"/>
      <c r="E267" s="23"/>
      <c r="F267" s="23"/>
      <c r="G267" s="23"/>
    </row>
    <row r="268" spans="4:7" x14ac:dyDescent="0.25">
      <c r="D268" s="23"/>
      <c r="E268" s="23"/>
      <c r="F268" s="23"/>
      <c r="G268" s="23"/>
    </row>
    <row r="269" spans="4:7" x14ac:dyDescent="0.25">
      <c r="D269" s="23"/>
      <c r="E269" s="23"/>
      <c r="F269" s="23"/>
      <c r="G269" s="23"/>
    </row>
    <row r="270" spans="4:7" x14ac:dyDescent="0.25">
      <c r="D270" s="23"/>
      <c r="E270" s="23"/>
      <c r="F270" s="23"/>
      <c r="G270" s="23"/>
    </row>
    <row r="271" spans="4:7" x14ac:dyDescent="0.25">
      <c r="D271" s="23"/>
      <c r="E271" s="23"/>
      <c r="F271" s="23"/>
      <c r="G271" s="23"/>
    </row>
    <row r="272" spans="4:7" x14ac:dyDescent="0.25">
      <c r="D272" s="23"/>
      <c r="E272" s="23"/>
      <c r="F272" s="23"/>
      <c r="G272" s="23"/>
    </row>
    <row r="273" spans="4:7" x14ac:dyDescent="0.25">
      <c r="D273" s="23"/>
      <c r="E273" s="23"/>
      <c r="F273" s="23"/>
      <c r="G273" s="23"/>
    </row>
    <row r="274" spans="4:7" x14ac:dyDescent="0.25">
      <c r="D274" s="23"/>
      <c r="E274" s="23"/>
      <c r="F274" s="23"/>
      <c r="G274" s="23"/>
    </row>
    <row r="275" spans="4:7" x14ac:dyDescent="0.25">
      <c r="D275" s="23"/>
      <c r="E275" s="23"/>
      <c r="F275" s="23"/>
      <c r="G275" s="23"/>
    </row>
    <row r="276" spans="4:7" x14ac:dyDescent="0.25">
      <c r="D276" s="23"/>
      <c r="E276" s="23"/>
      <c r="F276" s="23"/>
      <c r="G276" s="23"/>
    </row>
    <row r="277" spans="4:7" x14ac:dyDescent="0.25">
      <c r="D277" s="23"/>
      <c r="E277" s="23"/>
      <c r="F277" s="23"/>
      <c r="G277" s="23"/>
    </row>
    <row r="278" spans="4:7" x14ac:dyDescent="0.25">
      <c r="D278" s="23"/>
      <c r="E278" s="23"/>
      <c r="F278" s="23"/>
      <c r="G278" s="23"/>
    </row>
    <row r="279" spans="4:7" x14ac:dyDescent="0.25">
      <c r="D279" s="23"/>
      <c r="E279" s="23"/>
      <c r="F279" s="23"/>
      <c r="G279" s="23"/>
    </row>
    <row r="280" spans="4:7" x14ac:dyDescent="0.25">
      <c r="D280" s="23"/>
      <c r="E280" s="23"/>
      <c r="F280" s="23"/>
      <c r="G280" s="23"/>
    </row>
    <row r="281" spans="4:7" x14ac:dyDescent="0.25">
      <c r="D281" s="23"/>
      <c r="E281" s="23"/>
      <c r="F281" s="23"/>
      <c r="G281" s="23"/>
    </row>
    <row r="282" spans="4:7" x14ac:dyDescent="0.25">
      <c r="D282" s="23"/>
      <c r="E282" s="23"/>
      <c r="F282" s="23"/>
      <c r="G282" s="23"/>
    </row>
    <row r="283" spans="4:7" x14ac:dyDescent="0.25">
      <c r="D283" s="23"/>
      <c r="E283" s="23"/>
      <c r="F283" s="23"/>
      <c r="G283" s="23"/>
    </row>
    <row r="284" spans="4:7" x14ac:dyDescent="0.25">
      <c r="D284" s="23"/>
      <c r="E284" s="23"/>
      <c r="F284" s="23"/>
      <c r="G284" s="23"/>
    </row>
    <row r="285" spans="4:7" x14ac:dyDescent="0.25">
      <c r="D285" s="23"/>
      <c r="E285" s="23"/>
      <c r="F285" s="23"/>
      <c r="G285" s="23"/>
    </row>
    <row r="286" spans="4:7" x14ac:dyDescent="0.25">
      <c r="D286" s="23"/>
      <c r="E286" s="23"/>
      <c r="F286" s="23"/>
      <c r="G286" s="23"/>
    </row>
    <row r="287" spans="4:7" x14ac:dyDescent="0.25">
      <c r="D287" s="23"/>
      <c r="E287" s="23"/>
      <c r="F287" s="23"/>
      <c r="G287" s="23"/>
    </row>
    <row r="288" spans="4:7" x14ac:dyDescent="0.25">
      <c r="D288" s="23"/>
      <c r="E288" s="23"/>
      <c r="F288" s="23"/>
      <c r="G288" s="23"/>
    </row>
    <row r="289" spans="4:7" x14ac:dyDescent="0.25">
      <c r="D289" s="23"/>
      <c r="E289" s="23"/>
      <c r="F289" s="23"/>
      <c r="G289" s="23"/>
    </row>
    <row r="290" spans="4:7" x14ac:dyDescent="0.25">
      <c r="D290" s="23"/>
      <c r="E290" s="23"/>
      <c r="F290" s="23"/>
      <c r="G290" s="23"/>
    </row>
    <row r="291" spans="4:7" x14ac:dyDescent="0.25">
      <c r="D291" s="23"/>
      <c r="E291" s="23"/>
      <c r="F291" s="23"/>
      <c r="G291" s="23"/>
    </row>
    <row r="292" spans="4:7" x14ac:dyDescent="0.25">
      <c r="D292" s="23"/>
      <c r="E292" s="23"/>
      <c r="F292" s="23"/>
      <c r="G292" s="23"/>
    </row>
    <row r="293" spans="4:7" x14ac:dyDescent="0.25">
      <c r="D293" s="23"/>
      <c r="E293" s="23"/>
      <c r="F293" s="23"/>
      <c r="G293" s="23"/>
    </row>
    <row r="294" spans="4:7" x14ac:dyDescent="0.25">
      <c r="D294" s="23"/>
      <c r="E294" s="23"/>
      <c r="F294" s="23"/>
      <c r="G294" s="23"/>
    </row>
    <row r="295" spans="4:7" x14ac:dyDescent="0.25">
      <c r="D295" s="23"/>
      <c r="E295" s="23"/>
      <c r="F295" s="23"/>
      <c r="G295" s="23"/>
    </row>
    <row r="296" spans="4:7" x14ac:dyDescent="0.25">
      <c r="D296" s="23"/>
      <c r="E296" s="23"/>
      <c r="F296" s="23"/>
      <c r="G296" s="23"/>
    </row>
    <row r="297" spans="4:7" x14ac:dyDescent="0.25">
      <c r="D297" s="23"/>
      <c r="E297" s="23"/>
      <c r="F297" s="23"/>
      <c r="G297" s="23"/>
    </row>
    <row r="298" spans="4:7" x14ac:dyDescent="0.25">
      <c r="D298" s="23"/>
      <c r="E298" s="23"/>
      <c r="F298" s="23"/>
      <c r="G298" s="23"/>
    </row>
    <row r="299" spans="4:7" x14ac:dyDescent="0.25">
      <c r="D299" s="23"/>
      <c r="E299" s="23"/>
      <c r="F299" s="23"/>
      <c r="G299" s="23"/>
    </row>
    <row r="300" spans="4:7" x14ac:dyDescent="0.25">
      <c r="D300" s="23"/>
      <c r="E300" s="23"/>
      <c r="F300" s="23"/>
      <c r="G300" s="23"/>
    </row>
    <row r="301" spans="4:7" x14ac:dyDescent="0.25">
      <c r="D301" s="23"/>
      <c r="E301" s="23"/>
      <c r="F301" s="23"/>
      <c r="G301" s="23"/>
    </row>
    <row r="302" spans="4:7" x14ac:dyDescent="0.25">
      <c r="D302" s="23"/>
      <c r="E302" s="23"/>
      <c r="F302" s="23"/>
      <c r="G302" s="23"/>
    </row>
    <row r="303" spans="4:7" x14ac:dyDescent="0.25">
      <c r="D303" s="23"/>
      <c r="E303" s="23"/>
      <c r="F303" s="23"/>
      <c r="G303" s="23"/>
    </row>
    <row r="304" spans="4:7" x14ac:dyDescent="0.25">
      <c r="D304" s="23"/>
      <c r="E304" s="23"/>
      <c r="F304" s="23"/>
      <c r="G304" s="23"/>
    </row>
    <row r="305" spans="4:7" x14ac:dyDescent="0.25">
      <c r="D305" s="23"/>
      <c r="E305" s="23"/>
      <c r="F305" s="23"/>
      <c r="G305" s="23"/>
    </row>
    <row r="306" spans="4:7" x14ac:dyDescent="0.25">
      <c r="D306" s="23"/>
      <c r="E306" s="23"/>
      <c r="F306" s="23"/>
      <c r="G306" s="23"/>
    </row>
    <row r="307" spans="4:7" x14ac:dyDescent="0.25">
      <c r="D307" s="23"/>
      <c r="E307" s="23"/>
      <c r="F307" s="23"/>
      <c r="G307" s="23"/>
    </row>
    <row r="308" spans="4:7" x14ac:dyDescent="0.25">
      <c r="D308" s="23"/>
      <c r="E308" s="23"/>
      <c r="F308" s="23"/>
      <c r="G308" s="23"/>
    </row>
    <row r="309" spans="4:7" x14ac:dyDescent="0.25">
      <c r="D309" s="23"/>
      <c r="E309" s="23"/>
      <c r="F309" s="23"/>
      <c r="G309" s="23"/>
    </row>
    <row r="310" spans="4:7" x14ac:dyDescent="0.25">
      <c r="D310" s="23"/>
      <c r="E310" s="23"/>
      <c r="F310" s="23"/>
      <c r="G310" s="23"/>
    </row>
    <row r="311" spans="4:7" x14ac:dyDescent="0.25">
      <c r="D311" s="23"/>
      <c r="E311" s="23"/>
      <c r="F311" s="23"/>
      <c r="G311" s="23"/>
    </row>
    <row r="312" spans="4:7" x14ac:dyDescent="0.25">
      <c r="D312" s="23"/>
      <c r="E312" s="23"/>
      <c r="F312" s="23"/>
      <c r="G312" s="23"/>
    </row>
    <row r="313" spans="4:7" x14ac:dyDescent="0.25">
      <c r="D313" s="23"/>
      <c r="E313" s="23"/>
      <c r="F313" s="23"/>
      <c r="G313" s="23"/>
    </row>
    <row r="314" spans="4:7" x14ac:dyDescent="0.25">
      <c r="D314" s="23"/>
      <c r="E314" s="23"/>
      <c r="F314" s="23"/>
      <c r="G314" s="23"/>
    </row>
    <row r="315" spans="4:7" x14ac:dyDescent="0.25">
      <c r="D315" s="23"/>
      <c r="E315" s="23"/>
      <c r="F315" s="23"/>
      <c r="G315" s="23"/>
    </row>
    <row r="316" spans="4:7" x14ac:dyDescent="0.25">
      <c r="D316" s="23"/>
      <c r="E316" s="23"/>
      <c r="F316" s="23"/>
      <c r="G316" s="23"/>
    </row>
    <row r="317" spans="4:7" x14ac:dyDescent="0.25">
      <c r="D317" s="23"/>
      <c r="E317" s="23"/>
      <c r="F317" s="23"/>
      <c r="G317" s="23"/>
    </row>
    <row r="318" spans="4:7" x14ac:dyDescent="0.25">
      <c r="D318" s="23"/>
      <c r="E318" s="23"/>
      <c r="F318" s="23"/>
      <c r="G318" s="23"/>
    </row>
    <row r="319" spans="4:7" x14ac:dyDescent="0.25">
      <c r="D319" s="23"/>
      <c r="E319" s="23"/>
      <c r="F319" s="23"/>
      <c r="G319" s="23"/>
    </row>
    <row r="320" spans="4:7" x14ac:dyDescent="0.25">
      <c r="D320" s="23"/>
      <c r="E320" s="23"/>
      <c r="F320" s="23"/>
      <c r="G320" s="23"/>
    </row>
    <row r="321" spans="4:7" x14ac:dyDescent="0.25">
      <c r="D321" s="23"/>
      <c r="E321" s="23"/>
      <c r="F321" s="23"/>
      <c r="G321" s="23"/>
    </row>
    <row r="322" spans="4:7" x14ac:dyDescent="0.25">
      <c r="D322" s="23"/>
      <c r="E322" s="23"/>
      <c r="F322" s="23"/>
      <c r="G322" s="23"/>
    </row>
    <row r="323" spans="4:7" x14ac:dyDescent="0.25">
      <c r="D323" s="23"/>
      <c r="E323" s="23"/>
      <c r="F323" s="23"/>
      <c r="G323" s="23"/>
    </row>
    <row r="324" spans="4:7" x14ac:dyDescent="0.25">
      <c r="D324" s="23"/>
      <c r="E324" s="23"/>
      <c r="F324" s="23"/>
      <c r="G324" s="23"/>
    </row>
    <row r="325" spans="4:7" x14ac:dyDescent="0.25">
      <c r="D325" s="23"/>
      <c r="E325" s="23"/>
      <c r="F325" s="23"/>
      <c r="G325" s="23"/>
    </row>
    <row r="326" spans="4:7" x14ac:dyDescent="0.25">
      <c r="D326" s="23"/>
      <c r="E326" s="23"/>
      <c r="F326" s="23"/>
      <c r="G326" s="23"/>
    </row>
    <row r="327" spans="4:7" x14ac:dyDescent="0.25">
      <c r="D327" s="23"/>
      <c r="E327" s="23"/>
      <c r="F327" s="23"/>
      <c r="G327" s="23"/>
    </row>
    <row r="328" spans="4:7" x14ac:dyDescent="0.25">
      <c r="D328" s="23"/>
      <c r="E328" s="23"/>
      <c r="F328" s="23"/>
      <c r="G328" s="23"/>
    </row>
    <row r="329" spans="4:7" x14ac:dyDescent="0.25">
      <c r="D329" s="23"/>
      <c r="E329" s="23"/>
      <c r="F329" s="23"/>
      <c r="G329" s="23"/>
    </row>
    <row r="330" spans="4:7" x14ac:dyDescent="0.25">
      <c r="D330" s="23"/>
      <c r="E330" s="23"/>
      <c r="F330" s="23"/>
      <c r="G330" s="23"/>
    </row>
    <row r="331" spans="4:7" x14ac:dyDescent="0.25">
      <c r="D331" s="23"/>
      <c r="E331" s="23"/>
      <c r="F331" s="23"/>
      <c r="G331" s="23"/>
    </row>
    <row r="332" spans="4:7" x14ac:dyDescent="0.25">
      <c r="D332" s="23"/>
      <c r="E332" s="23"/>
      <c r="F332" s="23"/>
      <c r="G332" s="23"/>
    </row>
    <row r="333" spans="4:7" x14ac:dyDescent="0.25">
      <c r="D333" s="23"/>
      <c r="E333" s="23"/>
      <c r="F333" s="23"/>
      <c r="G333" s="23"/>
    </row>
    <row r="334" spans="4:7" x14ac:dyDescent="0.25">
      <c r="D334" s="23"/>
      <c r="E334" s="23"/>
      <c r="F334" s="23"/>
      <c r="G334" s="23"/>
    </row>
    <row r="335" spans="4:7" x14ac:dyDescent="0.25">
      <c r="D335" s="23"/>
      <c r="E335" s="23"/>
      <c r="F335" s="23"/>
      <c r="G335" s="23"/>
    </row>
    <row r="336" spans="4:7" x14ac:dyDescent="0.25">
      <c r="D336" s="23"/>
      <c r="E336" s="23"/>
      <c r="F336" s="23"/>
      <c r="G336" s="23"/>
    </row>
    <row r="337" spans="4:7" x14ac:dyDescent="0.25">
      <c r="D337" s="23"/>
      <c r="E337" s="23"/>
      <c r="F337" s="23"/>
      <c r="G337" s="23"/>
    </row>
    <row r="338" spans="4:7" x14ac:dyDescent="0.25">
      <c r="D338" s="23"/>
      <c r="E338" s="23"/>
      <c r="F338" s="23"/>
      <c r="G338" s="23"/>
    </row>
    <row r="339" spans="4:7" x14ac:dyDescent="0.25">
      <c r="D339" s="23"/>
      <c r="E339" s="23"/>
      <c r="F339" s="23"/>
      <c r="G339" s="23"/>
    </row>
    <row r="340" spans="4:7" x14ac:dyDescent="0.25">
      <c r="D340" s="23"/>
      <c r="E340" s="23"/>
      <c r="F340" s="23"/>
      <c r="G340" s="23"/>
    </row>
    <row r="341" spans="4:7" x14ac:dyDescent="0.25">
      <c r="D341" s="23"/>
      <c r="E341" s="23"/>
      <c r="F341" s="23"/>
      <c r="G341" s="23"/>
    </row>
    <row r="342" spans="4:7" x14ac:dyDescent="0.25">
      <c r="D342" s="23"/>
      <c r="E342" s="23"/>
      <c r="F342" s="23"/>
      <c r="G342" s="23"/>
    </row>
    <row r="343" spans="4:7" x14ac:dyDescent="0.25">
      <c r="D343" s="23"/>
      <c r="E343" s="23"/>
      <c r="F343" s="23"/>
      <c r="G343" s="23"/>
    </row>
    <row r="344" spans="4:7" x14ac:dyDescent="0.25">
      <c r="D344" s="23"/>
      <c r="E344" s="23"/>
      <c r="F344" s="23"/>
      <c r="G344" s="23"/>
    </row>
    <row r="345" spans="4:7" x14ac:dyDescent="0.25">
      <c r="D345" s="23"/>
      <c r="E345" s="23"/>
      <c r="F345" s="23"/>
      <c r="G345" s="23"/>
    </row>
    <row r="346" spans="4:7" x14ac:dyDescent="0.25">
      <c r="D346" s="23"/>
      <c r="E346" s="23"/>
      <c r="F346" s="23"/>
      <c r="G346" s="23"/>
    </row>
    <row r="347" spans="4:7" x14ac:dyDescent="0.25">
      <c r="D347" s="23"/>
      <c r="E347" s="23"/>
      <c r="F347" s="23"/>
      <c r="G347" s="23"/>
    </row>
    <row r="348" spans="4:7" x14ac:dyDescent="0.25">
      <c r="D348" s="23"/>
      <c r="E348" s="23"/>
      <c r="F348" s="23"/>
      <c r="G348" s="23"/>
    </row>
    <row r="349" spans="4:7" x14ac:dyDescent="0.25">
      <c r="D349" s="23"/>
      <c r="E349" s="23"/>
      <c r="F349" s="23"/>
      <c r="G349" s="23"/>
    </row>
    <row r="350" spans="4:7" x14ac:dyDescent="0.25">
      <c r="D350" s="23"/>
      <c r="E350" s="23"/>
      <c r="F350" s="23"/>
      <c r="G350" s="23"/>
    </row>
    <row r="351" spans="4:7" x14ac:dyDescent="0.25">
      <c r="D351" s="23"/>
      <c r="E351" s="23"/>
      <c r="F351" s="23"/>
      <c r="G351" s="23"/>
    </row>
    <row r="352" spans="4:7" x14ac:dyDescent="0.25">
      <c r="D352" s="23"/>
      <c r="E352" s="23"/>
      <c r="F352" s="23"/>
      <c r="G352" s="23"/>
    </row>
    <row r="353" spans="4:7" x14ac:dyDescent="0.25">
      <c r="D353" s="23"/>
      <c r="E353" s="23"/>
      <c r="F353" s="23"/>
      <c r="G353" s="23"/>
    </row>
    <row r="354" spans="4:7" x14ac:dyDescent="0.25">
      <c r="D354" s="23"/>
      <c r="E354" s="23"/>
      <c r="F354" s="23"/>
      <c r="G354" s="23"/>
    </row>
    <row r="355" spans="4:7" x14ac:dyDescent="0.25">
      <c r="D355" s="23"/>
      <c r="E355" s="23"/>
      <c r="F355" s="23"/>
      <c r="G355" s="23"/>
    </row>
    <row r="356" spans="4:7" x14ac:dyDescent="0.25">
      <c r="D356" s="23"/>
      <c r="E356" s="23"/>
      <c r="F356" s="23"/>
      <c r="G356" s="23"/>
    </row>
    <row r="357" spans="4:7" x14ac:dyDescent="0.25">
      <c r="D357" s="23"/>
      <c r="E357" s="23"/>
      <c r="F357" s="23"/>
      <c r="G357" s="23"/>
    </row>
    <row r="358" spans="4:7" x14ac:dyDescent="0.25">
      <c r="D358" s="23"/>
      <c r="E358" s="23"/>
      <c r="F358" s="23"/>
      <c r="G358" s="23"/>
    </row>
    <row r="359" spans="4:7" x14ac:dyDescent="0.25">
      <c r="D359" s="23"/>
      <c r="E359" s="23"/>
      <c r="F359" s="23"/>
      <c r="G359" s="23"/>
    </row>
    <row r="360" spans="4:7" x14ac:dyDescent="0.25">
      <c r="D360" s="23"/>
      <c r="E360" s="23"/>
      <c r="F360" s="23"/>
      <c r="G360" s="23"/>
    </row>
    <row r="361" spans="4:7" x14ac:dyDescent="0.25">
      <c r="D361" s="23"/>
      <c r="E361" s="23"/>
      <c r="F361" s="23"/>
      <c r="G361" s="23"/>
    </row>
    <row r="362" spans="4:7" x14ac:dyDescent="0.25">
      <c r="D362" s="23"/>
      <c r="E362" s="23"/>
      <c r="F362" s="23"/>
      <c r="G362" s="23"/>
    </row>
    <row r="363" spans="4:7" x14ac:dyDescent="0.25">
      <c r="D363" s="23"/>
      <c r="E363" s="23"/>
      <c r="F363" s="23"/>
      <c r="G363" s="23"/>
    </row>
    <row r="364" spans="4:7" x14ac:dyDescent="0.25">
      <c r="D364" s="23"/>
      <c r="E364" s="23"/>
      <c r="F364" s="23"/>
      <c r="G364" s="23"/>
    </row>
    <row r="365" spans="4:7" x14ac:dyDescent="0.25">
      <c r="D365" s="23"/>
      <c r="E365" s="23"/>
      <c r="F365" s="23"/>
      <c r="G365" s="23"/>
    </row>
    <row r="366" spans="4:7" x14ac:dyDescent="0.25">
      <c r="D366" s="23"/>
      <c r="E366" s="23"/>
      <c r="F366" s="23"/>
      <c r="G366" s="23"/>
    </row>
    <row r="367" spans="4:7" x14ac:dyDescent="0.25">
      <c r="D367" s="23"/>
      <c r="E367" s="23"/>
      <c r="F367" s="23"/>
      <c r="G367" s="23"/>
    </row>
    <row r="368" spans="4:7" x14ac:dyDescent="0.25">
      <c r="D368" s="23"/>
      <c r="E368" s="23"/>
      <c r="F368" s="23"/>
      <c r="G368" s="23"/>
    </row>
    <row r="369" spans="4:7" x14ac:dyDescent="0.25">
      <c r="D369" s="23"/>
      <c r="E369" s="23"/>
      <c r="F369" s="23"/>
      <c r="G369" s="23"/>
    </row>
    <row r="370" spans="4:7" x14ac:dyDescent="0.25">
      <c r="D370" s="23"/>
      <c r="E370" s="23"/>
      <c r="F370" s="23"/>
      <c r="G370" s="23"/>
    </row>
    <row r="371" spans="4:7" x14ac:dyDescent="0.25">
      <c r="D371" s="23"/>
      <c r="E371" s="23"/>
      <c r="F371" s="23"/>
      <c r="G371" s="23"/>
    </row>
    <row r="372" spans="4:7" x14ac:dyDescent="0.25">
      <c r="D372" s="23"/>
      <c r="E372" s="23"/>
      <c r="F372" s="23"/>
      <c r="G372" s="23"/>
    </row>
    <row r="373" spans="4:7" x14ac:dyDescent="0.25">
      <c r="D373" s="23"/>
      <c r="E373" s="23"/>
      <c r="F373" s="23"/>
      <c r="G373" s="23"/>
    </row>
    <row r="374" spans="4:7" x14ac:dyDescent="0.25">
      <c r="D374" s="23"/>
      <c r="E374" s="23"/>
      <c r="F374" s="23"/>
      <c r="G374" s="23"/>
    </row>
    <row r="375" spans="4:7" x14ac:dyDescent="0.25">
      <c r="D375" s="23"/>
      <c r="E375" s="23"/>
      <c r="F375" s="23"/>
      <c r="G375" s="23"/>
    </row>
    <row r="376" spans="4:7" x14ac:dyDescent="0.25">
      <c r="D376" s="23"/>
      <c r="E376" s="23"/>
      <c r="F376" s="23"/>
      <c r="G376" s="23"/>
    </row>
    <row r="377" spans="4:7" x14ac:dyDescent="0.25">
      <c r="D377" s="23"/>
      <c r="E377" s="23"/>
      <c r="F377" s="23"/>
      <c r="G377" s="23"/>
    </row>
    <row r="378" spans="4:7" x14ac:dyDescent="0.25">
      <c r="D378" s="23"/>
      <c r="E378" s="23"/>
      <c r="F378" s="23"/>
      <c r="G378" s="23"/>
    </row>
    <row r="379" spans="4:7" x14ac:dyDescent="0.25">
      <c r="D379" s="23"/>
      <c r="E379" s="23"/>
      <c r="F379" s="23"/>
      <c r="G379" s="23"/>
    </row>
    <row r="380" spans="4:7" x14ac:dyDescent="0.25">
      <c r="D380" s="23"/>
      <c r="E380" s="23"/>
      <c r="F380" s="23"/>
      <c r="G380" s="23"/>
    </row>
    <row r="381" spans="4:7" x14ac:dyDescent="0.25">
      <c r="D381" s="23"/>
      <c r="E381" s="23"/>
      <c r="F381" s="23"/>
      <c r="G381" s="23"/>
    </row>
    <row r="382" spans="4:7" x14ac:dyDescent="0.25">
      <c r="D382" s="23"/>
      <c r="E382" s="23"/>
      <c r="F382" s="23"/>
      <c r="G382" s="23"/>
    </row>
    <row r="383" spans="4:7" x14ac:dyDescent="0.25">
      <c r="D383" s="23"/>
      <c r="E383" s="23"/>
      <c r="F383" s="23"/>
      <c r="G383" s="23"/>
    </row>
    <row r="384" spans="4:7" x14ac:dyDescent="0.25">
      <c r="D384" s="23"/>
      <c r="E384" s="23"/>
      <c r="F384" s="23"/>
      <c r="G384" s="23"/>
    </row>
    <row r="385" spans="4:7" x14ac:dyDescent="0.25">
      <c r="D385" s="23"/>
      <c r="E385" s="23"/>
      <c r="F385" s="23"/>
      <c r="G385" s="23"/>
    </row>
    <row r="386" spans="4:7" x14ac:dyDescent="0.25">
      <c r="D386" s="23"/>
      <c r="E386" s="23"/>
      <c r="F386" s="23"/>
      <c r="G386" s="23"/>
    </row>
    <row r="387" spans="4:7" x14ac:dyDescent="0.25">
      <c r="D387" s="23"/>
      <c r="E387" s="23"/>
      <c r="F387" s="23"/>
      <c r="G387" s="23"/>
    </row>
    <row r="388" spans="4:7" x14ac:dyDescent="0.25">
      <c r="D388" s="23"/>
      <c r="E388" s="23"/>
      <c r="F388" s="23"/>
      <c r="G388" s="23"/>
    </row>
    <row r="389" spans="4:7" x14ac:dyDescent="0.25">
      <c r="D389" s="23"/>
      <c r="E389" s="23"/>
      <c r="F389" s="23"/>
      <c r="G389" s="23"/>
    </row>
    <row r="390" spans="4:7" x14ac:dyDescent="0.25">
      <c r="D390" s="23"/>
      <c r="E390" s="23"/>
      <c r="F390" s="23"/>
      <c r="G390" s="23"/>
    </row>
    <row r="391" spans="4:7" x14ac:dyDescent="0.25">
      <c r="D391" s="23"/>
      <c r="E391" s="23"/>
      <c r="F391" s="23"/>
      <c r="G391" s="23"/>
    </row>
    <row r="392" spans="4:7" x14ac:dyDescent="0.25">
      <c r="D392" s="23"/>
      <c r="E392" s="23"/>
      <c r="F392" s="23"/>
      <c r="G392" s="23"/>
    </row>
    <row r="393" spans="4:7" x14ac:dyDescent="0.25">
      <c r="D393" s="23"/>
      <c r="E393" s="23"/>
      <c r="F393" s="23"/>
      <c r="G393" s="23"/>
    </row>
    <row r="394" spans="4:7" x14ac:dyDescent="0.25">
      <c r="D394" s="23"/>
      <c r="E394" s="23"/>
      <c r="F394" s="23"/>
      <c r="G394" s="23"/>
    </row>
    <row r="395" spans="4:7" x14ac:dyDescent="0.25">
      <c r="D395" s="23"/>
      <c r="E395" s="23"/>
      <c r="F395" s="23"/>
      <c r="G395" s="23"/>
    </row>
    <row r="396" spans="4:7" x14ac:dyDescent="0.25">
      <c r="D396" s="23"/>
      <c r="E396" s="23"/>
      <c r="F396" s="23"/>
      <c r="G396" s="23"/>
    </row>
    <row r="397" spans="4:7" x14ac:dyDescent="0.25">
      <c r="D397" s="23"/>
      <c r="E397" s="23"/>
      <c r="F397" s="23"/>
      <c r="G397" s="23"/>
    </row>
    <row r="398" spans="4:7" x14ac:dyDescent="0.25">
      <c r="D398" s="23"/>
      <c r="E398" s="23"/>
      <c r="F398" s="23"/>
      <c r="G398" s="23"/>
    </row>
    <row r="399" spans="4:7" x14ac:dyDescent="0.25">
      <c r="D399" s="23"/>
      <c r="E399" s="23"/>
      <c r="F399" s="23"/>
      <c r="G399" s="23"/>
    </row>
    <row r="400" spans="4:7" x14ac:dyDescent="0.25">
      <c r="D400" s="23"/>
      <c r="E400" s="23"/>
      <c r="F400" s="23"/>
      <c r="G400" s="23"/>
    </row>
    <row r="401" spans="4:7" x14ac:dyDescent="0.25">
      <c r="D401" s="23"/>
      <c r="E401" s="23"/>
      <c r="F401" s="23"/>
      <c r="G401" s="23"/>
    </row>
    <row r="402" spans="4:7" x14ac:dyDescent="0.25">
      <c r="D402" s="23"/>
      <c r="E402" s="23"/>
      <c r="F402" s="23"/>
      <c r="G402" s="23"/>
    </row>
    <row r="403" spans="4:7" x14ac:dyDescent="0.25">
      <c r="D403" s="23"/>
      <c r="E403" s="23"/>
      <c r="F403" s="23"/>
      <c r="G403" s="23"/>
    </row>
    <row r="404" spans="4:7" x14ac:dyDescent="0.25">
      <c r="D404" s="23"/>
      <c r="E404" s="23"/>
      <c r="F404" s="23"/>
      <c r="G404" s="23"/>
    </row>
    <row r="405" spans="4:7" x14ac:dyDescent="0.25">
      <c r="D405" s="23"/>
      <c r="E405" s="23"/>
      <c r="F405" s="23"/>
      <c r="G405" s="23"/>
    </row>
    <row r="406" spans="4:7" x14ac:dyDescent="0.25">
      <c r="D406" s="23"/>
      <c r="E406" s="23"/>
      <c r="F406" s="23"/>
      <c r="G406" s="23"/>
    </row>
    <row r="407" spans="4:7" x14ac:dyDescent="0.25">
      <c r="D407" s="23"/>
      <c r="E407" s="23"/>
      <c r="F407" s="23"/>
      <c r="G407" s="23"/>
    </row>
    <row r="408" spans="4:7" x14ac:dyDescent="0.25">
      <c r="D408" s="23"/>
      <c r="E408" s="23"/>
      <c r="F408" s="23"/>
      <c r="G408" s="23"/>
    </row>
    <row r="409" spans="4:7" x14ac:dyDescent="0.25">
      <c r="D409" s="23"/>
      <c r="E409" s="23"/>
      <c r="F409" s="23"/>
      <c r="G409" s="23"/>
    </row>
    <row r="410" spans="4:7" x14ac:dyDescent="0.25">
      <c r="D410" s="23"/>
      <c r="E410" s="23"/>
      <c r="F410" s="23"/>
      <c r="G410" s="23"/>
    </row>
    <row r="411" spans="4:7" x14ac:dyDescent="0.25">
      <c r="D411" s="23"/>
      <c r="E411" s="23"/>
      <c r="F411" s="23"/>
      <c r="G411" s="23"/>
    </row>
    <row r="412" spans="4:7" x14ac:dyDescent="0.25">
      <c r="D412" s="23"/>
      <c r="E412" s="23"/>
      <c r="F412" s="23"/>
      <c r="G412" s="23"/>
    </row>
    <row r="413" spans="4:7" x14ac:dyDescent="0.25">
      <c r="D413" s="23"/>
      <c r="E413" s="23"/>
      <c r="F413" s="23"/>
      <c r="G413" s="23"/>
    </row>
    <row r="414" spans="4:7" x14ac:dyDescent="0.25">
      <c r="D414" s="23"/>
      <c r="E414" s="23"/>
      <c r="F414" s="23"/>
      <c r="G414" s="23"/>
    </row>
    <row r="415" spans="4:7" x14ac:dyDescent="0.25">
      <c r="D415" s="23"/>
      <c r="E415" s="23"/>
      <c r="F415" s="23"/>
      <c r="G415" s="23"/>
    </row>
    <row r="416" spans="4:7" x14ac:dyDescent="0.25">
      <c r="D416" s="23"/>
      <c r="E416" s="23"/>
      <c r="F416" s="23"/>
      <c r="G416" s="23"/>
    </row>
    <row r="417" spans="4:7" x14ac:dyDescent="0.25">
      <c r="D417" s="23"/>
      <c r="E417" s="23"/>
      <c r="F417" s="23"/>
      <c r="G417" s="23"/>
    </row>
    <row r="418" spans="4:7" x14ac:dyDescent="0.25">
      <c r="D418" s="23"/>
      <c r="E418" s="23"/>
      <c r="F418" s="23"/>
      <c r="G418" s="23"/>
    </row>
    <row r="419" spans="4:7" x14ac:dyDescent="0.25">
      <c r="D419" s="23"/>
      <c r="E419" s="23"/>
      <c r="F419" s="23"/>
      <c r="G419" s="23"/>
    </row>
    <row r="420" spans="4:7" x14ac:dyDescent="0.25">
      <c r="D420" s="23"/>
      <c r="E420" s="23"/>
      <c r="F420" s="23"/>
      <c r="G420" s="23"/>
    </row>
    <row r="421" spans="4:7" x14ac:dyDescent="0.25">
      <c r="D421" s="23"/>
      <c r="E421" s="23"/>
      <c r="F421" s="23"/>
      <c r="G421" s="23"/>
    </row>
    <row r="422" spans="4:7" x14ac:dyDescent="0.25">
      <c r="D422" s="23"/>
      <c r="E422" s="23"/>
      <c r="F422" s="23"/>
      <c r="G422" s="23"/>
    </row>
    <row r="423" spans="4:7" x14ac:dyDescent="0.25">
      <c r="D423" s="23"/>
      <c r="E423" s="23"/>
      <c r="F423" s="23"/>
      <c r="G423" s="23"/>
    </row>
    <row r="424" spans="4:7" x14ac:dyDescent="0.25">
      <c r="D424" s="23"/>
      <c r="E424" s="23"/>
      <c r="F424" s="23"/>
      <c r="G424" s="23"/>
    </row>
    <row r="425" spans="4:7" x14ac:dyDescent="0.25">
      <c r="D425" s="23"/>
      <c r="E425" s="23"/>
      <c r="F425" s="23"/>
      <c r="G425" s="23"/>
    </row>
    <row r="426" spans="4:7" x14ac:dyDescent="0.25">
      <c r="D426" s="23"/>
      <c r="E426" s="23"/>
      <c r="F426" s="23"/>
      <c r="G426" s="23"/>
    </row>
    <row r="427" spans="4:7" x14ac:dyDescent="0.25">
      <c r="D427" s="23"/>
      <c r="E427" s="23"/>
      <c r="F427" s="23"/>
      <c r="G427" s="23"/>
    </row>
    <row r="428" spans="4:7" x14ac:dyDescent="0.25">
      <c r="D428" s="23"/>
      <c r="E428" s="23"/>
      <c r="F428" s="23"/>
      <c r="G428" s="23"/>
    </row>
    <row r="429" spans="4:7" x14ac:dyDescent="0.25">
      <c r="D429" s="23"/>
      <c r="E429" s="23"/>
      <c r="F429" s="23"/>
      <c r="G429" s="23"/>
    </row>
    <row r="430" spans="4:7" x14ac:dyDescent="0.25">
      <c r="D430" s="23"/>
      <c r="E430" s="23"/>
      <c r="F430" s="23"/>
      <c r="G430" s="23"/>
    </row>
    <row r="431" spans="4:7" x14ac:dyDescent="0.25">
      <c r="D431" s="23"/>
      <c r="E431" s="23"/>
      <c r="F431" s="23"/>
      <c r="G431" s="23"/>
    </row>
    <row r="432" spans="4:7" x14ac:dyDescent="0.25">
      <c r="D432" s="23"/>
      <c r="E432" s="23"/>
      <c r="F432" s="23"/>
      <c r="G432" s="23"/>
    </row>
    <row r="433" spans="4:7" x14ac:dyDescent="0.25">
      <c r="D433" s="23"/>
      <c r="E433" s="23"/>
      <c r="F433" s="23"/>
      <c r="G433" s="23"/>
    </row>
    <row r="434" spans="4:7" x14ac:dyDescent="0.25">
      <c r="D434" s="23"/>
      <c r="E434" s="23"/>
      <c r="F434" s="23"/>
      <c r="G434" s="23"/>
    </row>
    <row r="435" spans="4:7" x14ac:dyDescent="0.25">
      <c r="D435" s="23"/>
      <c r="E435" s="23"/>
      <c r="F435" s="23"/>
      <c r="G435" s="23"/>
    </row>
    <row r="436" spans="4:7" x14ac:dyDescent="0.25">
      <c r="D436" s="23"/>
      <c r="E436" s="23"/>
      <c r="F436" s="23"/>
      <c r="G436" s="23"/>
    </row>
    <row r="437" spans="4:7" x14ac:dyDescent="0.25">
      <c r="D437" s="23"/>
      <c r="E437" s="23"/>
      <c r="F437" s="23"/>
      <c r="G437" s="23"/>
    </row>
    <row r="438" spans="4:7" x14ac:dyDescent="0.25">
      <c r="D438" s="23"/>
      <c r="E438" s="23"/>
      <c r="F438" s="23"/>
      <c r="G438" s="23"/>
    </row>
    <row r="439" spans="4:7" x14ac:dyDescent="0.25">
      <c r="D439" s="23"/>
      <c r="E439" s="23"/>
      <c r="F439" s="23"/>
      <c r="G439" s="23"/>
    </row>
    <row r="440" spans="4:7" x14ac:dyDescent="0.25">
      <c r="D440" s="23"/>
      <c r="E440" s="23"/>
      <c r="F440" s="23"/>
      <c r="G440" s="23"/>
    </row>
    <row r="441" spans="4:7" x14ac:dyDescent="0.25">
      <c r="D441" s="23"/>
      <c r="E441" s="23"/>
      <c r="F441" s="23"/>
      <c r="G441" s="23"/>
    </row>
    <row r="442" spans="4:7" x14ac:dyDescent="0.25">
      <c r="D442" s="23"/>
      <c r="E442" s="23"/>
      <c r="F442" s="23"/>
      <c r="G442" s="23"/>
    </row>
    <row r="443" spans="4:7" x14ac:dyDescent="0.25">
      <c r="D443" s="23"/>
      <c r="E443" s="23"/>
      <c r="F443" s="23"/>
      <c r="G443" s="23"/>
    </row>
    <row r="444" spans="4:7" x14ac:dyDescent="0.25">
      <c r="D444" s="23"/>
      <c r="E444" s="23"/>
      <c r="F444" s="23"/>
      <c r="G444" s="23"/>
    </row>
    <row r="445" spans="4:7" x14ac:dyDescent="0.25">
      <c r="D445" s="23"/>
      <c r="E445" s="23"/>
      <c r="F445" s="23"/>
      <c r="G445" s="23"/>
    </row>
    <row r="446" spans="4:7" x14ac:dyDescent="0.25">
      <c r="D446" s="23"/>
      <c r="E446" s="23"/>
      <c r="F446" s="23"/>
      <c r="G446" s="23"/>
    </row>
    <row r="447" spans="4:7" x14ac:dyDescent="0.25">
      <c r="D447" s="23"/>
      <c r="E447" s="23"/>
      <c r="F447" s="23"/>
      <c r="G447" s="23"/>
    </row>
    <row r="448" spans="4:7" x14ac:dyDescent="0.25">
      <c r="D448" s="23"/>
      <c r="E448" s="23"/>
      <c r="F448" s="23"/>
      <c r="G448" s="23"/>
    </row>
    <row r="449" spans="4:7" x14ac:dyDescent="0.25">
      <c r="D449" s="23"/>
      <c r="E449" s="23"/>
      <c r="F449" s="23"/>
      <c r="G449" s="23"/>
    </row>
    <row r="450" spans="4:7" x14ac:dyDescent="0.25">
      <c r="D450" s="23"/>
      <c r="E450" s="23"/>
      <c r="F450" s="23"/>
      <c r="G450" s="23"/>
    </row>
    <row r="451" spans="4:7" x14ac:dyDescent="0.25">
      <c r="D451" s="23"/>
      <c r="E451" s="23"/>
      <c r="F451" s="23"/>
      <c r="G451" s="23"/>
    </row>
    <row r="452" spans="4:7" x14ac:dyDescent="0.25">
      <c r="D452" s="23"/>
      <c r="E452" s="23"/>
      <c r="F452" s="23"/>
      <c r="G452" s="23"/>
    </row>
    <row r="453" spans="4:7" x14ac:dyDescent="0.25">
      <c r="D453" s="23"/>
      <c r="E453" s="23"/>
      <c r="F453" s="23"/>
      <c r="G453" s="23"/>
    </row>
    <row r="454" spans="4:7" x14ac:dyDescent="0.25">
      <c r="D454" s="23"/>
      <c r="E454" s="23"/>
      <c r="F454" s="23"/>
      <c r="G454" s="23"/>
    </row>
    <row r="455" spans="4:7" x14ac:dyDescent="0.25">
      <c r="D455" s="23"/>
      <c r="E455" s="23"/>
      <c r="F455" s="23"/>
      <c r="G455" s="23"/>
    </row>
    <row r="456" spans="4:7" x14ac:dyDescent="0.25">
      <c r="D456" s="23"/>
      <c r="E456" s="23"/>
      <c r="F456" s="23"/>
      <c r="G456" s="23"/>
    </row>
    <row r="457" spans="4:7" x14ac:dyDescent="0.25">
      <c r="D457" s="23"/>
      <c r="E457" s="23"/>
      <c r="F457" s="23"/>
      <c r="G457" s="23"/>
    </row>
    <row r="458" spans="4:7" x14ac:dyDescent="0.25">
      <c r="D458" s="23"/>
      <c r="E458" s="23"/>
      <c r="F458" s="23"/>
      <c r="G458" s="23"/>
    </row>
    <row r="459" spans="4:7" x14ac:dyDescent="0.25">
      <c r="D459" s="23"/>
      <c r="E459" s="23"/>
      <c r="F459" s="23"/>
      <c r="G459" s="23"/>
    </row>
    <row r="460" spans="4:7" x14ac:dyDescent="0.25">
      <c r="D460" s="23"/>
      <c r="E460" s="23"/>
      <c r="F460" s="23"/>
      <c r="G460" s="23"/>
    </row>
    <row r="461" spans="4:7" x14ac:dyDescent="0.25">
      <c r="D461" s="23"/>
      <c r="E461" s="23"/>
      <c r="F461" s="23"/>
      <c r="G461" s="23"/>
    </row>
    <row r="462" spans="4:7" x14ac:dyDescent="0.25">
      <c r="D462" s="23"/>
      <c r="E462" s="23"/>
      <c r="F462" s="23"/>
      <c r="G462" s="23"/>
    </row>
    <row r="463" spans="4:7" x14ac:dyDescent="0.25">
      <c r="D463" s="23"/>
      <c r="E463" s="23"/>
      <c r="F463" s="23"/>
      <c r="G463" s="23"/>
    </row>
    <row r="464" spans="4:7" x14ac:dyDescent="0.25">
      <c r="D464" s="23"/>
      <c r="E464" s="23"/>
      <c r="F464" s="23"/>
      <c r="G464" s="23"/>
    </row>
    <row r="465" spans="4:7" x14ac:dyDescent="0.25">
      <c r="D465" s="23"/>
      <c r="E465" s="23"/>
      <c r="F465" s="23"/>
      <c r="G465" s="23"/>
    </row>
    <row r="466" spans="4:7" x14ac:dyDescent="0.25">
      <c r="D466" s="23"/>
      <c r="E466" s="23"/>
      <c r="F466" s="23"/>
      <c r="G466" s="23"/>
    </row>
    <row r="467" spans="4:7" x14ac:dyDescent="0.25">
      <c r="D467" s="23"/>
      <c r="E467" s="23"/>
      <c r="F467" s="23"/>
      <c r="G467" s="23"/>
    </row>
    <row r="468" spans="4:7" x14ac:dyDescent="0.25">
      <c r="D468" s="23"/>
      <c r="E468" s="23"/>
      <c r="F468" s="23"/>
      <c r="G468" s="23"/>
    </row>
    <row r="469" spans="4:7" x14ac:dyDescent="0.25">
      <c r="D469" s="23"/>
      <c r="E469" s="23"/>
      <c r="F469" s="23"/>
      <c r="G469" s="23"/>
    </row>
    <row r="470" spans="4:7" x14ac:dyDescent="0.25">
      <c r="D470" s="23"/>
      <c r="E470" s="23"/>
      <c r="F470" s="23"/>
      <c r="G470" s="23"/>
    </row>
    <row r="471" spans="4:7" x14ac:dyDescent="0.25">
      <c r="D471" s="23"/>
      <c r="E471" s="23"/>
      <c r="F471" s="23"/>
      <c r="G471" s="23"/>
    </row>
    <row r="472" spans="4:7" x14ac:dyDescent="0.25">
      <c r="D472" s="23"/>
      <c r="E472" s="23"/>
      <c r="F472" s="23"/>
      <c r="G472" s="23"/>
    </row>
    <row r="473" spans="4:7" x14ac:dyDescent="0.25">
      <c r="D473" s="23"/>
      <c r="E473" s="23"/>
      <c r="F473" s="23"/>
      <c r="G473" s="23"/>
    </row>
    <row r="474" spans="4:7" x14ac:dyDescent="0.25">
      <c r="D474" s="23"/>
      <c r="E474" s="23"/>
      <c r="F474" s="23"/>
      <c r="G474" s="23"/>
    </row>
    <row r="475" spans="4:7" x14ac:dyDescent="0.25">
      <c r="D475" s="23"/>
      <c r="E475" s="23"/>
      <c r="F475" s="23"/>
      <c r="G475" s="23"/>
    </row>
    <row r="476" spans="4:7" x14ac:dyDescent="0.25">
      <c r="D476" s="23"/>
      <c r="E476" s="23"/>
      <c r="F476" s="23"/>
      <c r="G476" s="23"/>
    </row>
    <row r="477" spans="4:7" x14ac:dyDescent="0.25">
      <c r="D477" s="23"/>
      <c r="E477" s="23"/>
      <c r="F477" s="23"/>
      <c r="G477" s="23"/>
    </row>
    <row r="478" spans="4:7" x14ac:dyDescent="0.25">
      <c r="D478" s="23"/>
      <c r="E478" s="23"/>
      <c r="F478" s="23"/>
      <c r="G478" s="23"/>
    </row>
    <row r="479" spans="4:7" x14ac:dyDescent="0.25">
      <c r="D479" s="23"/>
      <c r="E479" s="23"/>
      <c r="F479" s="23"/>
      <c r="G479" s="23"/>
    </row>
    <row r="480" spans="4:7" x14ac:dyDescent="0.25">
      <c r="D480" s="23"/>
      <c r="E480" s="23"/>
      <c r="F480" s="23"/>
      <c r="G480" s="23"/>
    </row>
    <row r="481" spans="4:7" x14ac:dyDescent="0.25">
      <c r="D481" s="23"/>
      <c r="E481" s="23"/>
      <c r="F481" s="23"/>
      <c r="G481" s="23"/>
    </row>
    <row r="482" spans="4:7" x14ac:dyDescent="0.25">
      <c r="D482" s="23"/>
      <c r="E482" s="23"/>
      <c r="F482" s="23"/>
      <c r="G482" s="23"/>
    </row>
    <row r="483" spans="4:7" x14ac:dyDescent="0.25">
      <c r="D483" s="23"/>
      <c r="E483" s="23"/>
      <c r="F483" s="23"/>
      <c r="G483" s="23"/>
    </row>
    <row r="484" spans="4:7" x14ac:dyDescent="0.25">
      <c r="D484" s="23"/>
      <c r="E484" s="23"/>
      <c r="F484" s="23"/>
      <c r="G484" s="23"/>
    </row>
    <row r="485" spans="4:7" x14ac:dyDescent="0.25">
      <c r="D485" s="23"/>
      <c r="E485" s="23"/>
      <c r="F485" s="23"/>
      <c r="G485" s="23"/>
    </row>
    <row r="486" spans="4:7" x14ac:dyDescent="0.25">
      <c r="D486" s="23"/>
      <c r="E486" s="23"/>
      <c r="F486" s="23"/>
      <c r="G486" s="23"/>
    </row>
    <row r="487" spans="4:7" x14ac:dyDescent="0.25">
      <c r="D487" s="23"/>
      <c r="E487" s="23"/>
      <c r="F487" s="23"/>
      <c r="G487" s="23"/>
    </row>
    <row r="488" spans="4:7" x14ac:dyDescent="0.25">
      <c r="D488" s="23"/>
      <c r="E488" s="23"/>
      <c r="F488" s="23"/>
      <c r="G488" s="23"/>
    </row>
    <row r="489" spans="4:7" x14ac:dyDescent="0.25">
      <c r="D489" s="23"/>
      <c r="E489" s="23"/>
      <c r="F489" s="23"/>
      <c r="G489" s="23"/>
    </row>
    <row r="490" spans="4:7" x14ac:dyDescent="0.25">
      <c r="D490" s="23"/>
      <c r="E490" s="23"/>
      <c r="F490" s="23"/>
      <c r="G490" s="23"/>
    </row>
    <row r="491" spans="4:7" x14ac:dyDescent="0.25">
      <c r="D491" s="23"/>
      <c r="E491" s="23"/>
      <c r="F491" s="23"/>
      <c r="G491" s="23"/>
    </row>
    <row r="492" spans="4:7" x14ac:dyDescent="0.25">
      <c r="D492" s="23"/>
      <c r="E492" s="23"/>
      <c r="F492" s="23"/>
      <c r="G492" s="23"/>
    </row>
    <row r="493" spans="4:7" x14ac:dyDescent="0.25">
      <c r="D493" s="23"/>
      <c r="E493" s="23"/>
      <c r="F493" s="23"/>
      <c r="G493" s="23"/>
    </row>
    <row r="494" spans="4:7" x14ac:dyDescent="0.25">
      <c r="D494" s="23"/>
      <c r="E494" s="23"/>
      <c r="F494" s="23"/>
      <c r="G494" s="23"/>
    </row>
    <row r="495" spans="4:7" x14ac:dyDescent="0.25">
      <c r="D495" s="23"/>
      <c r="E495" s="23"/>
      <c r="F495" s="23"/>
      <c r="G495" s="23"/>
    </row>
    <row r="496" spans="4:7" x14ac:dyDescent="0.25">
      <c r="D496" s="23"/>
      <c r="E496" s="23"/>
      <c r="F496" s="23"/>
      <c r="G496" s="23"/>
    </row>
    <row r="497" spans="4:7" x14ac:dyDescent="0.25">
      <c r="D497" s="23"/>
      <c r="E497" s="23"/>
      <c r="F497" s="23"/>
      <c r="G497" s="23"/>
    </row>
    <row r="498" spans="4:7" x14ac:dyDescent="0.25">
      <c r="D498" s="23"/>
      <c r="E498" s="23"/>
      <c r="F498" s="23"/>
      <c r="G498" s="23"/>
    </row>
    <row r="499" spans="4:7" x14ac:dyDescent="0.25">
      <c r="D499" s="23"/>
      <c r="E499" s="23"/>
      <c r="F499" s="23"/>
      <c r="G499" s="23"/>
    </row>
    <row r="500" spans="4:7" x14ac:dyDescent="0.25">
      <c r="D500" s="23"/>
      <c r="E500" s="23"/>
      <c r="F500" s="23"/>
      <c r="G500" s="23"/>
    </row>
    <row r="501" spans="4:7" x14ac:dyDescent="0.25">
      <c r="D501" s="23"/>
      <c r="E501" s="23"/>
      <c r="F501" s="23"/>
      <c r="G501" s="23"/>
    </row>
    <row r="502" spans="4:7" x14ac:dyDescent="0.25">
      <c r="D502" s="23"/>
      <c r="E502" s="23"/>
      <c r="F502" s="23"/>
      <c r="G502" s="23"/>
    </row>
    <row r="503" spans="4:7" x14ac:dyDescent="0.25">
      <c r="D503" s="23"/>
      <c r="E503" s="23"/>
      <c r="F503" s="23"/>
      <c r="G503" s="23"/>
    </row>
    <row r="504" spans="4:7" x14ac:dyDescent="0.25">
      <c r="D504" s="23"/>
      <c r="E504" s="23"/>
      <c r="F504" s="23"/>
      <c r="G504" s="23"/>
    </row>
    <row r="505" spans="4:7" x14ac:dyDescent="0.25">
      <c r="D505" s="23"/>
      <c r="E505" s="23"/>
      <c r="F505" s="23"/>
      <c r="G505" s="23"/>
    </row>
    <row r="506" spans="4:7" x14ac:dyDescent="0.25">
      <c r="D506" s="23"/>
      <c r="E506" s="23"/>
      <c r="F506" s="23"/>
      <c r="G506" s="23"/>
    </row>
    <row r="507" spans="4:7" x14ac:dyDescent="0.25">
      <c r="D507" s="23"/>
      <c r="E507" s="23"/>
      <c r="F507" s="23"/>
      <c r="G507" s="23"/>
    </row>
    <row r="508" spans="4:7" x14ac:dyDescent="0.25">
      <c r="D508" s="23"/>
      <c r="E508" s="23"/>
      <c r="F508" s="23"/>
      <c r="G508" s="23"/>
    </row>
    <row r="509" spans="4:7" x14ac:dyDescent="0.25">
      <c r="D509" s="23"/>
      <c r="E509" s="23"/>
      <c r="F509" s="23"/>
      <c r="G509" s="23"/>
    </row>
    <row r="510" spans="4:7" x14ac:dyDescent="0.25">
      <c r="D510" s="23"/>
      <c r="E510" s="23"/>
      <c r="F510" s="23"/>
      <c r="G510" s="23"/>
    </row>
    <row r="511" spans="4:7" x14ac:dyDescent="0.25">
      <c r="D511" s="23"/>
      <c r="E511" s="23"/>
      <c r="F511" s="23"/>
      <c r="G511" s="23"/>
    </row>
    <row r="512" spans="4:7" x14ac:dyDescent="0.25">
      <c r="D512" s="23"/>
      <c r="E512" s="23"/>
      <c r="F512" s="23"/>
      <c r="G512" s="23"/>
    </row>
    <row r="513" spans="4:7" x14ac:dyDescent="0.25">
      <c r="D513" s="23"/>
      <c r="E513" s="23"/>
      <c r="F513" s="23"/>
      <c r="G513" s="23"/>
    </row>
    <row r="514" spans="4:7" x14ac:dyDescent="0.25">
      <c r="D514" s="23"/>
      <c r="E514" s="23"/>
      <c r="F514" s="23"/>
      <c r="G514" s="23"/>
    </row>
    <row r="515" spans="4:7" x14ac:dyDescent="0.25">
      <c r="D515" s="23"/>
      <c r="E515" s="23"/>
      <c r="F515" s="23"/>
      <c r="G515" s="23"/>
    </row>
    <row r="516" spans="4:7" x14ac:dyDescent="0.25">
      <c r="D516" s="23"/>
      <c r="E516" s="23"/>
      <c r="F516" s="23"/>
      <c r="G516" s="23"/>
    </row>
    <row r="517" spans="4:7" x14ac:dyDescent="0.25">
      <c r="D517" s="23"/>
      <c r="E517" s="23"/>
      <c r="F517" s="23"/>
      <c r="G517" s="23"/>
    </row>
    <row r="518" spans="4:7" x14ac:dyDescent="0.25">
      <c r="D518" s="23"/>
      <c r="E518" s="23"/>
      <c r="F518" s="23"/>
      <c r="G518" s="23"/>
    </row>
    <row r="519" spans="4:7" x14ac:dyDescent="0.25">
      <c r="D519" s="23"/>
      <c r="E519" s="23"/>
      <c r="F519" s="23"/>
      <c r="G519" s="23"/>
    </row>
    <row r="520" spans="4:7" x14ac:dyDescent="0.25">
      <c r="D520" s="23"/>
      <c r="E520" s="23"/>
      <c r="F520" s="23"/>
      <c r="G520" s="23"/>
    </row>
    <row r="521" spans="4:7" x14ac:dyDescent="0.25">
      <c r="D521" s="23"/>
      <c r="E521" s="23"/>
      <c r="F521" s="23"/>
      <c r="G521" s="23"/>
    </row>
    <row r="522" spans="4:7" x14ac:dyDescent="0.25">
      <c r="D522" s="23"/>
      <c r="E522" s="23"/>
      <c r="F522" s="23"/>
      <c r="G522" s="23"/>
    </row>
    <row r="523" spans="4:7" x14ac:dyDescent="0.25">
      <c r="D523" s="23"/>
      <c r="E523" s="23"/>
      <c r="F523" s="23"/>
      <c r="G523" s="23"/>
    </row>
    <row r="524" spans="4:7" x14ac:dyDescent="0.25">
      <c r="D524" s="23"/>
      <c r="E524" s="23"/>
      <c r="F524" s="23"/>
      <c r="G524" s="23"/>
    </row>
    <row r="525" spans="4:7" x14ac:dyDescent="0.25">
      <c r="D525" s="23"/>
      <c r="E525" s="23"/>
      <c r="F525" s="23"/>
      <c r="G525" s="23"/>
    </row>
    <row r="526" spans="4:7" x14ac:dyDescent="0.25">
      <c r="D526" s="23"/>
      <c r="E526" s="23"/>
      <c r="F526" s="23"/>
      <c r="G526" s="23"/>
    </row>
    <row r="527" spans="4:7" x14ac:dyDescent="0.25">
      <c r="D527" s="23"/>
      <c r="E527" s="23"/>
      <c r="F527" s="23"/>
      <c r="G527" s="23"/>
    </row>
    <row r="528" spans="4:7" x14ac:dyDescent="0.25">
      <c r="D528" s="23"/>
      <c r="E528" s="23"/>
      <c r="F528" s="23"/>
      <c r="G528" s="23"/>
    </row>
    <row r="529" spans="4:7" x14ac:dyDescent="0.25">
      <c r="D529" s="23"/>
      <c r="E529" s="23"/>
      <c r="F529" s="23"/>
      <c r="G529" s="23"/>
    </row>
    <row r="530" spans="4:7" x14ac:dyDescent="0.25">
      <c r="D530" s="23"/>
      <c r="E530" s="23"/>
      <c r="F530" s="23"/>
      <c r="G530" s="23"/>
    </row>
    <row r="531" spans="4:7" x14ac:dyDescent="0.25">
      <c r="D531" s="23"/>
      <c r="E531" s="23"/>
      <c r="F531" s="23"/>
      <c r="G531" s="23"/>
    </row>
    <row r="532" spans="4:7" x14ac:dyDescent="0.25">
      <c r="D532" s="23"/>
      <c r="E532" s="23"/>
      <c r="F532" s="23"/>
      <c r="G532" s="23"/>
    </row>
    <row r="533" spans="4:7" x14ac:dyDescent="0.25">
      <c r="D533" s="23"/>
      <c r="E533" s="23"/>
      <c r="F533" s="23"/>
      <c r="G533" s="23"/>
    </row>
    <row r="534" spans="4:7" x14ac:dyDescent="0.25">
      <c r="D534" s="23"/>
      <c r="E534" s="23"/>
      <c r="F534" s="23"/>
      <c r="G534" s="23"/>
    </row>
    <row r="535" spans="4:7" x14ac:dyDescent="0.25">
      <c r="D535" s="23"/>
      <c r="E535" s="23"/>
      <c r="F535" s="23"/>
      <c r="G535" s="23"/>
    </row>
    <row r="536" spans="4:7" x14ac:dyDescent="0.25">
      <c r="D536" s="23"/>
      <c r="E536" s="23"/>
      <c r="F536" s="23"/>
      <c r="G536" s="23"/>
    </row>
    <row r="537" spans="4:7" x14ac:dyDescent="0.25">
      <c r="D537" s="23"/>
      <c r="E537" s="23"/>
      <c r="F537" s="23"/>
      <c r="G537" s="23"/>
    </row>
    <row r="538" spans="4:7" x14ac:dyDescent="0.25">
      <c r="D538" s="23"/>
      <c r="E538" s="23"/>
      <c r="F538" s="23"/>
      <c r="G538" s="23"/>
    </row>
    <row r="539" spans="4:7" x14ac:dyDescent="0.25">
      <c r="D539" s="23"/>
      <c r="E539" s="23"/>
      <c r="F539" s="23"/>
      <c r="G539" s="23"/>
    </row>
    <row r="540" spans="4:7" x14ac:dyDescent="0.25">
      <c r="D540" s="23"/>
      <c r="E540" s="23"/>
      <c r="F540" s="23"/>
      <c r="G540" s="23"/>
    </row>
    <row r="541" spans="4:7" x14ac:dyDescent="0.25">
      <c r="D541" s="23"/>
      <c r="E541" s="23"/>
      <c r="F541" s="23"/>
      <c r="G541" s="23"/>
    </row>
    <row r="542" spans="4:7" x14ac:dyDescent="0.25">
      <c r="D542" s="23"/>
      <c r="E542" s="23"/>
      <c r="F542" s="23"/>
      <c r="G542" s="23"/>
    </row>
    <row r="543" spans="4:7" x14ac:dyDescent="0.25">
      <c r="D543" s="23"/>
      <c r="E543" s="23"/>
      <c r="F543" s="23"/>
      <c r="G543" s="23"/>
    </row>
    <row r="544" spans="4:7" x14ac:dyDescent="0.25">
      <c r="D544" s="23"/>
      <c r="E544" s="23"/>
      <c r="F544" s="23"/>
      <c r="G544" s="23"/>
    </row>
    <row r="545" spans="4:7" x14ac:dyDescent="0.25">
      <c r="D545" s="23"/>
      <c r="E545" s="23"/>
      <c r="F545" s="23"/>
      <c r="G545" s="23"/>
    </row>
    <row r="546" spans="4:7" x14ac:dyDescent="0.25">
      <c r="D546" s="23"/>
      <c r="E546" s="23"/>
      <c r="F546" s="23"/>
      <c r="G546" s="23"/>
    </row>
    <row r="547" spans="4:7" x14ac:dyDescent="0.25">
      <c r="D547" s="23"/>
      <c r="E547" s="23"/>
      <c r="F547" s="23"/>
      <c r="G547" s="23"/>
    </row>
    <row r="548" spans="4:7" x14ac:dyDescent="0.25">
      <c r="D548" s="23"/>
      <c r="E548" s="23"/>
      <c r="F548" s="23"/>
      <c r="G548" s="23"/>
    </row>
    <row r="549" spans="4:7" x14ac:dyDescent="0.25">
      <c r="D549" s="23"/>
      <c r="E549" s="23"/>
      <c r="F549" s="23"/>
      <c r="G549" s="23"/>
    </row>
    <row r="550" spans="4:7" x14ac:dyDescent="0.25">
      <c r="D550" s="23"/>
      <c r="E550" s="23"/>
      <c r="F550" s="23"/>
      <c r="G550" s="23"/>
    </row>
    <row r="551" spans="4:7" x14ac:dyDescent="0.25">
      <c r="D551" s="23"/>
      <c r="E551" s="23"/>
      <c r="F551" s="23"/>
      <c r="G551" s="23"/>
    </row>
    <row r="552" spans="4:7" x14ac:dyDescent="0.25">
      <c r="D552" s="23"/>
      <c r="E552" s="23"/>
      <c r="F552" s="23"/>
      <c r="G552" s="23"/>
    </row>
    <row r="553" spans="4:7" x14ac:dyDescent="0.25">
      <c r="D553" s="23"/>
      <c r="E553" s="23"/>
      <c r="F553" s="23"/>
      <c r="G553" s="23"/>
    </row>
    <row r="554" spans="4:7" x14ac:dyDescent="0.25">
      <c r="D554" s="23"/>
      <c r="E554" s="23"/>
      <c r="F554" s="23"/>
      <c r="G554" s="23"/>
    </row>
    <row r="555" spans="4:7" x14ac:dyDescent="0.25">
      <c r="D555" s="23"/>
      <c r="E555" s="23"/>
      <c r="F555" s="23"/>
      <c r="G555" s="23"/>
    </row>
    <row r="556" spans="4:7" x14ac:dyDescent="0.25">
      <c r="D556" s="23"/>
      <c r="E556" s="23"/>
      <c r="F556" s="23"/>
      <c r="G556" s="23"/>
    </row>
    <row r="557" spans="4:7" x14ac:dyDescent="0.25">
      <c r="D557" s="23"/>
      <c r="E557" s="23"/>
      <c r="F557" s="23"/>
      <c r="G557" s="23"/>
    </row>
    <row r="558" spans="4:7" x14ac:dyDescent="0.25">
      <c r="D558" s="23"/>
      <c r="E558" s="23"/>
      <c r="F558" s="23"/>
      <c r="G558" s="23"/>
    </row>
    <row r="559" spans="4:7" x14ac:dyDescent="0.25">
      <c r="D559" s="23"/>
      <c r="E559" s="23"/>
      <c r="F559" s="23"/>
      <c r="G559" s="23"/>
    </row>
    <row r="560" spans="4:7" x14ac:dyDescent="0.25">
      <c r="D560" s="23"/>
      <c r="E560" s="23"/>
      <c r="F560" s="23"/>
      <c r="G560" s="23"/>
    </row>
    <row r="561" spans="4:7" x14ac:dyDescent="0.25">
      <c r="D561" s="23"/>
      <c r="E561" s="23"/>
      <c r="F561" s="23"/>
      <c r="G561" s="23"/>
    </row>
    <row r="562" spans="4:7" x14ac:dyDescent="0.25">
      <c r="D562" s="23"/>
      <c r="E562" s="23"/>
      <c r="F562" s="23"/>
      <c r="G562" s="23"/>
    </row>
    <row r="563" spans="4:7" x14ac:dyDescent="0.25">
      <c r="D563" s="23"/>
      <c r="E563" s="23"/>
      <c r="F563" s="23"/>
      <c r="G563" s="23"/>
    </row>
    <row r="564" spans="4:7" x14ac:dyDescent="0.25">
      <c r="D564" s="23"/>
      <c r="E564" s="23"/>
      <c r="F564" s="23"/>
      <c r="G564" s="23"/>
    </row>
    <row r="565" spans="4:7" x14ac:dyDescent="0.25">
      <c r="D565" s="23"/>
      <c r="E565" s="23"/>
      <c r="F565" s="23"/>
      <c r="G565" s="23"/>
    </row>
    <row r="566" spans="4:7" x14ac:dyDescent="0.25">
      <c r="D566" s="23"/>
      <c r="E566" s="23"/>
      <c r="F566" s="23"/>
      <c r="G566" s="23"/>
    </row>
    <row r="567" spans="4:7" x14ac:dyDescent="0.25">
      <c r="D567" s="23"/>
      <c r="E567" s="23"/>
      <c r="F567" s="23"/>
      <c r="G567" s="23"/>
    </row>
    <row r="568" spans="4:7" x14ac:dyDescent="0.25">
      <c r="D568" s="23"/>
      <c r="E568" s="23"/>
      <c r="F568" s="23"/>
      <c r="G568" s="23"/>
    </row>
    <row r="569" spans="4:7" x14ac:dyDescent="0.25">
      <c r="D569" s="23"/>
      <c r="E569" s="23"/>
      <c r="F569" s="23"/>
      <c r="G569" s="23"/>
    </row>
    <row r="570" spans="4:7" x14ac:dyDescent="0.25">
      <c r="D570" s="23"/>
      <c r="E570" s="23"/>
      <c r="F570" s="23"/>
      <c r="G570" s="23"/>
    </row>
    <row r="571" spans="4:7" x14ac:dyDescent="0.25">
      <c r="D571" s="23"/>
      <c r="E571" s="23"/>
      <c r="F571" s="23"/>
      <c r="G571" s="23"/>
    </row>
    <row r="572" spans="4:7" x14ac:dyDescent="0.25">
      <c r="D572" s="23"/>
      <c r="E572" s="23"/>
      <c r="F572" s="23"/>
      <c r="G572" s="23"/>
    </row>
    <row r="573" spans="4:7" x14ac:dyDescent="0.25">
      <c r="D573" s="23"/>
      <c r="E573" s="23"/>
      <c r="F573" s="23"/>
      <c r="G573" s="23"/>
    </row>
    <row r="574" spans="4:7" x14ac:dyDescent="0.25">
      <c r="D574" s="23"/>
      <c r="E574" s="23"/>
      <c r="F574" s="23"/>
      <c r="G574" s="23"/>
    </row>
    <row r="575" spans="4:7" x14ac:dyDescent="0.25">
      <c r="D575" s="23"/>
      <c r="E575" s="23"/>
      <c r="F575" s="23"/>
      <c r="G575" s="23"/>
    </row>
    <row r="576" spans="4:7" x14ac:dyDescent="0.25">
      <c r="D576" s="23"/>
      <c r="E576" s="23"/>
      <c r="F576" s="23"/>
      <c r="G576" s="23"/>
    </row>
    <row r="577" spans="4:7" x14ac:dyDescent="0.25">
      <c r="D577" s="23"/>
      <c r="E577" s="23"/>
      <c r="F577" s="23"/>
      <c r="G577" s="23"/>
    </row>
    <row r="578" spans="4:7" x14ac:dyDescent="0.25">
      <c r="D578" s="23"/>
      <c r="E578" s="23"/>
      <c r="F578" s="23"/>
      <c r="G578" s="23"/>
    </row>
    <row r="579" spans="4:7" x14ac:dyDescent="0.25">
      <c r="D579" s="23"/>
      <c r="E579" s="23"/>
      <c r="F579" s="23"/>
      <c r="G579" s="23"/>
    </row>
    <row r="580" spans="4:7" x14ac:dyDescent="0.25">
      <c r="D580" s="23"/>
      <c r="E580" s="23"/>
      <c r="F580" s="23"/>
      <c r="G580" s="23"/>
    </row>
    <row r="581" spans="4:7" x14ac:dyDescent="0.25">
      <c r="D581" s="23"/>
      <c r="E581" s="23"/>
      <c r="F581" s="23"/>
      <c r="G581" s="23"/>
    </row>
    <row r="582" spans="4:7" x14ac:dyDescent="0.25">
      <c r="D582" s="23"/>
      <c r="E582" s="23"/>
      <c r="F582" s="23"/>
      <c r="G582" s="23"/>
    </row>
    <row r="583" spans="4:7" x14ac:dyDescent="0.25">
      <c r="D583" s="23"/>
      <c r="E583" s="23"/>
      <c r="F583" s="23"/>
      <c r="G583" s="23"/>
    </row>
    <row r="584" spans="4:7" x14ac:dyDescent="0.25">
      <c r="D584" s="23"/>
      <c r="E584" s="23"/>
      <c r="F584" s="23"/>
      <c r="G584" s="23"/>
    </row>
    <row r="585" spans="4:7" x14ac:dyDescent="0.25">
      <c r="D585" s="23"/>
      <c r="E585" s="23"/>
      <c r="F585" s="23"/>
      <c r="G585" s="23"/>
    </row>
    <row r="586" spans="4:7" x14ac:dyDescent="0.25">
      <c r="D586" s="23"/>
      <c r="E586" s="23"/>
      <c r="F586" s="23"/>
      <c r="G586" s="23"/>
    </row>
    <row r="587" spans="4:7" x14ac:dyDescent="0.25">
      <c r="D587" s="23"/>
      <c r="E587" s="23"/>
      <c r="F587" s="23"/>
      <c r="G587" s="23"/>
    </row>
    <row r="588" spans="4:7" x14ac:dyDescent="0.25">
      <c r="D588" s="23"/>
      <c r="E588" s="23"/>
      <c r="F588" s="23"/>
      <c r="G588" s="23"/>
    </row>
    <row r="589" spans="4:7" x14ac:dyDescent="0.25">
      <c r="D589" s="23"/>
      <c r="E589" s="23"/>
      <c r="F589" s="23"/>
      <c r="G589" s="23"/>
    </row>
    <row r="590" spans="4:7" x14ac:dyDescent="0.25">
      <c r="D590" s="23"/>
      <c r="E590" s="23"/>
      <c r="F590" s="23"/>
      <c r="G590" s="23"/>
    </row>
    <row r="591" spans="4:7" x14ac:dyDescent="0.25">
      <c r="D591" s="23"/>
      <c r="E591" s="23"/>
      <c r="F591" s="23"/>
      <c r="G591" s="23"/>
    </row>
    <row r="592" spans="4:7" x14ac:dyDescent="0.25">
      <c r="D592" s="23"/>
      <c r="E592" s="23"/>
      <c r="F592" s="23"/>
      <c r="G592" s="23"/>
    </row>
    <row r="593" spans="4:7" x14ac:dyDescent="0.25">
      <c r="D593" s="23"/>
      <c r="E593" s="23"/>
      <c r="F593" s="23"/>
      <c r="G593" s="23"/>
    </row>
    <row r="594" spans="4:7" x14ac:dyDescent="0.25">
      <c r="D594" s="23"/>
      <c r="E594" s="23"/>
      <c r="F594" s="23"/>
      <c r="G594" s="23"/>
    </row>
    <row r="595" spans="4:7" x14ac:dyDescent="0.25">
      <c r="D595" s="23"/>
      <c r="E595" s="23"/>
      <c r="F595" s="23"/>
      <c r="G595" s="23"/>
    </row>
    <row r="596" spans="4:7" x14ac:dyDescent="0.25">
      <c r="D596" s="23"/>
      <c r="E596" s="23"/>
      <c r="F596" s="23"/>
      <c r="G596" s="23"/>
    </row>
    <row r="597" spans="4:7" x14ac:dyDescent="0.25">
      <c r="D597" s="23"/>
      <c r="E597" s="23"/>
      <c r="F597" s="23"/>
      <c r="G597" s="23"/>
    </row>
    <row r="598" spans="4:7" x14ac:dyDescent="0.25">
      <c r="D598" s="23"/>
      <c r="E598" s="23"/>
      <c r="F598" s="23"/>
      <c r="G598" s="23"/>
    </row>
    <row r="599" spans="4:7" x14ac:dyDescent="0.25">
      <c r="D599" s="23"/>
      <c r="E599" s="23"/>
      <c r="F599" s="23"/>
      <c r="G599" s="23"/>
    </row>
    <row r="600" spans="4:7" x14ac:dyDescent="0.25">
      <c r="D600" s="23"/>
      <c r="E600" s="23"/>
      <c r="F600" s="23"/>
      <c r="G600" s="23"/>
    </row>
    <row r="601" spans="4:7" x14ac:dyDescent="0.25">
      <c r="D601" s="23"/>
      <c r="E601" s="23"/>
      <c r="F601" s="23"/>
      <c r="G601" s="23"/>
    </row>
    <row r="602" spans="4:7" x14ac:dyDescent="0.25">
      <c r="D602" s="23"/>
      <c r="E602" s="23"/>
      <c r="F602" s="23"/>
      <c r="G602" s="23"/>
    </row>
    <row r="603" spans="4:7" x14ac:dyDescent="0.25">
      <c r="D603" s="23"/>
      <c r="E603" s="23"/>
      <c r="F603" s="23"/>
      <c r="G603" s="23"/>
    </row>
    <row r="604" spans="4:7" x14ac:dyDescent="0.25">
      <c r="D604" s="23"/>
      <c r="E604" s="23"/>
      <c r="F604" s="23"/>
      <c r="G604" s="23"/>
    </row>
    <row r="605" spans="4:7" x14ac:dyDescent="0.25">
      <c r="D605" s="23"/>
      <c r="E605" s="23"/>
      <c r="F605" s="23"/>
      <c r="G605" s="23"/>
    </row>
    <row r="606" spans="4:7" x14ac:dyDescent="0.25">
      <c r="D606" s="23"/>
      <c r="E606" s="23"/>
      <c r="F606" s="23"/>
      <c r="G606" s="23"/>
    </row>
    <row r="607" spans="4:7" x14ac:dyDescent="0.25">
      <c r="D607" s="23"/>
      <c r="E607" s="23"/>
      <c r="F607" s="23"/>
      <c r="G607" s="23"/>
    </row>
    <row r="608" spans="4:7" x14ac:dyDescent="0.25">
      <c r="D608" s="23"/>
      <c r="E608" s="23"/>
      <c r="F608" s="23"/>
      <c r="G608" s="23"/>
    </row>
    <row r="609" spans="4:7" x14ac:dyDescent="0.25">
      <c r="D609" s="23"/>
      <c r="E609" s="23"/>
      <c r="F609" s="23"/>
      <c r="G609" s="23"/>
    </row>
    <row r="610" spans="4:7" x14ac:dyDescent="0.25">
      <c r="D610" s="23"/>
      <c r="E610" s="23"/>
      <c r="F610" s="23"/>
      <c r="G610" s="23"/>
    </row>
    <row r="611" spans="4:7" x14ac:dyDescent="0.25">
      <c r="D611" s="23"/>
      <c r="E611" s="23"/>
      <c r="F611" s="23"/>
      <c r="G611" s="23"/>
    </row>
    <row r="612" spans="4:7" x14ac:dyDescent="0.25">
      <c r="D612" s="23"/>
      <c r="E612" s="23"/>
      <c r="F612" s="23"/>
      <c r="G612" s="23"/>
    </row>
    <row r="613" spans="4:7" x14ac:dyDescent="0.25">
      <c r="D613" s="23"/>
      <c r="E613" s="23"/>
      <c r="F613" s="23"/>
      <c r="G613" s="23"/>
    </row>
    <row r="614" spans="4:7" x14ac:dyDescent="0.25">
      <c r="D614" s="23"/>
      <c r="E614" s="23"/>
      <c r="F614" s="23"/>
      <c r="G614" s="23"/>
    </row>
    <row r="615" spans="4:7" x14ac:dyDescent="0.25">
      <c r="D615" s="23"/>
      <c r="E615" s="23"/>
      <c r="F615" s="23"/>
      <c r="G615" s="23"/>
    </row>
    <row r="616" spans="4:7" x14ac:dyDescent="0.25">
      <c r="D616" s="23"/>
      <c r="E616" s="23"/>
      <c r="F616" s="23"/>
      <c r="G616" s="23"/>
    </row>
    <row r="617" spans="4:7" x14ac:dyDescent="0.25">
      <c r="D617" s="23"/>
      <c r="E617" s="23"/>
      <c r="F617" s="23"/>
      <c r="G617" s="23"/>
    </row>
    <row r="618" spans="4:7" x14ac:dyDescent="0.25">
      <c r="D618" s="23"/>
      <c r="E618" s="23"/>
      <c r="F618" s="23"/>
      <c r="G618" s="23"/>
    </row>
    <row r="619" spans="4:7" x14ac:dyDescent="0.25">
      <c r="D619" s="23"/>
      <c r="E619" s="23"/>
      <c r="F619" s="23"/>
      <c r="G619" s="23"/>
    </row>
    <row r="620" spans="4:7" x14ac:dyDescent="0.25">
      <c r="D620" s="23"/>
      <c r="E620" s="23"/>
      <c r="F620" s="23"/>
      <c r="G620" s="23"/>
    </row>
    <row r="621" spans="4:7" x14ac:dyDescent="0.25">
      <c r="D621" s="23"/>
      <c r="E621" s="23"/>
      <c r="F621" s="23"/>
      <c r="G621" s="23"/>
    </row>
    <row r="622" spans="4:7" x14ac:dyDescent="0.25">
      <c r="D622" s="23"/>
      <c r="E622" s="23"/>
      <c r="F622" s="23"/>
      <c r="G622" s="23"/>
    </row>
    <row r="623" spans="4:7" x14ac:dyDescent="0.25">
      <c r="D623" s="23"/>
      <c r="E623" s="23"/>
      <c r="F623" s="23"/>
      <c r="G623" s="23"/>
    </row>
    <row r="624" spans="4:7" x14ac:dyDescent="0.25">
      <c r="D624" s="23"/>
      <c r="E624" s="23"/>
      <c r="F624" s="23"/>
      <c r="G624" s="23"/>
    </row>
    <row r="625" spans="4:7" x14ac:dyDescent="0.25">
      <c r="D625" s="23"/>
      <c r="E625" s="23"/>
      <c r="F625" s="23"/>
      <c r="G625" s="23"/>
    </row>
    <row r="626" spans="4:7" x14ac:dyDescent="0.25">
      <c r="D626" s="23"/>
      <c r="E626" s="23"/>
      <c r="F626" s="23"/>
      <c r="G626" s="23"/>
    </row>
    <row r="627" spans="4:7" x14ac:dyDescent="0.25">
      <c r="D627" s="23"/>
      <c r="E627" s="23"/>
      <c r="F627" s="23"/>
      <c r="G627" s="23"/>
    </row>
    <row r="628" spans="4:7" x14ac:dyDescent="0.25">
      <c r="D628" s="23"/>
      <c r="E628" s="23"/>
      <c r="F628" s="23"/>
      <c r="G628" s="23"/>
    </row>
    <row r="629" spans="4:7" x14ac:dyDescent="0.25">
      <c r="D629" s="23"/>
      <c r="E629" s="23"/>
      <c r="F629" s="23"/>
      <c r="G629" s="23"/>
    </row>
    <row r="630" spans="4:7" x14ac:dyDescent="0.25">
      <c r="D630" s="23"/>
      <c r="E630" s="23"/>
      <c r="F630" s="23"/>
      <c r="G630" s="23"/>
    </row>
    <row r="631" spans="4:7" x14ac:dyDescent="0.25">
      <c r="D631" s="23"/>
      <c r="E631" s="23"/>
      <c r="F631" s="23"/>
      <c r="G631" s="23"/>
    </row>
    <row r="632" spans="4:7" x14ac:dyDescent="0.25">
      <c r="D632" s="23"/>
      <c r="E632" s="23"/>
      <c r="F632" s="23"/>
      <c r="G632" s="23"/>
    </row>
    <row r="633" spans="4:7" x14ac:dyDescent="0.25">
      <c r="D633" s="23"/>
      <c r="E633" s="23"/>
      <c r="F633" s="23"/>
      <c r="G633" s="23"/>
    </row>
    <row r="634" spans="4:7" x14ac:dyDescent="0.25">
      <c r="D634" s="23"/>
      <c r="E634" s="23"/>
      <c r="F634" s="23"/>
      <c r="G634" s="23"/>
    </row>
    <row r="635" spans="4:7" x14ac:dyDescent="0.25">
      <c r="D635" s="23"/>
      <c r="E635" s="23"/>
      <c r="F635" s="23"/>
      <c r="G635" s="23"/>
    </row>
    <row r="636" spans="4:7" x14ac:dyDescent="0.25">
      <c r="D636" s="23"/>
      <c r="E636" s="23"/>
      <c r="F636" s="23"/>
      <c r="G636" s="23"/>
    </row>
    <row r="637" spans="4:7" x14ac:dyDescent="0.25">
      <c r="D637" s="23"/>
      <c r="E637" s="23"/>
      <c r="F637" s="23"/>
      <c r="G637" s="23"/>
    </row>
    <row r="638" spans="4:7" x14ac:dyDescent="0.25">
      <c r="D638" s="23"/>
      <c r="E638" s="23"/>
      <c r="F638" s="23"/>
      <c r="G638" s="23"/>
    </row>
    <row r="639" spans="4:7" x14ac:dyDescent="0.25">
      <c r="D639" s="23"/>
      <c r="E639" s="23"/>
      <c r="F639" s="23"/>
      <c r="G639" s="23"/>
    </row>
    <row r="640" spans="4:7" x14ac:dyDescent="0.25">
      <c r="D640" s="23"/>
      <c r="E640" s="23"/>
      <c r="F640" s="23"/>
      <c r="G640" s="23"/>
    </row>
    <row r="641" spans="4:7" x14ac:dyDescent="0.25">
      <c r="D641" s="23"/>
      <c r="E641" s="23"/>
      <c r="F641" s="23"/>
      <c r="G641" s="23"/>
    </row>
    <row r="642" spans="4:7" x14ac:dyDescent="0.25">
      <c r="D642" s="23"/>
      <c r="E642" s="23"/>
      <c r="F642" s="23"/>
      <c r="G642" s="23"/>
    </row>
    <row r="643" spans="4:7" x14ac:dyDescent="0.25">
      <c r="D643" s="23"/>
      <c r="E643" s="23"/>
      <c r="F643" s="23"/>
      <c r="G643" s="23"/>
    </row>
    <row r="644" spans="4:7" x14ac:dyDescent="0.25">
      <c r="D644" s="23"/>
      <c r="E644" s="23"/>
      <c r="F644" s="23"/>
      <c r="G644" s="23"/>
    </row>
    <row r="645" spans="4:7" x14ac:dyDescent="0.25">
      <c r="D645" s="23"/>
      <c r="E645" s="23"/>
      <c r="F645" s="23"/>
      <c r="G645" s="23"/>
    </row>
    <row r="646" spans="4:7" x14ac:dyDescent="0.25">
      <c r="D646" s="23"/>
      <c r="E646" s="23"/>
      <c r="F646" s="23"/>
      <c r="G646" s="23"/>
    </row>
    <row r="647" spans="4:7" x14ac:dyDescent="0.25">
      <c r="D647" s="23"/>
      <c r="E647" s="23"/>
      <c r="F647" s="23"/>
      <c r="G647" s="23"/>
    </row>
    <row r="648" spans="4:7" x14ac:dyDescent="0.25">
      <c r="D648" s="23"/>
      <c r="E648" s="23"/>
      <c r="F648" s="23"/>
      <c r="G648" s="23"/>
    </row>
    <row r="649" spans="4:7" x14ac:dyDescent="0.25">
      <c r="D649" s="23"/>
      <c r="E649" s="23"/>
      <c r="F649" s="23"/>
      <c r="G649" s="23"/>
    </row>
    <row r="650" spans="4:7" x14ac:dyDescent="0.25">
      <c r="D650" s="23"/>
      <c r="E650" s="23"/>
      <c r="F650" s="23"/>
      <c r="G650" s="23"/>
    </row>
    <row r="651" spans="4:7" x14ac:dyDescent="0.25">
      <c r="D651" s="23"/>
      <c r="E651" s="23"/>
      <c r="F651" s="23"/>
      <c r="G651" s="23"/>
    </row>
    <row r="652" spans="4:7" x14ac:dyDescent="0.25">
      <c r="D652" s="23"/>
      <c r="E652" s="23"/>
      <c r="F652" s="23"/>
      <c r="G652" s="23"/>
    </row>
    <row r="653" spans="4:7" x14ac:dyDescent="0.25">
      <c r="D653" s="23"/>
      <c r="E653" s="23"/>
      <c r="F653" s="23"/>
      <c r="G653" s="23"/>
    </row>
    <row r="654" spans="4:7" x14ac:dyDescent="0.25">
      <c r="D654" s="23"/>
      <c r="E654" s="23"/>
      <c r="F654" s="23"/>
      <c r="G654" s="23"/>
    </row>
    <row r="655" spans="4:7" x14ac:dyDescent="0.25">
      <c r="D655" s="23"/>
      <c r="E655" s="23"/>
      <c r="F655" s="23"/>
      <c r="G655" s="23"/>
    </row>
    <row r="656" spans="4:7" x14ac:dyDescent="0.25">
      <c r="D656" s="23"/>
      <c r="E656" s="23"/>
      <c r="F656" s="23"/>
      <c r="G656" s="23"/>
    </row>
    <row r="657" spans="4:7" x14ac:dyDescent="0.25">
      <c r="D657" s="23"/>
      <c r="E657" s="23"/>
      <c r="F657" s="23"/>
      <c r="G657" s="23"/>
    </row>
    <row r="658" spans="4:7" x14ac:dyDescent="0.25">
      <c r="D658" s="23"/>
      <c r="E658" s="23"/>
      <c r="F658" s="23"/>
      <c r="G658" s="23"/>
    </row>
    <row r="659" spans="4:7" x14ac:dyDescent="0.25">
      <c r="D659" s="23"/>
      <c r="E659" s="23"/>
      <c r="F659" s="23"/>
      <c r="G659" s="23"/>
    </row>
    <row r="660" spans="4:7" x14ac:dyDescent="0.25">
      <c r="D660" s="23"/>
      <c r="E660" s="23"/>
      <c r="F660" s="23"/>
      <c r="G660" s="23"/>
    </row>
    <row r="661" spans="4:7" x14ac:dyDescent="0.25">
      <c r="D661" s="23"/>
      <c r="E661" s="23"/>
      <c r="F661" s="23"/>
      <c r="G661" s="23"/>
    </row>
    <row r="662" spans="4:7" x14ac:dyDescent="0.25">
      <c r="D662" s="23"/>
      <c r="E662" s="23"/>
      <c r="F662" s="23"/>
      <c r="G662" s="23"/>
    </row>
    <row r="663" spans="4:7" x14ac:dyDescent="0.25">
      <c r="D663" s="23"/>
      <c r="E663" s="23"/>
      <c r="F663" s="23"/>
      <c r="G663" s="23"/>
    </row>
    <row r="664" spans="4:7" x14ac:dyDescent="0.25">
      <c r="D664" s="23"/>
      <c r="E664" s="23"/>
      <c r="F664" s="23"/>
      <c r="G664" s="23"/>
    </row>
    <row r="665" spans="4:7" x14ac:dyDescent="0.25">
      <c r="D665" s="23"/>
      <c r="E665" s="23"/>
      <c r="F665" s="23"/>
      <c r="G665" s="23"/>
    </row>
    <row r="666" spans="4:7" x14ac:dyDescent="0.25">
      <c r="D666" s="23"/>
      <c r="E666" s="23"/>
      <c r="F666" s="23"/>
      <c r="G666" s="23"/>
    </row>
    <row r="667" spans="4:7" x14ac:dyDescent="0.25">
      <c r="D667" s="23"/>
      <c r="E667" s="23"/>
      <c r="F667" s="23"/>
      <c r="G667" s="23"/>
    </row>
    <row r="668" spans="4:7" x14ac:dyDescent="0.25">
      <c r="D668" s="23"/>
      <c r="E668" s="23"/>
      <c r="F668" s="23"/>
      <c r="G668" s="23"/>
    </row>
    <row r="669" spans="4:7" x14ac:dyDescent="0.25">
      <c r="D669" s="23"/>
      <c r="E669" s="23"/>
      <c r="F669" s="23"/>
      <c r="G669" s="23"/>
    </row>
    <row r="670" spans="4:7" x14ac:dyDescent="0.25">
      <c r="D670" s="23"/>
      <c r="E670" s="23"/>
      <c r="F670" s="23"/>
      <c r="G670" s="23"/>
    </row>
    <row r="671" spans="4:7" x14ac:dyDescent="0.25">
      <c r="D671" s="23"/>
      <c r="E671" s="23"/>
      <c r="F671" s="23"/>
      <c r="G671" s="23"/>
    </row>
    <row r="672" spans="4:7" x14ac:dyDescent="0.25">
      <c r="D672" s="23"/>
      <c r="E672" s="23"/>
      <c r="F672" s="23"/>
      <c r="G672" s="23"/>
    </row>
    <row r="673" spans="4:7" x14ac:dyDescent="0.25">
      <c r="D673" s="23"/>
      <c r="E673" s="23"/>
      <c r="F673" s="23"/>
      <c r="G673" s="23"/>
    </row>
    <row r="674" spans="4:7" x14ac:dyDescent="0.25">
      <c r="D674" s="23"/>
      <c r="E674" s="23"/>
      <c r="F674" s="23"/>
      <c r="G674" s="23"/>
    </row>
    <row r="675" spans="4:7" x14ac:dyDescent="0.25">
      <c r="D675" s="23"/>
      <c r="E675" s="23"/>
      <c r="F675" s="23"/>
      <c r="G675" s="23"/>
    </row>
    <row r="676" spans="4:7" x14ac:dyDescent="0.25">
      <c r="D676" s="23"/>
      <c r="E676" s="23"/>
      <c r="F676" s="23"/>
      <c r="G676" s="23"/>
    </row>
    <row r="677" spans="4:7" x14ac:dyDescent="0.25">
      <c r="D677" s="23"/>
      <c r="E677" s="23"/>
      <c r="F677" s="23"/>
      <c r="G677" s="23"/>
    </row>
    <row r="678" spans="4:7" x14ac:dyDescent="0.25">
      <c r="D678" s="23"/>
      <c r="E678" s="23"/>
      <c r="F678" s="23"/>
      <c r="G678" s="23"/>
    </row>
    <row r="679" spans="4:7" x14ac:dyDescent="0.25">
      <c r="D679" s="23"/>
      <c r="E679" s="23"/>
      <c r="F679" s="23"/>
      <c r="G679" s="23"/>
    </row>
    <row r="680" spans="4:7" x14ac:dyDescent="0.25">
      <c r="D680" s="24"/>
      <c r="E680" s="51"/>
      <c r="F680" s="24"/>
      <c r="G680" s="51"/>
    </row>
    <row r="681" spans="4:7" x14ac:dyDescent="0.25">
      <c r="D681" s="24"/>
      <c r="E681" s="42"/>
      <c r="F681" s="24"/>
      <c r="G681" s="42"/>
    </row>
    <row r="682" spans="4:7" x14ac:dyDescent="0.25">
      <c r="D682" s="24"/>
      <c r="E682" s="42"/>
      <c r="F682" s="24"/>
      <c r="G682" s="42"/>
    </row>
    <row r="683" spans="4:7" x14ac:dyDescent="0.25">
      <c r="D683" s="24"/>
      <c r="E683" s="42"/>
      <c r="F683" s="24"/>
      <c r="G683" s="42"/>
    </row>
    <row r="684" spans="4:7" x14ac:dyDescent="0.25">
      <c r="D684" s="24"/>
      <c r="E684" s="42"/>
      <c r="F684" s="24"/>
      <c r="G684" s="42"/>
    </row>
    <row r="685" spans="4:7" x14ac:dyDescent="0.25">
      <c r="D685" s="24"/>
      <c r="E685" s="42"/>
      <c r="F685" s="24"/>
      <c r="G685" s="42"/>
    </row>
    <row r="686" spans="4:7" x14ac:dyDescent="0.25">
      <c r="D686" s="24"/>
      <c r="E686" s="42"/>
      <c r="F686" s="24"/>
      <c r="G686" s="42"/>
    </row>
    <row r="687" spans="4:7" x14ac:dyDescent="0.25">
      <c r="D687" s="24"/>
      <c r="E687" s="42"/>
      <c r="F687" s="24"/>
      <c r="G687" s="42"/>
    </row>
    <row r="688" spans="4:7" x14ac:dyDescent="0.25">
      <c r="D688" s="24"/>
      <c r="E688" s="42"/>
      <c r="F688" s="24"/>
      <c r="G688" s="42"/>
    </row>
    <row r="689" spans="4:7" x14ac:dyDescent="0.25">
      <c r="D689" s="24"/>
      <c r="E689" s="42"/>
      <c r="F689" s="24"/>
      <c r="G689" s="42"/>
    </row>
  </sheetData>
  <phoneticPr fontId="17" type="noConversion"/>
  <conditionalFormatting sqref="I20:AL20">
    <cfRule type="expression" dxfId="14" priority="15">
      <formula>I20&lt;0</formula>
    </cfRule>
    <cfRule type="expression" dxfId="13" priority="16">
      <formula>I20&lt;I$35</formula>
    </cfRule>
  </conditionalFormatting>
  <conditionalFormatting sqref="I56:AL56">
    <cfRule type="expression" dxfId="12" priority="5">
      <formula>I56&lt;0</formula>
    </cfRule>
    <cfRule type="expression" dxfId="11" priority="6">
      <formula>I56&lt;I$35</formula>
    </cfRule>
  </conditionalFormatting>
  <conditionalFormatting sqref="I34:AL34">
    <cfRule type="expression" dxfId="10" priority="3">
      <formula>I34&lt;0</formula>
    </cfRule>
    <cfRule type="expression" dxfId="9" priority="4">
      <formula>I34&lt;I$35</formula>
    </cfRule>
  </conditionalFormatting>
  <conditionalFormatting sqref="I46:AL46">
    <cfRule type="expression" dxfId="8" priority="1">
      <formula>I46&lt;0</formula>
    </cfRule>
    <cfRule type="expression" dxfId="7" priority="2">
      <formula>I46&lt;I$35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ZF38"/>
  <sheetViews>
    <sheetView topLeftCell="G1" zoomScale="78" zoomScaleNormal="78" workbookViewId="0">
      <selection activeCell="J2" sqref="J2"/>
    </sheetView>
  </sheetViews>
  <sheetFormatPr baseColWidth="10" defaultColWidth="11.42578125" defaultRowHeight="15" x14ac:dyDescent="0.25"/>
  <cols>
    <col min="1" max="7" width="11" style="24" customWidth="1"/>
    <col min="8" max="8" width="27.140625" style="25" customWidth="1"/>
    <col min="9" max="9" width="6.7109375" style="24" customWidth="1"/>
    <col min="10" max="10" width="8.28515625" style="24" customWidth="1"/>
    <col min="11" max="34" width="7.42578125" style="24" customWidth="1"/>
    <col min="35" max="37" width="7.42578125" style="23" customWidth="1"/>
    <col min="38" max="681" width="11.42578125" style="23"/>
    <col min="682" max="16384" width="11.42578125" style="24"/>
  </cols>
  <sheetData>
    <row r="1" spans="1:682" ht="15.75" thickBot="1" x14ac:dyDescent="0.3"/>
    <row r="2" spans="1:682" ht="21.75" thickBot="1" x14ac:dyDescent="0.4">
      <c r="A2" s="120" t="s">
        <v>103</v>
      </c>
      <c r="B2" s="1" t="str">
        <f>J4</f>
        <v>W2/20</v>
      </c>
      <c r="C2" s="24" t="s">
        <v>75</v>
      </c>
      <c r="G2" s="41"/>
      <c r="J2" s="297"/>
      <c r="Q2" s="297"/>
      <c r="AL2" s="55" t="s">
        <v>38</v>
      </c>
    </row>
    <row r="3" spans="1:682" x14ac:dyDescent="0.25">
      <c r="J3" s="297"/>
      <c r="AL3" s="55" t="s">
        <v>39</v>
      </c>
    </row>
    <row r="4" spans="1:682" customFormat="1" ht="15.75" thickBot="1" x14ac:dyDescent="0.3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126</v>
      </c>
      <c r="H4" s="146" t="s">
        <v>102</v>
      </c>
      <c r="I4" s="220" t="s">
        <v>76</v>
      </c>
      <c r="J4" s="220" t="s">
        <v>77</v>
      </c>
      <c r="K4" s="220" t="s">
        <v>78</v>
      </c>
      <c r="L4" s="220" t="s">
        <v>79</v>
      </c>
      <c r="M4" s="220" t="s">
        <v>80</v>
      </c>
      <c r="N4" s="220" t="s">
        <v>81</v>
      </c>
      <c r="O4" s="220" t="s">
        <v>82</v>
      </c>
      <c r="P4" s="220" t="s">
        <v>83</v>
      </c>
      <c r="Q4" s="220" t="s">
        <v>84</v>
      </c>
      <c r="R4" s="220" t="s">
        <v>85</v>
      </c>
      <c r="S4" s="220" t="s">
        <v>86</v>
      </c>
      <c r="T4" s="220" t="s">
        <v>87</v>
      </c>
      <c r="U4" s="220" t="s">
        <v>88</v>
      </c>
      <c r="V4" s="220" t="s">
        <v>89</v>
      </c>
      <c r="W4" s="220" t="s">
        <v>90</v>
      </c>
      <c r="X4" s="220" t="s">
        <v>91</v>
      </c>
      <c r="Y4" s="220" t="s">
        <v>92</v>
      </c>
      <c r="Z4" s="220" t="s">
        <v>93</v>
      </c>
      <c r="AA4" s="220" t="s">
        <v>94</v>
      </c>
      <c r="AB4" s="220" t="s">
        <v>95</v>
      </c>
      <c r="AC4" s="220" t="s">
        <v>96</v>
      </c>
      <c r="AD4" s="220" t="s">
        <v>97</v>
      </c>
      <c r="AE4" s="220" t="s">
        <v>98</v>
      </c>
      <c r="AF4" s="221" t="s">
        <v>99</v>
      </c>
      <c r="AG4" s="220" t="s">
        <v>100</v>
      </c>
      <c r="AH4" s="220"/>
      <c r="AI4" s="220"/>
      <c r="AJ4" s="220"/>
      <c r="AK4" s="220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</row>
    <row r="5" spans="1:682" customFormat="1" ht="15.75" thickBot="1" x14ac:dyDescent="0.3">
      <c r="A5" s="145"/>
      <c r="B5" s="56"/>
      <c r="C5" s="103" t="s">
        <v>66</v>
      </c>
      <c r="D5" s="5" t="s">
        <v>65</v>
      </c>
      <c r="E5" s="103" t="s">
        <v>66</v>
      </c>
      <c r="F5" s="5" t="s">
        <v>65</v>
      </c>
      <c r="G5" s="56">
        <v>2</v>
      </c>
      <c r="H5" s="137" t="s">
        <v>28</v>
      </c>
      <c r="I5" s="43"/>
      <c r="J5" s="44">
        <v>100000</v>
      </c>
      <c r="K5" s="240">
        <v>100000</v>
      </c>
      <c r="L5" s="240">
        <v>100000</v>
      </c>
      <c r="M5" s="240">
        <v>100000</v>
      </c>
      <c r="N5" s="240">
        <v>100000</v>
      </c>
      <c r="O5" s="240">
        <v>100000</v>
      </c>
      <c r="P5" s="240">
        <v>100000</v>
      </c>
      <c r="Q5" s="240">
        <v>100000</v>
      </c>
      <c r="R5" s="240">
        <v>100000</v>
      </c>
      <c r="S5" s="240">
        <v>100000</v>
      </c>
      <c r="T5" s="240">
        <v>100000</v>
      </c>
      <c r="U5" s="240">
        <v>100000</v>
      </c>
      <c r="V5" s="240">
        <v>100000</v>
      </c>
      <c r="W5" s="240">
        <v>100000</v>
      </c>
      <c r="X5" s="240">
        <v>100000</v>
      </c>
      <c r="Y5" s="240">
        <v>100000</v>
      </c>
      <c r="Z5" s="240">
        <v>100000</v>
      </c>
      <c r="AA5" s="240">
        <v>100000</v>
      </c>
      <c r="AB5" s="240">
        <v>100000</v>
      </c>
      <c r="AC5" s="240">
        <v>100000</v>
      </c>
      <c r="AD5" s="240">
        <v>100000</v>
      </c>
      <c r="AE5" s="240">
        <v>100000</v>
      </c>
      <c r="AF5" s="240">
        <v>100000</v>
      </c>
      <c r="AG5" s="240">
        <v>100000</v>
      </c>
      <c r="AH5" s="240"/>
      <c r="AI5" s="240"/>
      <c r="AJ5" s="240"/>
      <c r="AK5" s="240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</row>
    <row r="6" spans="1:682" customFormat="1" x14ac:dyDescent="0.25">
      <c r="A6" s="145"/>
      <c r="B6" s="56"/>
      <c r="C6" s="103" t="s">
        <v>66</v>
      </c>
      <c r="D6" s="5" t="s">
        <v>65</v>
      </c>
      <c r="E6" s="103" t="s">
        <v>66</v>
      </c>
      <c r="F6" s="5" t="s">
        <v>65</v>
      </c>
      <c r="G6" s="56">
        <v>2</v>
      </c>
      <c r="H6" s="138" t="s">
        <v>69</v>
      </c>
      <c r="I6" s="96"/>
      <c r="J6" s="292">
        <f ca="1">J13+J21+J29+J37</f>
        <v>1320</v>
      </c>
      <c r="K6" s="86">
        <f t="shared" ref="K6:AG6" ca="1" si="0">K13+K21+K29+K37</f>
        <v>580</v>
      </c>
      <c r="L6" s="86">
        <f ca="1">L13+L21+L29+L37</f>
        <v>950</v>
      </c>
      <c r="M6" s="86">
        <f t="shared" ca="1" si="0"/>
        <v>1000</v>
      </c>
      <c r="N6" s="86">
        <f t="shared" ca="1" si="0"/>
        <v>1260</v>
      </c>
      <c r="O6" s="86">
        <f t="shared" ca="1" si="0"/>
        <v>1040</v>
      </c>
      <c r="P6" s="86">
        <f t="shared" ca="1" si="0"/>
        <v>1210</v>
      </c>
      <c r="Q6" s="86">
        <f t="shared" ca="1" si="0"/>
        <v>890</v>
      </c>
      <c r="R6" s="86">
        <f t="shared" ca="1" si="0"/>
        <v>960</v>
      </c>
      <c r="S6" s="86">
        <f t="shared" ca="1" si="0"/>
        <v>1030</v>
      </c>
      <c r="T6" s="86">
        <f t="shared" ca="1" si="0"/>
        <v>820</v>
      </c>
      <c r="U6" s="86">
        <f t="shared" ca="1" si="0"/>
        <v>1200</v>
      </c>
      <c r="V6" s="86">
        <f t="shared" ca="1" si="0"/>
        <v>930</v>
      </c>
      <c r="W6" s="86">
        <f t="shared" ca="1" si="0"/>
        <v>850</v>
      </c>
      <c r="X6" s="86">
        <f t="shared" ca="1" si="0"/>
        <v>1230</v>
      </c>
      <c r="Y6" s="86">
        <f t="shared" ca="1" si="0"/>
        <v>830</v>
      </c>
      <c r="Z6" s="86">
        <f t="shared" ca="1" si="0"/>
        <v>1140</v>
      </c>
      <c r="AA6" s="86">
        <f t="shared" ca="1" si="0"/>
        <v>1060</v>
      </c>
      <c r="AB6" s="86">
        <f t="shared" ca="1" si="0"/>
        <v>960</v>
      </c>
      <c r="AC6" s="86">
        <f t="shared" ca="1" si="0"/>
        <v>830</v>
      </c>
      <c r="AD6" s="86">
        <f t="shared" ca="1" si="0"/>
        <v>590</v>
      </c>
      <c r="AE6" s="86">
        <f t="shared" ca="1" si="0"/>
        <v>210</v>
      </c>
      <c r="AF6" s="86">
        <f t="shared" ca="1" si="0"/>
        <v>0</v>
      </c>
      <c r="AG6" s="86">
        <f t="shared" ca="1" si="0"/>
        <v>0</v>
      </c>
      <c r="AH6" s="245"/>
      <c r="AI6" s="245"/>
      <c r="AJ6" s="245"/>
      <c r="AK6" s="245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23"/>
      <c r="DX6" s="23"/>
      <c r="DY6" s="23"/>
      <c r="DZ6" s="23"/>
      <c r="EA6" s="23"/>
      <c r="EB6" s="23"/>
      <c r="EC6" s="23"/>
      <c r="ED6" s="23"/>
      <c r="EE6" s="23"/>
      <c r="EF6" s="23"/>
      <c r="EG6" s="23"/>
      <c r="EH6" s="23"/>
      <c r="EI6" s="23"/>
      <c r="EJ6" s="23"/>
      <c r="EK6" s="23"/>
      <c r="EL6" s="23"/>
      <c r="EM6" s="23"/>
      <c r="EN6" s="23"/>
      <c r="EO6" s="23"/>
      <c r="EP6" s="23"/>
      <c r="EQ6" s="23"/>
      <c r="ER6" s="23"/>
      <c r="ES6" s="23"/>
      <c r="ET6" s="23"/>
      <c r="EU6" s="23"/>
      <c r="EV6" s="23"/>
      <c r="EW6" s="23"/>
      <c r="EX6" s="23"/>
      <c r="EY6" s="23"/>
      <c r="EZ6" s="23"/>
      <c r="FA6" s="23"/>
      <c r="FB6" s="23"/>
      <c r="FC6" s="23"/>
      <c r="FD6" s="23"/>
      <c r="FE6" s="23"/>
      <c r="FF6" s="23"/>
      <c r="FG6" s="23"/>
      <c r="FH6" s="23"/>
      <c r="FI6" s="23"/>
      <c r="FJ6" s="23"/>
      <c r="FK6" s="23"/>
      <c r="FL6" s="23"/>
      <c r="FM6" s="23"/>
      <c r="FN6" s="23"/>
      <c r="FO6" s="23"/>
      <c r="FP6" s="23"/>
      <c r="FQ6" s="23"/>
      <c r="FR6" s="23"/>
      <c r="FS6" s="23"/>
      <c r="FT6" s="23"/>
      <c r="FU6" s="23"/>
      <c r="FV6" s="23"/>
      <c r="FW6" s="23"/>
      <c r="FX6" s="23"/>
      <c r="FY6" s="23"/>
      <c r="FZ6" s="23"/>
      <c r="GA6" s="23"/>
      <c r="GB6" s="23"/>
      <c r="GC6" s="23"/>
      <c r="GD6" s="23"/>
      <c r="GE6" s="23"/>
      <c r="GF6" s="23"/>
      <c r="GG6" s="23"/>
      <c r="GH6" s="23"/>
      <c r="GI6" s="23"/>
      <c r="GJ6" s="23"/>
      <c r="GK6" s="23"/>
      <c r="GL6" s="23"/>
      <c r="GM6" s="23"/>
      <c r="GN6" s="23"/>
      <c r="GO6" s="23"/>
      <c r="GP6" s="23"/>
      <c r="GQ6" s="23"/>
      <c r="GR6" s="23"/>
      <c r="GS6" s="23"/>
      <c r="GT6" s="23"/>
      <c r="GU6" s="23"/>
      <c r="GV6" s="23"/>
      <c r="GW6" s="23"/>
      <c r="GX6" s="23"/>
      <c r="GY6" s="23"/>
      <c r="GZ6" s="23"/>
      <c r="HA6" s="23"/>
      <c r="HB6" s="23"/>
      <c r="HC6" s="23"/>
      <c r="HD6" s="23"/>
      <c r="HE6" s="23"/>
      <c r="HF6" s="23"/>
      <c r="HG6" s="23"/>
      <c r="HH6" s="23"/>
      <c r="HI6" s="23"/>
      <c r="HJ6" s="23"/>
      <c r="HK6" s="23"/>
      <c r="HL6" s="23"/>
      <c r="HM6" s="23"/>
      <c r="HN6" s="23"/>
      <c r="HO6" s="23"/>
      <c r="HP6" s="23"/>
      <c r="HQ6" s="23"/>
      <c r="HR6" s="23"/>
      <c r="HS6" s="23"/>
      <c r="HT6" s="23"/>
      <c r="HU6" s="23"/>
      <c r="HV6" s="23"/>
      <c r="HW6" s="23"/>
      <c r="HX6" s="23"/>
      <c r="HY6" s="23"/>
      <c r="HZ6" s="23"/>
      <c r="IA6" s="23"/>
      <c r="IB6" s="23"/>
      <c r="IC6" s="23"/>
      <c r="ID6" s="23"/>
      <c r="IE6" s="23"/>
      <c r="IF6" s="23"/>
      <c r="IG6" s="23"/>
      <c r="IH6" s="23"/>
      <c r="II6" s="23"/>
      <c r="IJ6" s="23"/>
      <c r="IK6" s="23"/>
      <c r="IL6" s="23"/>
      <c r="IM6" s="23"/>
      <c r="IN6" s="23"/>
      <c r="IO6" s="23"/>
      <c r="IP6" s="23"/>
      <c r="IQ6" s="23"/>
      <c r="IR6" s="23"/>
      <c r="IS6" s="23"/>
      <c r="IT6" s="23"/>
      <c r="IU6" s="23"/>
      <c r="IV6" s="23"/>
      <c r="IW6" s="23"/>
      <c r="IX6" s="23"/>
      <c r="IY6" s="23"/>
      <c r="IZ6" s="23"/>
      <c r="JA6" s="23"/>
      <c r="JB6" s="23"/>
      <c r="JC6" s="23"/>
      <c r="JD6" s="23"/>
      <c r="JE6" s="23"/>
      <c r="JF6" s="23"/>
      <c r="JG6" s="23"/>
      <c r="JH6" s="23"/>
      <c r="JI6" s="23"/>
      <c r="JJ6" s="23"/>
      <c r="JK6" s="23"/>
      <c r="JL6" s="23"/>
      <c r="JM6" s="23"/>
      <c r="JN6" s="23"/>
      <c r="JO6" s="23"/>
      <c r="JP6" s="23"/>
      <c r="JQ6" s="23"/>
      <c r="JR6" s="23"/>
      <c r="JS6" s="23"/>
      <c r="JT6" s="23"/>
      <c r="JU6" s="23"/>
      <c r="JV6" s="23"/>
      <c r="JW6" s="23"/>
      <c r="JX6" s="23"/>
      <c r="JY6" s="23"/>
      <c r="JZ6" s="23"/>
      <c r="KA6" s="23"/>
      <c r="KB6" s="23"/>
      <c r="KC6" s="23"/>
      <c r="KD6" s="23"/>
      <c r="KE6" s="23"/>
      <c r="KF6" s="23"/>
      <c r="KG6" s="23"/>
      <c r="KH6" s="23"/>
      <c r="KI6" s="23"/>
      <c r="KJ6" s="23"/>
      <c r="KK6" s="23"/>
      <c r="KL6" s="23"/>
      <c r="KM6" s="23"/>
      <c r="KN6" s="23"/>
      <c r="KO6" s="23"/>
      <c r="KP6" s="23"/>
      <c r="KQ6" s="23"/>
      <c r="KR6" s="23"/>
      <c r="KS6" s="23"/>
      <c r="KT6" s="23"/>
      <c r="KU6" s="23"/>
      <c r="KV6" s="23"/>
      <c r="KW6" s="23"/>
      <c r="KX6" s="23"/>
      <c r="KY6" s="23"/>
      <c r="KZ6" s="23"/>
      <c r="LA6" s="23"/>
      <c r="LB6" s="23"/>
      <c r="LC6" s="23"/>
      <c r="LD6" s="23"/>
      <c r="LE6" s="23"/>
      <c r="LF6" s="23"/>
      <c r="LG6" s="23"/>
      <c r="LH6" s="23"/>
      <c r="LI6" s="23"/>
      <c r="LJ6" s="23"/>
      <c r="LK6" s="23"/>
      <c r="LL6" s="23"/>
      <c r="LM6" s="23"/>
      <c r="LN6" s="23"/>
      <c r="LO6" s="23"/>
      <c r="LP6" s="23"/>
      <c r="LQ6" s="23"/>
      <c r="LR6" s="23"/>
      <c r="LS6" s="23"/>
      <c r="LT6" s="23"/>
      <c r="LU6" s="23"/>
      <c r="LV6" s="23"/>
      <c r="LW6" s="23"/>
      <c r="LX6" s="23"/>
      <c r="LY6" s="23"/>
      <c r="LZ6" s="23"/>
      <c r="MA6" s="23"/>
      <c r="MB6" s="23"/>
      <c r="MC6" s="23"/>
      <c r="MD6" s="23"/>
      <c r="ME6" s="23"/>
      <c r="MF6" s="23"/>
      <c r="MG6" s="23"/>
      <c r="MH6" s="23"/>
      <c r="MI6" s="23"/>
      <c r="MJ6" s="23"/>
      <c r="MK6" s="23"/>
      <c r="ML6" s="23"/>
      <c r="MM6" s="23"/>
      <c r="MN6" s="23"/>
      <c r="MO6" s="23"/>
      <c r="MP6" s="23"/>
      <c r="MQ6" s="23"/>
      <c r="MR6" s="23"/>
      <c r="MS6" s="23"/>
      <c r="MT6" s="23"/>
      <c r="MU6" s="23"/>
      <c r="MV6" s="23"/>
      <c r="MW6" s="23"/>
      <c r="MX6" s="23"/>
      <c r="MY6" s="23"/>
      <c r="MZ6" s="23"/>
      <c r="NA6" s="23"/>
      <c r="NB6" s="23"/>
      <c r="NC6" s="23"/>
      <c r="ND6" s="23"/>
      <c r="NE6" s="23"/>
      <c r="NF6" s="23"/>
      <c r="NG6" s="23"/>
      <c r="NH6" s="23"/>
      <c r="NI6" s="23"/>
      <c r="NJ6" s="23"/>
      <c r="NK6" s="23"/>
      <c r="NL6" s="23"/>
      <c r="NM6" s="23"/>
      <c r="NN6" s="23"/>
      <c r="NO6" s="23"/>
      <c r="NP6" s="23"/>
      <c r="NQ6" s="23"/>
      <c r="NR6" s="23"/>
      <c r="NS6" s="23"/>
      <c r="NT6" s="23"/>
      <c r="NU6" s="23"/>
      <c r="NV6" s="23"/>
      <c r="NW6" s="23"/>
      <c r="NX6" s="23"/>
      <c r="NY6" s="23"/>
      <c r="NZ6" s="23"/>
      <c r="OA6" s="23"/>
      <c r="OB6" s="23"/>
      <c r="OC6" s="23"/>
      <c r="OD6" s="23"/>
      <c r="OE6" s="23"/>
      <c r="OF6" s="23"/>
      <c r="OG6" s="23"/>
      <c r="OH6" s="23"/>
      <c r="OI6" s="23"/>
      <c r="OJ6" s="23"/>
      <c r="OK6" s="23"/>
      <c r="OL6" s="23"/>
      <c r="OM6" s="23"/>
      <c r="ON6" s="23"/>
      <c r="OO6" s="23"/>
      <c r="OP6" s="23"/>
      <c r="OQ6" s="23"/>
      <c r="OR6" s="23"/>
      <c r="OS6" s="23"/>
      <c r="OT6" s="23"/>
      <c r="OU6" s="23"/>
      <c r="OV6" s="23"/>
      <c r="OW6" s="23"/>
      <c r="OX6" s="23"/>
      <c r="OY6" s="23"/>
      <c r="OZ6" s="23"/>
      <c r="PA6" s="23"/>
      <c r="PB6" s="23"/>
      <c r="PC6" s="23"/>
      <c r="PD6" s="23"/>
      <c r="PE6" s="23"/>
      <c r="PF6" s="23"/>
      <c r="PG6" s="23"/>
      <c r="PH6" s="23"/>
      <c r="PI6" s="23"/>
      <c r="PJ6" s="23"/>
      <c r="PK6" s="23"/>
      <c r="PL6" s="23"/>
      <c r="PM6" s="23"/>
      <c r="PN6" s="23"/>
      <c r="PO6" s="23"/>
      <c r="PP6" s="23"/>
      <c r="PQ6" s="23"/>
      <c r="PR6" s="23"/>
      <c r="PS6" s="23"/>
      <c r="PT6" s="23"/>
      <c r="PU6" s="23"/>
      <c r="PV6" s="23"/>
      <c r="PW6" s="23"/>
      <c r="PX6" s="23"/>
      <c r="PY6" s="23"/>
      <c r="PZ6" s="23"/>
      <c r="QA6" s="23"/>
      <c r="QB6" s="23"/>
      <c r="QC6" s="23"/>
      <c r="QD6" s="23"/>
      <c r="QE6" s="23"/>
      <c r="QF6" s="23"/>
      <c r="QG6" s="23"/>
      <c r="QH6" s="23"/>
      <c r="QI6" s="23"/>
      <c r="QJ6" s="23"/>
      <c r="QK6" s="23"/>
      <c r="QL6" s="23"/>
      <c r="QM6" s="23"/>
      <c r="QN6" s="23"/>
      <c r="QO6" s="23"/>
      <c r="QP6" s="23"/>
      <c r="QQ6" s="23"/>
      <c r="QR6" s="23"/>
      <c r="QS6" s="23"/>
      <c r="QT6" s="23"/>
      <c r="QU6" s="23"/>
      <c r="QV6" s="23"/>
      <c r="QW6" s="23"/>
      <c r="QX6" s="23"/>
      <c r="QY6" s="23"/>
      <c r="QZ6" s="23"/>
      <c r="RA6" s="23"/>
      <c r="RB6" s="23"/>
      <c r="RC6" s="23"/>
      <c r="RD6" s="23"/>
      <c r="RE6" s="23"/>
      <c r="RF6" s="23"/>
      <c r="RG6" s="23"/>
      <c r="RH6" s="23"/>
      <c r="RI6" s="23"/>
      <c r="RJ6" s="23"/>
      <c r="RK6" s="23"/>
      <c r="RL6" s="23"/>
      <c r="RM6" s="23"/>
      <c r="RN6" s="23"/>
      <c r="RO6" s="23"/>
      <c r="RP6" s="23"/>
      <c r="RQ6" s="23"/>
      <c r="RR6" s="23"/>
      <c r="RS6" s="23"/>
      <c r="RT6" s="23"/>
      <c r="RU6" s="23"/>
      <c r="RV6" s="23"/>
      <c r="RW6" s="23"/>
      <c r="RX6" s="23"/>
      <c r="RY6" s="23"/>
      <c r="RZ6" s="23"/>
      <c r="SA6" s="23"/>
      <c r="SB6" s="23"/>
      <c r="SC6" s="23"/>
      <c r="SD6" s="23"/>
      <c r="SE6" s="23"/>
      <c r="SF6" s="23"/>
      <c r="SG6" s="23"/>
      <c r="SH6" s="23"/>
      <c r="SI6" s="23"/>
      <c r="SJ6" s="23"/>
      <c r="SK6" s="23"/>
      <c r="SL6" s="23"/>
      <c r="SM6" s="23"/>
      <c r="SN6" s="23"/>
      <c r="SO6" s="23"/>
      <c r="SP6" s="23"/>
      <c r="SQ6" s="23"/>
      <c r="SR6" s="23"/>
      <c r="SS6" s="23"/>
      <c r="ST6" s="23"/>
      <c r="SU6" s="23"/>
      <c r="SV6" s="23"/>
      <c r="SW6" s="23"/>
      <c r="SX6" s="23"/>
      <c r="SY6" s="23"/>
      <c r="SZ6" s="23"/>
      <c r="TA6" s="23"/>
      <c r="TB6" s="23"/>
      <c r="TC6" s="23"/>
      <c r="TD6" s="23"/>
      <c r="TE6" s="23"/>
      <c r="TF6" s="23"/>
      <c r="TG6" s="23"/>
      <c r="TH6" s="23"/>
      <c r="TI6" s="23"/>
      <c r="TJ6" s="23"/>
      <c r="TK6" s="23"/>
      <c r="TL6" s="23"/>
      <c r="TM6" s="23"/>
      <c r="TN6" s="23"/>
      <c r="TO6" s="23"/>
      <c r="TP6" s="23"/>
      <c r="TQ6" s="23"/>
      <c r="TR6" s="23"/>
      <c r="TS6" s="23"/>
      <c r="TT6" s="23"/>
      <c r="TU6" s="23"/>
      <c r="TV6" s="23"/>
      <c r="TW6" s="23"/>
      <c r="TX6" s="23"/>
      <c r="TY6" s="23"/>
      <c r="TZ6" s="23"/>
      <c r="UA6" s="23"/>
      <c r="UB6" s="23"/>
      <c r="UC6" s="23"/>
      <c r="UD6" s="23"/>
      <c r="UE6" s="23"/>
      <c r="UF6" s="23"/>
      <c r="UG6" s="23"/>
      <c r="UH6" s="23"/>
      <c r="UI6" s="23"/>
      <c r="UJ6" s="23"/>
      <c r="UK6" s="23"/>
      <c r="UL6" s="23"/>
      <c r="UM6" s="23"/>
      <c r="UN6" s="23"/>
      <c r="UO6" s="23"/>
      <c r="UP6" s="23"/>
      <c r="UQ6" s="23"/>
      <c r="UR6" s="23"/>
      <c r="US6" s="23"/>
      <c r="UT6" s="23"/>
      <c r="UU6" s="23"/>
      <c r="UV6" s="23"/>
      <c r="UW6" s="23"/>
      <c r="UX6" s="23"/>
      <c r="UY6" s="23"/>
      <c r="UZ6" s="23"/>
      <c r="VA6" s="23"/>
      <c r="VB6" s="23"/>
      <c r="VC6" s="23"/>
      <c r="VD6" s="23"/>
      <c r="VE6" s="23"/>
      <c r="VF6" s="23"/>
      <c r="VG6" s="23"/>
      <c r="VH6" s="23"/>
      <c r="VI6" s="23"/>
      <c r="VJ6" s="23"/>
      <c r="VK6" s="23"/>
      <c r="VL6" s="23"/>
      <c r="VM6" s="23"/>
      <c r="VN6" s="23"/>
      <c r="VO6" s="23"/>
      <c r="VP6" s="23"/>
      <c r="VQ6" s="23"/>
      <c r="VR6" s="23"/>
      <c r="VS6" s="23"/>
      <c r="VT6" s="23"/>
      <c r="VU6" s="23"/>
      <c r="VV6" s="23"/>
      <c r="VW6" s="23"/>
      <c r="VX6" s="23"/>
      <c r="VY6" s="23"/>
      <c r="VZ6" s="23"/>
      <c r="WA6" s="23"/>
      <c r="WB6" s="23"/>
      <c r="WC6" s="23"/>
      <c r="WD6" s="23"/>
      <c r="WE6" s="23"/>
      <c r="WF6" s="23"/>
      <c r="WG6" s="23"/>
      <c r="WH6" s="23"/>
      <c r="WI6" s="23"/>
      <c r="WJ6" s="23"/>
      <c r="WK6" s="23"/>
      <c r="WL6" s="23"/>
      <c r="WM6" s="23"/>
      <c r="WN6" s="23"/>
      <c r="WO6" s="23"/>
      <c r="WP6" s="23"/>
      <c r="WQ6" s="23"/>
      <c r="WR6" s="23"/>
      <c r="WS6" s="23"/>
      <c r="WT6" s="23"/>
      <c r="WU6" s="23"/>
      <c r="WV6" s="23"/>
      <c r="WW6" s="23"/>
      <c r="WX6" s="23"/>
      <c r="WY6" s="23"/>
      <c r="WZ6" s="23"/>
      <c r="XA6" s="23"/>
      <c r="XB6" s="23"/>
      <c r="XC6" s="23"/>
      <c r="XD6" s="23"/>
      <c r="XE6" s="23"/>
      <c r="XF6" s="23"/>
      <c r="XG6" s="23"/>
      <c r="XH6" s="23"/>
      <c r="XI6" s="23"/>
      <c r="XJ6" s="23"/>
      <c r="XK6" s="23"/>
      <c r="XL6" s="23"/>
      <c r="XM6" s="23"/>
      <c r="XN6" s="23"/>
      <c r="XO6" s="23"/>
      <c r="XP6" s="23"/>
      <c r="XQ6" s="23"/>
      <c r="XR6" s="23"/>
      <c r="XS6" s="23"/>
      <c r="XT6" s="23"/>
      <c r="XU6" s="23"/>
      <c r="XV6" s="23"/>
      <c r="XW6" s="23"/>
      <c r="XX6" s="23"/>
      <c r="XY6" s="23"/>
      <c r="XZ6" s="23"/>
      <c r="YA6" s="23"/>
      <c r="YB6" s="23"/>
      <c r="YC6" s="23"/>
      <c r="YD6" s="23"/>
      <c r="YE6" s="23"/>
      <c r="YF6" s="23"/>
      <c r="YG6" s="23"/>
      <c r="YH6" s="23"/>
      <c r="YI6" s="23"/>
      <c r="YJ6" s="23"/>
      <c r="YK6" s="23"/>
      <c r="YL6" s="23"/>
      <c r="YM6" s="23"/>
      <c r="YN6" s="23"/>
      <c r="YO6" s="23"/>
      <c r="YP6" s="23"/>
      <c r="YQ6" s="23"/>
      <c r="YR6" s="23"/>
      <c r="YS6" s="23"/>
      <c r="YT6" s="23"/>
      <c r="YU6" s="23"/>
      <c r="YV6" s="23"/>
      <c r="YW6" s="23"/>
      <c r="YX6" s="23"/>
      <c r="YY6" s="23"/>
      <c r="YZ6" s="23"/>
      <c r="ZA6" s="23"/>
      <c r="ZB6" s="23"/>
      <c r="ZC6" s="23"/>
      <c r="ZD6" s="23"/>
    </row>
    <row r="7" spans="1:682" s="58" customFormat="1" ht="14.25" customHeight="1" x14ac:dyDescent="0.25">
      <c r="A7" s="77"/>
      <c r="B7" s="128"/>
      <c r="C7" s="77"/>
      <c r="D7" s="77"/>
      <c r="E7" s="77"/>
      <c r="F7" s="77"/>
      <c r="G7" s="132"/>
      <c r="H7" s="133"/>
      <c r="I7" s="134"/>
      <c r="J7" s="77"/>
      <c r="K7" s="77"/>
      <c r="L7" s="77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253"/>
      <c r="AI7" s="253"/>
      <c r="AJ7" s="253"/>
      <c r="AK7" s="25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23"/>
      <c r="ER7" s="23"/>
      <c r="ES7" s="23"/>
      <c r="ET7" s="23"/>
      <c r="EU7" s="23"/>
      <c r="EV7" s="23"/>
      <c r="EW7" s="23"/>
      <c r="EX7" s="23"/>
      <c r="EY7" s="23"/>
      <c r="EZ7" s="23"/>
      <c r="FA7" s="23"/>
      <c r="FB7" s="23"/>
      <c r="FC7" s="23"/>
      <c r="FD7" s="23"/>
      <c r="FE7" s="23"/>
      <c r="FF7" s="23"/>
      <c r="FG7" s="23"/>
      <c r="FH7" s="23"/>
      <c r="FI7" s="23"/>
      <c r="FJ7" s="23"/>
      <c r="FK7" s="23"/>
      <c r="FL7" s="23"/>
      <c r="FM7" s="23"/>
      <c r="FN7" s="23"/>
      <c r="FO7" s="23"/>
      <c r="FP7" s="23"/>
      <c r="FQ7" s="23"/>
      <c r="FR7" s="23"/>
      <c r="FS7" s="23"/>
      <c r="FT7" s="23"/>
      <c r="FU7" s="23"/>
      <c r="FV7" s="23"/>
      <c r="FW7" s="23"/>
      <c r="FX7" s="23"/>
      <c r="FY7" s="23"/>
      <c r="FZ7" s="23"/>
      <c r="GA7" s="23"/>
      <c r="GB7" s="23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3"/>
      <c r="HQ7" s="23"/>
      <c r="HR7" s="23"/>
      <c r="HS7" s="23"/>
      <c r="HT7" s="23"/>
      <c r="HU7" s="23"/>
      <c r="HV7" s="23"/>
      <c r="HW7" s="23"/>
      <c r="HX7" s="23"/>
      <c r="HY7" s="23"/>
      <c r="HZ7" s="23"/>
      <c r="IA7" s="23"/>
      <c r="IB7" s="61"/>
    </row>
    <row r="8" spans="1:682" s="50" customFormat="1" ht="15" customHeight="1" thickBot="1" x14ac:dyDescent="0.3">
      <c r="A8" s="30">
        <v>1000</v>
      </c>
      <c r="B8" s="102" t="s">
        <v>29</v>
      </c>
      <c r="C8" s="103" t="s">
        <v>66</v>
      </c>
      <c r="D8" s="5" t="s">
        <v>65</v>
      </c>
      <c r="E8" s="103" t="s">
        <v>49</v>
      </c>
      <c r="F8" s="5" t="s">
        <v>48</v>
      </c>
      <c r="G8" s="56">
        <v>2</v>
      </c>
      <c r="H8" s="172" t="s">
        <v>128</v>
      </c>
      <c r="I8" s="173"/>
      <c r="J8" s="265">
        <f ca="1">J9+J17+J25+J33</f>
        <v>1320</v>
      </c>
      <c r="K8" s="265">
        <f ca="1">K9+K17+K25+K33</f>
        <v>580</v>
      </c>
      <c r="L8" s="265">
        <f ca="1">L9+L17+L25+L33+I14+J14+K14+I22+J22+K22+I30+J30+K30+I38+J38+K38</f>
        <v>950</v>
      </c>
      <c r="M8" s="265">
        <f ca="1">M9+M17+M25+M33+L14+L22+L30+L38</f>
        <v>1000</v>
      </c>
      <c r="N8" s="265">
        <f ca="1">N9+N17+N25+N33+M14+M22+M30+M38</f>
        <v>1260</v>
      </c>
      <c r="O8" s="265">
        <f t="shared" ref="O8:AG8" ca="1" si="1">O9+O17+O25+O33+N14+N22+N30+N38</f>
        <v>1040</v>
      </c>
      <c r="P8" s="265">
        <f t="shared" ca="1" si="1"/>
        <v>1210</v>
      </c>
      <c r="Q8" s="265">
        <f t="shared" ca="1" si="1"/>
        <v>890</v>
      </c>
      <c r="R8" s="265">
        <f t="shared" ca="1" si="1"/>
        <v>960</v>
      </c>
      <c r="S8" s="265">
        <f t="shared" ca="1" si="1"/>
        <v>1030</v>
      </c>
      <c r="T8" s="265">
        <f t="shared" ca="1" si="1"/>
        <v>820</v>
      </c>
      <c r="U8" s="265">
        <f t="shared" ca="1" si="1"/>
        <v>1200</v>
      </c>
      <c r="V8" s="265">
        <f t="shared" ca="1" si="1"/>
        <v>930</v>
      </c>
      <c r="W8" s="265">
        <f t="shared" ca="1" si="1"/>
        <v>850</v>
      </c>
      <c r="X8" s="265">
        <f t="shared" ca="1" si="1"/>
        <v>1230</v>
      </c>
      <c r="Y8" s="265">
        <f t="shared" ca="1" si="1"/>
        <v>830</v>
      </c>
      <c r="Z8" s="265">
        <f t="shared" ca="1" si="1"/>
        <v>1140</v>
      </c>
      <c r="AA8" s="265">
        <f t="shared" ca="1" si="1"/>
        <v>1060</v>
      </c>
      <c r="AB8" s="265">
        <f t="shared" ca="1" si="1"/>
        <v>960</v>
      </c>
      <c r="AC8" s="265">
        <f t="shared" ca="1" si="1"/>
        <v>830</v>
      </c>
      <c r="AD8" s="265">
        <f t="shared" ca="1" si="1"/>
        <v>590</v>
      </c>
      <c r="AE8" s="265">
        <f t="shared" ca="1" si="1"/>
        <v>210</v>
      </c>
      <c r="AF8" s="265">
        <f t="shared" ca="1" si="1"/>
        <v>0</v>
      </c>
      <c r="AG8" s="265">
        <f t="shared" ca="1" si="1"/>
        <v>0</v>
      </c>
      <c r="AH8" s="265"/>
      <c r="AI8" s="265"/>
      <c r="AJ8" s="265"/>
      <c r="AK8" s="265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24"/>
      <c r="KO8" s="24"/>
      <c r="KP8" s="24"/>
      <c r="KQ8" s="24"/>
      <c r="KR8" s="24"/>
      <c r="KS8" s="24"/>
      <c r="KT8" s="24"/>
      <c r="KU8" s="24"/>
      <c r="KV8" s="24"/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24"/>
      <c r="MS8" s="24"/>
      <c r="MT8" s="24"/>
      <c r="MU8" s="24"/>
      <c r="MV8" s="24"/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24"/>
      <c r="NR8" s="24"/>
      <c r="NS8" s="24"/>
      <c r="NT8" s="24"/>
      <c r="NU8" s="24"/>
      <c r="NV8" s="24"/>
      <c r="NW8" s="24"/>
      <c r="NX8" s="24"/>
      <c r="NY8" s="24"/>
      <c r="NZ8" s="24"/>
      <c r="OA8" s="24"/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24"/>
      <c r="OW8" s="24"/>
      <c r="OX8" s="24"/>
      <c r="OY8" s="24"/>
      <c r="OZ8" s="24"/>
      <c r="PA8" s="24"/>
      <c r="PB8" s="24"/>
      <c r="PC8" s="24"/>
      <c r="PD8" s="24"/>
      <c r="PE8" s="24"/>
      <c r="PF8" s="24"/>
      <c r="PG8" s="24"/>
      <c r="PH8" s="24"/>
      <c r="PI8" s="24"/>
      <c r="PJ8" s="24"/>
      <c r="PK8" s="24"/>
      <c r="PL8" s="24"/>
      <c r="PM8" s="24"/>
      <c r="PN8" s="24"/>
      <c r="PO8" s="24"/>
      <c r="PP8" s="24"/>
      <c r="PQ8" s="24"/>
      <c r="PR8" s="24"/>
      <c r="PS8" s="24"/>
      <c r="PT8" s="24"/>
      <c r="PU8" s="24"/>
      <c r="PV8" s="24"/>
      <c r="PW8" s="24"/>
      <c r="PX8" s="24"/>
      <c r="PY8" s="24"/>
      <c r="PZ8" s="24"/>
      <c r="QA8" s="24"/>
      <c r="QB8" s="24"/>
      <c r="QC8" s="24"/>
      <c r="QD8" s="24"/>
      <c r="QE8" s="24"/>
      <c r="QF8" s="24"/>
      <c r="QG8" s="24"/>
      <c r="QH8" s="24"/>
      <c r="QI8" s="24"/>
      <c r="QJ8" s="24"/>
      <c r="QK8" s="24"/>
      <c r="QL8" s="24"/>
      <c r="QM8" s="24"/>
      <c r="QN8" s="24"/>
      <c r="QO8" s="24"/>
      <c r="QP8" s="24"/>
      <c r="QQ8" s="24"/>
      <c r="QR8" s="24"/>
      <c r="QS8" s="24"/>
      <c r="QT8" s="24"/>
      <c r="QU8" s="24"/>
      <c r="QV8" s="24"/>
      <c r="QW8" s="24"/>
      <c r="QX8" s="24"/>
      <c r="QY8" s="24"/>
      <c r="QZ8" s="24"/>
      <c r="RA8" s="24"/>
      <c r="RB8" s="24"/>
      <c r="RC8" s="24"/>
      <c r="RD8" s="24"/>
      <c r="RE8" s="24"/>
      <c r="RF8" s="24"/>
      <c r="RG8" s="24"/>
      <c r="RH8" s="24"/>
      <c r="RI8" s="24"/>
      <c r="RJ8" s="24"/>
      <c r="RK8" s="24"/>
      <c r="RL8" s="24"/>
      <c r="RM8" s="24"/>
      <c r="RN8" s="24"/>
      <c r="RO8" s="24"/>
      <c r="RP8" s="24"/>
      <c r="RQ8" s="24"/>
      <c r="RR8" s="24"/>
      <c r="RS8" s="24"/>
      <c r="RT8" s="24"/>
      <c r="RU8" s="24"/>
      <c r="RV8" s="24"/>
      <c r="RW8" s="24"/>
      <c r="RX8" s="24"/>
      <c r="RY8" s="24"/>
      <c r="RZ8" s="24"/>
      <c r="SA8" s="24"/>
      <c r="SB8" s="24"/>
      <c r="SC8" s="24"/>
      <c r="SD8" s="24"/>
      <c r="SE8" s="24"/>
      <c r="SF8" s="24"/>
      <c r="SG8" s="24"/>
      <c r="SH8" s="24"/>
      <c r="SI8" s="24"/>
      <c r="SJ8" s="24"/>
      <c r="SK8" s="24"/>
      <c r="SL8" s="24"/>
      <c r="SM8" s="24"/>
      <c r="SN8" s="24"/>
      <c r="SO8" s="24"/>
      <c r="SP8" s="24"/>
      <c r="SQ8" s="24"/>
      <c r="SR8" s="24"/>
      <c r="SS8" s="24"/>
      <c r="ST8" s="24"/>
      <c r="SU8" s="24"/>
      <c r="SV8" s="24"/>
      <c r="SW8" s="24"/>
      <c r="SX8" s="24"/>
      <c r="SY8" s="24"/>
      <c r="SZ8" s="24"/>
      <c r="TA8" s="24"/>
      <c r="TB8" s="24"/>
      <c r="TC8" s="24"/>
      <c r="TD8" s="24"/>
      <c r="TE8" s="24"/>
      <c r="TF8" s="24"/>
      <c r="TG8" s="24"/>
      <c r="TH8" s="24"/>
      <c r="TI8" s="24"/>
      <c r="TJ8" s="24"/>
      <c r="TK8" s="24"/>
      <c r="TL8" s="24"/>
      <c r="TM8" s="24"/>
      <c r="TN8" s="24"/>
      <c r="TO8" s="24"/>
      <c r="TP8" s="24"/>
      <c r="TQ8" s="24"/>
      <c r="TR8" s="24"/>
      <c r="TS8" s="24"/>
      <c r="TT8" s="24"/>
      <c r="TU8" s="24"/>
      <c r="TV8" s="24"/>
      <c r="TW8" s="24"/>
      <c r="TX8" s="24"/>
      <c r="TY8" s="24"/>
      <c r="TZ8" s="24"/>
      <c r="UA8" s="24"/>
      <c r="UB8" s="24"/>
      <c r="UC8" s="24"/>
      <c r="UD8" s="24"/>
      <c r="UE8" s="24"/>
      <c r="UF8" s="24"/>
      <c r="UG8" s="24"/>
      <c r="UH8" s="24"/>
      <c r="UI8" s="24"/>
      <c r="UJ8" s="24"/>
      <c r="UK8" s="24"/>
      <c r="UL8" s="24"/>
      <c r="UM8" s="24"/>
      <c r="UN8" s="24"/>
      <c r="UO8" s="24"/>
      <c r="UP8" s="24"/>
      <c r="UQ8" s="24"/>
      <c r="UR8" s="24"/>
      <c r="US8" s="24"/>
      <c r="UT8" s="24"/>
      <c r="UU8" s="24"/>
      <c r="UV8" s="24"/>
      <c r="UW8" s="24"/>
      <c r="UX8" s="24"/>
      <c r="UY8" s="24"/>
      <c r="UZ8" s="24"/>
      <c r="VA8" s="24"/>
      <c r="VB8" s="24"/>
      <c r="VC8" s="24"/>
      <c r="VD8" s="24"/>
      <c r="VE8" s="24"/>
      <c r="VF8" s="24"/>
      <c r="VG8" s="24"/>
      <c r="VH8" s="24"/>
      <c r="VI8" s="24"/>
      <c r="VJ8" s="24"/>
      <c r="VK8" s="24"/>
      <c r="VL8" s="24"/>
      <c r="VM8" s="24"/>
      <c r="VN8" s="24"/>
      <c r="VO8" s="24"/>
      <c r="VP8" s="24"/>
      <c r="VQ8" s="24"/>
      <c r="VR8" s="24"/>
      <c r="VS8" s="24"/>
      <c r="VT8" s="24"/>
      <c r="VU8" s="24"/>
      <c r="VV8" s="24"/>
      <c r="VW8" s="24"/>
      <c r="VX8" s="24"/>
      <c r="VY8" s="24"/>
      <c r="VZ8" s="24"/>
      <c r="WA8" s="24"/>
      <c r="WB8" s="24"/>
      <c r="WC8" s="24"/>
      <c r="WD8" s="24"/>
      <c r="WE8" s="24"/>
      <c r="WF8" s="24"/>
      <c r="WG8" s="24"/>
      <c r="WH8" s="24"/>
      <c r="WI8" s="24"/>
      <c r="WJ8" s="24"/>
      <c r="WK8" s="24"/>
      <c r="WL8" s="24"/>
      <c r="WM8" s="24"/>
      <c r="WN8" s="24"/>
      <c r="WO8" s="24"/>
      <c r="WP8" s="24"/>
      <c r="WQ8" s="24"/>
      <c r="WR8" s="24"/>
      <c r="WS8" s="24"/>
      <c r="WT8" s="24"/>
      <c r="WU8" s="24"/>
      <c r="WV8" s="24"/>
      <c r="WW8" s="24"/>
      <c r="WX8" s="24"/>
      <c r="WY8" s="24"/>
      <c r="WZ8" s="24"/>
      <c r="XA8" s="24"/>
      <c r="XB8" s="24"/>
      <c r="XC8" s="24"/>
      <c r="XD8" s="24"/>
      <c r="XE8" s="24"/>
      <c r="XF8" s="24"/>
      <c r="XG8" s="24"/>
      <c r="XH8" s="24"/>
      <c r="XI8" s="24"/>
      <c r="XJ8" s="24"/>
      <c r="XK8" s="24"/>
      <c r="XL8" s="24"/>
      <c r="XM8" s="24"/>
      <c r="XN8" s="24"/>
      <c r="XO8" s="24"/>
      <c r="XP8" s="24"/>
      <c r="XQ8" s="24"/>
      <c r="XR8" s="24"/>
      <c r="XS8" s="24"/>
      <c r="XT8" s="24"/>
      <c r="XU8" s="24"/>
      <c r="XV8" s="24"/>
      <c r="XW8" s="24"/>
      <c r="XX8" s="24"/>
      <c r="XY8" s="24"/>
      <c r="XZ8" s="24"/>
      <c r="YA8" s="24"/>
      <c r="YB8" s="24"/>
      <c r="YC8" s="24"/>
      <c r="YD8" s="24"/>
      <c r="YE8" s="24"/>
      <c r="YF8" s="24"/>
      <c r="YG8" s="24"/>
      <c r="YH8" s="24"/>
      <c r="YI8" s="24"/>
      <c r="YJ8" s="24"/>
      <c r="YK8" s="24"/>
      <c r="YL8" s="24"/>
      <c r="YM8" s="24"/>
      <c r="YN8" s="24"/>
      <c r="YO8" s="24"/>
      <c r="YP8" s="24"/>
      <c r="YQ8" s="24"/>
      <c r="YR8" s="24"/>
      <c r="YS8" s="24"/>
      <c r="YT8" s="24"/>
      <c r="YU8" s="24"/>
      <c r="YV8" s="24"/>
      <c r="YW8" s="24"/>
      <c r="YX8" s="24"/>
      <c r="YY8" s="24"/>
      <c r="YZ8" s="24"/>
      <c r="ZA8" s="24"/>
      <c r="ZB8" s="24"/>
      <c r="ZC8" s="24"/>
      <c r="ZD8" s="24"/>
      <c r="ZE8" s="24"/>
      <c r="ZF8" s="53"/>
    </row>
    <row r="9" spans="1:682" s="45" customFormat="1" ht="15" customHeight="1" x14ac:dyDescent="0.25">
      <c r="A9" s="30">
        <v>1000</v>
      </c>
      <c r="B9" s="102" t="s">
        <v>29</v>
      </c>
      <c r="C9" s="103" t="s">
        <v>49</v>
      </c>
      <c r="D9" s="5" t="s">
        <v>48</v>
      </c>
      <c r="E9" s="103" t="s">
        <v>66</v>
      </c>
      <c r="F9" s="5" t="s">
        <v>65</v>
      </c>
      <c r="G9" s="56">
        <v>2</v>
      </c>
      <c r="H9" s="46" t="s">
        <v>25</v>
      </c>
      <c r="I9" s="47"/>
      <c r="J9" s="48">
        <f ca="1">OFFSET(CBN_CDC!I19,0,2)</f>
        <v>550</v>
      </c>
      <c r="K9" s="48">
        <f ca="1">OFFSET(CBN_CDC!J19,0,2)</f>
        <v>220</v>
      </c>
      <c r="L9" s="48">
        <f ca="1">OFFSET(CBN_CDC!K19,0,2)</f>
        <v>310</v>
      </c>
      <c r="M9" s="48">
        <f ca="1">OFFSET(CBN_CDC!L19,0,2)</f>
        <v>410</v>
      </c>
      <c r="N9" s="48">
        <f ca="1">OFFSET(CBN_CDC!M19,0,2)</f>
        <v>440</v>
      </c>
      <c r="O9" s="48">
        <f ca="1">OFFSET(CBN_CDC!N19,0,2)</f>
        <v>350</v>
      </c>
      <c r="P9" s="48">
        <f ca="1">OFFSET(CBN_CDC!O19,0,2)</f>
        <v>540</v>
      </c>
      <c r="Q9" s="48">
        <f ca="1">OFFSET(CBN_CDC!P19,0,2)</f>
        <v>550</v>
      </c>
      <c r="R9" s="48">
        <f ca="1">OFFSET(CBN_CDC!Q19,0,2)</f>
        <v>390</v>
      </c>
      <c r="S9" s="48">
        <f ca="1">OFFSET(CBN_CDC!R19,0,2)</f>
        <v>530</v>
      </c>
      <c r="T9" s="48">
        <f ca="1">OFFSET(CBN_CDC!S19,0,2)</f>
        <v>300</v>
      </c>
      <c r="U9" s="48">
        <f ca="1">OFFSET(CBN_CDC!T19,0,2)</f>
        <v>420</v>
      </c>
      <c r="V9" s="48">
        <f ca="1">OFFSET(CBN_CDC!U19,0,2)</f>
        <v>340</v>
      </c>
      <c r="W9" s="48">
        <f ca="1">OFFSET(CBN_CDC!V19,0,2)</f>
        <v>460</v>
      </c>
      <c r="X9" s="48">
        <f ca="1">OFFSET(CBN_CDC!W19,0,2)</f>
        <v>540</v>
      </c>
      <c r="Y9" s="48">
        <f ca="1">OFFSET(CBN_CDC!X19,0,2)</f>
        <v>360</v>
      </c>
      <c r="Z9" s="48">
        <f ca="1">OFFSET(CBN_CDC!Y19,0,2)</f>
        <v>620</v>
      </c>
      <c r="AA9" s="48">
        <f ca="1">OFFSET(CBN_CDC!Z19,0,2)</f>
        <v>400</v>
      </c>
      <c r="AB9" s="48">
        <f ca="1">OFFSET(CBN_CDC!AA19,0,2)</f>
        <v>400</v>
      </c>
      <c r="AC9" s="48">
        <f ca="1">OFFSET(CBN_CDC!AB19,0,2)</f>
        <v>220</v>
      </c>
      <c r="AD9" s="48">
        <f ca="1">OFFSET(CBN_CDC!AC19,0,2)</f>
        <v>210</v>
      </c>
      <c r="AE9" s="48">
        <f ca="1">OFFSET(CBN_CDC!AD19,0,2)</f>
        <v>40</v>
      </c>
      <c r="AF9" s="48">
        <f ca="1">OFFSET(CBN_CDC!AE19,0,2)</f>
        <v>0</v>
      </c>
      <c r="AG9" s="48">
        <f ca="1">OFFSET(CBN_CDC!AF19,0,2)</f>
        <v>0</v>
      </c>
      <c r="AH9" s="241"/>
      <c r="AI9" s="241"/>
      <c r="AJ9" s="241"/>
      <c r="AK9" s="241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3"/>
      <c r="ED9" s="23"/>
      <c r="EE9" s="23"/>
      <c r="EF9" s="23"/>
      <c r="EG9" s="23"/>
      <c r="EH9" s="23"/>
      <c r="EI9" s="23"/>
      <c r="EJ9" s="23"/>
      <c r="EK9" s="23"/>
      <c r="EL9" s="23"/>
      <c r="EM9" s="23"/>
      <c r="EN9" s="23"/>
      <c r="EO9" s="23"/>
      <c r="EP9" s="23"/>
      <c r="EQ9" s="23"/>
      <c r="ER9" s="23"/>
      <c r="ES9" s="23"/>
      <c r="ET9" s="23"/>
      <c r="EU9" s="23"/>
      <c r="EV9" s="23"/>
      <c r="EW9" s="23"/>
      <c r="EX9" s="23"/>
      <c r="EY9" s="23"/>
      <c r="EZ9" s="23"/>
      <c r="FA9" s="23"/>
      <c r="FB9" s="23"/>
      <c r="FC9" s="23"/>
      <c r="FD9" s="23"/>
      <c r="FE9" s="23"/>
      <c r="FF9" s="23"/>
      <c r="FG9" s="23"/>
      <c r="FH9" s="23"/>
      <c r="FI9" s="23"/>
      <c r="FJ9" s="23"/>
      <c r="FK9" s="23"/>
      <c r="FL9" s="23"/>
      <c r="FM9" s="23"/>
      <c r="FN9" s="23"/>
      <c r="FO9" s="23"/>
      <c r="FP9" s="23"/>
      <c r="FQ9" s="23"/>
      <c r="FR9" s="23"/>
      <c r="FS9" s="23"/>
      <c r="FT9" s="23"/>
      <c r="FU9" s="23"/>
      <c r="FV9" s="23"/>
      <c r="FW9" s="23"/>
      <c r="FX9" s="23"/>
      <c r="FY9" s="23"/>
      <c r="FZ9" s="23"/>
      <c r="GA9" s="23"/>
      <c r="GB9" s="23"/>
      <c r="GC9" s="23"/>
      <c r="GD9" s="23"/>
      <c r="GE9" s="23"/>
      <c r="GF9" s="23"/>
      <c r="GG9" s="23"/>
      <c r="GH9" s="23"/>
      <c r="GI9" s="23"/>
      <c r="GJ9" s="23"/>
      <c r="GK9" s="23"/>
      <c r="GL9" s="23"/>
      <c r="GM9" s="23"/>
      <c r="GN9" s="23"/>
      <c r="GO9" s="23"/>
      <c r="GP9" s="23"/>
      <c r="GQ9" s="23"/>
      <c r="GR9" s="23"/>
      <c r="GS9" s="23"/>
      <c r="GT9" s="23"/>
      <c r="GU9" s="23"/>
      <c r="GV9" s="23"/>
      <c r="GW9" s="23"/>
      <c r="GX9" s="23"/>
      <c r="GY9" s="23"/>
      <c r="GZ9" s="23"/>
      <c r="HA9" s="23"/>
      <c r="HB9" s="23"/>
      <c r="HC9" s="23"/>
      <c r="HD9" s="23"/>
      <c r="HE9" s="23"/>
      <c r="HF9" s="23"/>
      <c r="HG9" s="23"/>
      <c r="HH9" s="23"/>
      <c r="HI9" s="23"/>
      <c r="HJ9" s="23"/>
      <c r="HK9" s="23"/>
      <c r="HL9" s="23"/>
      <c r="HM9" s="23"/>
      <c r="HN9" s="23"/>
      <c r="HO9" s="23"/>
      <c r="HP9" s="23"/>
      <c r="HQ9" s="23"/>
      <c r="HR9" s="23"/>
      <c r="HS9" s="23"/>
      <c r="HT9" s="23"/>
      <c r="HU9" s="23"/>
      <c r="HV9" s="23"/>
      <c r="HW9" s="23"/>
      <c r="HX9" s="23"/>
      <c r="HY9" s="23"/>
      <c r="HZ9" s="23"/>
      <c r="IA9" s="23"/>
      <c r="IB9" s="23"/>
      <c r="IC9" s="23"/>
      <c r="ID9" s="23"/>
      <c r="IE9" s="23"/>
      <c r="IF9" s="23"/>
      <c r="IG9" s="23"/>
      <c r="IH9" s="23"/>
      <c r="II9" s="23"/>
      <c r="IJ9" s="23"/>
      <c r="IK9" s="23"/>
      <c r="IL9" s="23"/>
      <c r="IM9" s="23"/>
      <c r="IN9" s="23"/>
      <c r="IO9" s="23"/>
      <c r="IP9" s="23"/>
      <c r="IQ9" s="23"/>
      <c r="IR9" s="23"/>
      <c r="IS9" s="23"/>
      <c r="IT9" s="23"/>
      <c r="IU9" s="23"/>
      <c r="IV9" s="23"/>
      <c r="IW9" s="23"/>
      <c r="IX9" s="23"/>
      <c r="IY9" s="23"/>
      <c r="IZ9" s="23"/>
      <c r="JA9" s="23"/>
      <c r="JB9" s="23"/>
      <c r="JC9" s="23"/>
      <c r="JD9" s="23"/>
      <c r="JE9" s="23"/>
      <c r="JF9" s="23"/>
      <c r="JG9" s="23"/>
      <c r="JH9" s="23"/>
      <c r="JI9" s="23"/>
      <c r="JJ9" s="23"/>
      <c r="JK9" s="23"/>
      <c r="JL9" s="23"/>
      <c r="JM9" s="23"/>
      <c r="JN9" s="23"/>
      <c r="JO9" s="23"/>
      <c r="JP9" s="23"/>
      <c r="JQ9" s="23"/>
      <c r="JR9" s="23"/>
      <c r="JS9" s="23"/>
      <c r="JT9" s="23"/>
      <c r="JU9" s="23"/>
      <c r="JV9" s="23"/>
      <c r="JW9" s="23"/>
      <c r="JX9" s="23"/>
      <c r="JY9" s="23"/>
      <c r="JZ9" s="23"/>
      <c r="KA9" s="23"/>
      <c r="KB9" s="23"/>
      <c r="KC9" s="23"/>
      <c r="KD9" s="23"/>
      <c r="KE9" s="23"/>
      <c r="KF9" s="23"/>
      <c r="KG9" s="23"/>
      <c r="KH9" s="23"/>
      <c r="KI9" s="23"/>
      <c r="KJ9" s="23"/>
      <c r="KK9" s="23"/>
      <c r="KL9" s="23"/>
      <c r="KM9" s="23"/>
      <c r="KN9" s="23"/>
      <c r="KO9" s="23"/>
      <c r="KP9" s="23"/>
      <c r="KQ9" s="23"/>
      <c r="KR9" s="23"/>
      <c r="KS9" s="23"/>
      <c r="KT9" s="23"/>
      <c r="KU9" s="23"/>
      <c r="KV9" s="23"/>
      <c r="KW9" s="23"/>
      <c r="KX9" s="23"/>
      <c r="KY9" s="23"/>
      <c r="KZ9" s="23"/>
      <c r="LA9" s="23"/>
      <c r="LB9" s="23"/>
      <c r="LC9" s="23"/>
      <c r="LD9" s="23"/>
      <c r="LE9" s="23"/>
      <c r="LF9" s="23"/>
      <c r="LG9" s="23"/>
      <c r="LH9" s="23"/>
      <c r="LI9" s="23"/>
      <c r="LJ9" s="23"/>
      <c r="LK9" s="23"/>
      <c r="LL9" s="23"/>
      <c r="LM9" s="23"/>
      <c r="LN9" s="23"/>
      <c r="LO9" s="23"/>
      <c r="LP9" s="23"/>
      <c r="LQ9" s="23"/>
      <c r="LR9" s="23"/>
      <c r="LS9" s="23"/>
      <c r="LT9" s="23"/>
      <c r="LU9" s="23"/>
      <c r="LV9" s="23"/>
      <c r="LW9" s="23"/>
      <c r="LX9" s="23"/>
      <c r="LY9" s="23"/>
      <c r="LZ9" s="23"/>
      <c r="MA9" s="23"/>
      <c r="MB9" s="23"/>
      <c r="MC9" s="23"/>
      <c r="MD9" s="23"/>
      <c r="ME9" s="23"/>
      <c r="MF9" s="23"/>
      <c r="MG9" s="23"/>
      <c r="MH9" s="23"/>
      <c r="MI9" s="23"/>
      <c r="MJ9" s="23"/>
      <c r="MK9" s="23"/>
      <c r="ML9" s="23"/>
      <c r="MM9" s="23"/>
      <c r="MN9" s="23"/>
      <c r="MO9" s="23"/>
      <c r="MP9" s="23"/>
      <c r="MQ9" s="23"/>
      <c r="MR9" s="23"/>
      <c r="MS9" s="23"/>
      <c r="MT9" s="23"/>
      <c r="MU9" s="23"/>
      <c r="MV9" s="23"/>
      <c r="MW9" s="23"/>
      <c r="MX9" s="23"/>
      <c r="MY9" s="23"/>
      <c r="MZ9" s="23"/>
      <c r="NA9" s="23"/>
      <c r="NB9" s="23"/>
      <c r="NC9" s="23"/>
      <c r="ND9" s="23"/>
      <c r="NE9" s="23"/>
      <c r="NF9" s="23"/>
      <c r="NG9" s="23"/>
      <c r="NH9" s="23"/>
      <c r="NI9" s="23"/>
      <c r="NJ9" s="23"/>
      <c r="NK9" s="23"/>
      <c r="NL9" s="23"/>
      <c r="NM9" s="23"/>
      <c r="NN9" s="23"/>
      <c r="NO9" s="23"/>
      <c r="NP9" s="23"/>
      <c r="NQ9" s="23"/>
      <c r="NR9" s="23"/>
      <c r="NS9" s="23"/>
      <c r="NT9" s="23"/>
      <c r="NU9" s="23"/>
      <c r="NV9" s="23"/>
      <c r="NW9" s="23"/>
      <c r="NX9" s="23"/>
      <c r="NY9" s="23"/>
      <c r="NZ9" s="23"/>
      <c r="OA9" s="23"/>
      <c r="OB9" s="23"/>
      <c r="OC9" s="23"/>
      <c r="OD9" s="23"/>
      <c r="OE9" s="23"/>
      <c r="OF9" s="23"/>
      <c r="OG9" s="23"/>
      <c r="OH9" s="23"/>
      <c r="OI9" s="23"/>
      <c r="OJ9" s="23"/>
      <c r="OK9" s="23"/>
      <c r="OL9" s="23"/>
      <c r="OM9" s="23"/>
      <c r="ON9" s="23"/>
      <c r="OO9" s="23"/>
      <c r="OP9" s="23"/>
      <c r="OQ9" s="23"/>
      <c r="OR9" s="23"/>
      <c r="OS9" s="23"/>
      <c r="OT9" s="23"/>
      <c r="OU9" s="23"/>
      <c r="OV9" s="23"/>
      <c r="OW9" s="23"/>
      <c r="OX9" s="23"/>
      <c r="OY9" s="23"/>
      <c r="OZ9" s="23"/>
      <c r="PA9" s="23"/>
      <c r="PB9" s="23"/>
      <c r="PC9" s="23"/>
      <c r="PD9" s="23"/>
      <c r="PE9" s="23"/>
      <c r="PF9" s="23"/>
      <c r="PG9" s="23"/>
      <c r="PH9" s="23"/>
      <c r="PI9" s="23"/>
      <c r="PJ9" s="23"/>
      <c r="PK9" s="23"/>
      <c r="PL9" s="23"/>
      <c r="PM9" s="23"/>
      <c r="PN9" s="23"/>
      <c r="PO9" s="23"/>
      <c r="PP9" s="23"/>
      <c r="PQ9" s="23"/>
      <c r="PR9" s="23"/>
      <c r="PS9" s="23"/>
      <c r="PT9" s="23"/>
      <c r="PU9" s="23"/>
      <c r="PV9" s="23"/>
      <c r="PW9" s="23"/>
      <c r="PX9" s="23"/>
      <c r="PY9" s="23"/>
      <c r="PZ9" s="23"/>
      <c r="QA9" s="23"/>
      <c r="QB9" s="23"/>
      <c r="QC9" s="23"/>
      <c r="QD9" s="23"/>
      <c r="QE9" s="23"/>
      <c r="QF9" s="23"/>
      <c r="QG9" s="23"/>
      <c r="QH9" s="23"/>
      <c r="QI9" s="23"/>
      <c r="QJ9" s="23"/>
      <c r="QK9" s="23"/>
      <c r="QL9" s="23"/>
      <c r="QM9" s="23"/>
      <c r="QN9" s="23"/>
      <c r="QO9" s="23"/>
      <c r="QP9" s="23"/>
      <c r="QQ9" s="23"/>
      <c r="QR9" s="23"/>
      <c r="QS9" s="23"/>
      <c r="QT9" s="23"/>
      <c r="QU9" s="23"/>
      <c r="QV9" s="23"/>
      <c r="QW9" s="23"/>
      <c r="QX9" s="23"/>
      <c r="QY9" s="23"/>
      <c r="QZ9" s="23"/>
      <c r="RA9" s="23"/>
      <c r="RB9" s="23"/>
      <c r="RC9" s="23"/>
      <c r="RD9" s="23"/>
      <c r="RE9" s="23"/>
      <c r="RF9" s="23"/>
      <c r="RG9" s="23"/>
      <c r="RH9" s="23"/>
      <c r="RI9" s="23"/>
      <c r="RJ9" s="23"/>
      <c r="RK9" s="23"/>
      <c r="RL9" s="23"/>
      <c r="RM9" s="23"/>
      <c r="RN9" s="23"/>
      <c r="RO9" s="23"/>
      <c r="RP9" s="23"/>
      <c r="RQ9" s="23"/>
      <c r="RR9" s="23"/>
      <c r="RS9" s="23"/>
      <c r="RT9" s="23"/>
      <c r="RU9" s="23"/>
      <c r="RV9" s="23"/>
      <c r="RW9" s="23"/>
      <c r="RX9" s="23"/>
      <c r="RY9" s="23"/>
      <c r="RZ9" s="23"/>
      <c r="SA9" s="23"/>
      <c r="SB9" s="23"/>
      <c r="SC9" s="23"/>
      <c r="SD9" s="23"/>
      <c r="SE9" s="23"/>
      <c r="SF9" s="23"/>
      <c r="SG9" s="23"/>
      <c r="SH9" s="23"/>
      <c r="SI9" s="23"/>
      <c r="SJ9" s="23"/>
      <c r="SK9" s="23"/>
      <c r="SL9" s="23"/>
      <c r="SM9" s="23"/>
      <c r="SN9" s="23"/>
      <c r="SO9" s="23"/>
      <c r="SP9" s="23"/>
      <c r="SQ9" s="23"/>
      <c r="SR9" s="23"/>
      <c r="SS9" s="23"/>
      <c r="ST9" s="23"/>
      <c r="SU9" s="23"/>
      <c r="SV9" s="23"/>
      <c r="SW9" s="23"/>
      <c r="SX9" s="23"/>
      <c r="SY9" s="23"/>
      <c r="SZ9" s="23"/>
      <c r="TA9" s="23"/>
      <c r="TB9" s="23"/>
      <c r="TC9" s="23"/>
      <c r="TD9" s="23"/>
      <c r="TE9" s="23"/>
      <c r="TF9" s="23"/>
      <c r="TG9" s="23"/>
      <c r="TH9" s="23"/>
      <c r="TI9" s="23"/>
      <c r="TJ9" s="23"/>
      <c r="TK9" s="23"/>
      <c r="TL9" s="23"/>
      <c r="TM9" s="23"/>
      <c r="TN9" s="23"/>
      <c r="TO9" s="23"/>
      <c r="TP9" s="23"/>
      <c r="TQ9" s="23"/>
      <c r="TR9" s="23"/>
      <c r="TS9" s="23"/>
      <c r="TT9" s="23"/>
      <c r="TU9" s="23"/>
      <c r="TV9" s="23"/>
      <c r="TW9" s="23"/>
      <c r="TX9" s="23"/>
      <c r="TY9" s="23"/>
      <c r="TZ9" s="23"/>
      <c r="UA9" s="23"/>
      <c r="UB9" s="23"/>
      <c r="UC9" s="23"/>
      <c r="UD9" s="23"/>
      <c r="UE9" s="23"/>
      <c r="UF9" s="23"/>
      <c r="UG9" s="23"/>
      <c r="UH9" s="23"/>
      <c r="UI9" s="23"/>
      <c r="UJ9" s="23"/>
      <c r="UK9" s="23"/>
      <c r="UL9" s="23"/>
      <c r="UM9" s="23"/>
      <c r="UN9" s="23"/>
      <c r="UO9" s="23"/>
      <c r="UP9" s="23"/>
      <c r="UQ9" s="23"/>
      <c r="UR9" s="23"/>
      <c r="US9" s="23"/>
      <c r="UT9" s="23"/>
      <c r="UU9" s="23"/>
      <c r="UV9" s="23"/>
      <c r="UW9" s="23"/>
      <c r="UX9" s="23"/>
      <c r="UY9" s="23"/>
      <c r="UZ9" s="23"/>
      <c r="VA9" s="23"/>
      <c r="VB9" s="23"/>
      <c r="VC9" s="23"/>
      <c r="VD9" s="23"/>
      <c r="VE9" s="23"/>
      <c r="VF9" s="23"/>
      <c r="VG9" s="23"/>
      <c r="VH9" s="23"/>
      <c r="VI9" s="23"/>
      <c r="VJ9" s="23"/>
      <c r="VK9" s="23"/>
      <c r="VL9" s="23"/>
      <c r="VM9" s="23"/>
      <c r="VN9" s="23"/>
      <c r="VO9" s="23"/>
      <c r="VP9" s="23"/>
      <c r="VQ9" s="23"/>
      <c r="VR9" s="23"/>
      <c r="VS9" s="23"/>
      <c r="VT9" s="23"/>
      <c r="VU9" s="23"/>
      <c r="VV9" s="23"/>
      <c r="VW9" s="23"/>
      <c r="VX9" s="23"/>
      <c r="VY9" s="23"/>
      <c r="VZ9" s="23"/>
      <c r="WA9" s="23"/>
      <c r="WB9" s="23"/>
      <c r="WC9" s="23"/>
      <c r="WD9" s="23"/>
      <c r="WE9" s="23"/>
      <c r="WF9" s="23"/>
      <c r="WG9" s="23"/>
      <c r="WH9" s="23"/>
      <c r="WI9" s="23"/>
      <c r="WJ9" s="23"/>
      <c r="WK9" s="23"/>
      <c r="WL9" s="23"/>
      <c r="WM9" s="23"/>
      <c r="WN9" s="23"/>
      <c r="WO9" s="23"/>
      <c r="WP9" s="23"/>
      <c r="WQ9" s="23"/>
      <c r="WR9" s="23"/>
      <c r="WS9" s="23"/>
      <c r="WT9" s="23"/>
      <c r="WU9" s="23"/>
      <c r="WV9" s="23"/>
      <c r="WW9" s="23"/>
      <c r="WX9" s="23"/>
      <c r="WY9" s="23"/>
      <c r="WZ9" s="23"/>
      <c r="XA9" s="23"/>
      <c r="XB9" s="23"/>
      <c r="XC9" s="23"/>
      <c r="XD9" s="23"/>
      <c r="XE9" s="23"/>
      <c r="XF9" s="23"/>
      <c r="XG9" s="23"/>
      <c r="XH9" s="23"/>
      <c r="XI9" s="23"/>
      <c r="XJ9" s="23"/>
      <c r="XK9" s="23"/>
      <c r="XL9" s="23"/>
      <c r="XM9" s="23"/>
      <c r="XN9" s="23"/>
      <c r="XO9" s="23"/>
      <c r="XP9" s="23"/>
      <c r="XQ9" s="23"/>
      <c r="XR9" s="23"/>
      <c r="XS9" s="23"/>
      <c r="XT9" s="23"/>
      <c r="XU9" s="23"/>
      <c r="XV9" s="23"/>
      <c r="XW9" s="23"/>
      <c r="XX9" s="23"/>
      <c r="XY9" s="23"/>
      <c r="XZ9" s="23"/>
      <c r="YA9" s="23"/>
      <c r="YB9" s="23"/>
      <c r="YC9" s="23"/>
      <c r="YD9" s="23"/>
      <c r="YE9" s="23"/>
      <c r="YF9" s="23"/>
      <c r="YG9" s="23"/>
      <c r="YH9" s="23"/>
      <c r="YI9" s="23"/>
      <c r="YJ9" s="23"/>
      <c r="YK9" s="23"/>
      <c r="YL9" s="23"/>
      <c r="YM9" s="23"/>
      <c r="YN9" s="23"/>
      <c r="YO9" s="23"/>
      <c r="YP9" s="23"/>
      <c r="YQ9" s="23"/>
      <c r="YR9" s="23"/>
      <c r="YS9" s="23"/>
      <c r="YT9" s="23"/>
      <c r="YU9" s="23"/>
      <c r="YV9" s="23"/>
      <c r="YW9" s="23"/>
      <c r="YX9" s="23"/>
      <c r="YY9" s="23"/>
      <c r="YZ9" s="23"/>
      <c r="ZA9" s="23"/>
      <c r="ZB9" s="23"/>
      <c r="ZC9" s="23"/>
      <c r="ZD9" s="23"/>
      <c r="ZE9" s="52"/>
    </row>
    <row r="10" spans="1:682" s="50" customFormat="1" ht="15" customHeight="1" x14ac:dyDescent="0.25">
      <c r="A10" s="30">
        <v>1000</v>
      </c>
      <c r="B10" s="102" t="s">
        <v>29</v>
      </c>
      <c r="C10" s="103" t="s">
        <v>66</v>
      </c>
      <c r="D10" s="5" t="s">
        <v>65</v>
      </c>
      <c r="E10" s="103" t="s">
        <v>49</v>
      </c>
      <c r="F10" s="5" t="s">
        <v>48</v>
      </c>
      <c r="G10" s="56">
        <v>2</v>
      </c>
      <c r="H10" s="46" t="s">
        <v>42</v>
      </c>
      <c r="I10" s="47"/>
      <c r="J10" s="48">
        <f ca="1">OFFSET(MJ_Initialisation!D44,0,2)</f>
        <v>550</v>
      </c>
      <c r="K10" s="48">
        <f ca="1">OFFSET(MJ_Initialisation!E44,0,2)</f>
        <v>220</v>
      </c>
      <c r="L10" s="48">
        <f ca="1">OFFSET(MJ_Initialisation!F44,0,2)</f>
        <v>310</v>
      </c>
      <c r="M10" s="48">
        <f ca="1">OFFSET(MJ_Initialisation!G44,0,2)</f>
        <v>410</v>
      </c>
      <c r="N10" s="48">
        <f ca="1">OFFSET(MJ_Initialisation!H44,0,2)</f>
        <v>440</v>
      </c>
      <c r="O10" s="48">
        <f ca="1">OFFSET(MJ_Initialisation!I44,0,2)</f>
        <v>350</v>
      </c>
      <c r="P10" s="48">
        <f ca="1">OFFSET(MJ_Initialisation!J44,0,2)</f>
        <v>540</v>
      </c>
      <c r="Q10" s="48">
        <f ca="1">OFFSET(MJ_Initialisation!K44,0,2)</f>
        <v>550</v>
      </c>
      <c r="R10" s="48">
        <f ca="1">OFFSET(MJ_Initialisation!L44,0,2)</f>
        <v>390</v>
      </c>
      <c r="S10" s="48">
        <f ca="1">OFFSET(MJ_Initialisation!M44,0,2)</f>
        <v>530</v>
      </c>
      <c r="T10" s="48">
        <f ca="1">OFFSET(MJ_Initialisation!N44,0,2)</f>
        <v>300</v>
      </c>
      <c r="U10" s="48">
        <f ca="1">OFFSET(MJ_Initialisation!O44,0,2)</f>
        <v>420</v>
      </c>
      <c r="V10" s="48">
        <f ca="1">OFFSET(MJ_Initialisation!P44,0,2)</f>
        <v>340</v>
      </c>
      <c r="W10" s="48">
        <f ca="1">OFFSET(MJ_Initialisation!Q44,0,2)</f>
        <v>460</v>
      </c>
      <c r="X10" s="48">
        <f ca="1">OFFSET(MJ_Initialisation!R44,0,2)</f>
        <v>540</v>
      </c>
      <c r="Y10" s="48">
        <f ca="1">OFFSET(MJ_Initialisation!S44,0,2)</f>
        <v>360</v>
      </c>
      <c r="Z10" s="48">
        <f ca="1">OFFSET(MJ_Initialisation!T44,0,2)</f>
        <v>620</v>
      </c>
      <c r="AA10" s="48">
        <f ca="1">OFFSET(MJ_Initialisation!U44,0,2)</f>
        <v>400</v>
      </c>
      <c r="AB10" s="48">
        <f ca="1">OFFSET(MJ_Initialisation!V44,0,2)</f>
        <v>400</v>
      </c>
      <c r="AC10" s="48">
        <f ca="1">OFFSET(MJ_Initialisation!W44,0,2)</f>
        <v>220</v>
      </c>
      <c r="AD10" s="48">
        <f ca="1">OFFSET(MJ_Initialisation!X44,0,2)</f>
        <v>210</v>
      </c>
      <c r="AE10" s="48">
        <f ca="1">OFFSET(MJ_Initialisation!Y44,0,2)</f>
        <v>40</v>
      </c>
      <c r="AF10" s="48">
        <f ca="1">OFFSET(MJ_Initialisation!Z44,0,2)</f>
        <v>0</v>
      </c>
      <c r="AG10" s="48">
        <f ca="1">OFFSET(MJ_Initialisation!AA44,0,2)</f>
        <v>0</v>
      </c>
      <c r="AH10" s="241"/>
      <c r="AI10" s="241"/>
      <c r="AJ10" s="241"/>
      <c r="AK10" s="241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/>
      <c r="FG10" s="23"/>
      <c r="FH10" s="23"/>
      <c r="FI10" s="23"/>
      <c r="FJ10" s="23"/>
      <c r="FK10" s="23"/>
      <c r="FL10" s="23"/>
      <c r="FM10" s="23"/>
      <c r="FN10" s="23"/>
      <c r="FO10" s="23"/>
      <c r="FP10" s="23"/>
      <c r="FQ10" s="23"/>
      <c r="FR10" s="23"/>
      <c r="FS10" s="23"/>
      <c r="FT10" s="23"/>
      <c r="FU10" s="23"/>
      <c r="FV10" s="23"/>
      <c r="FW10" s="23"/>
      <c r="FX10" s="23"/>
      <c r="FY10" s="23"/>
      <c r="FZ10" s="23"/>
      <c r="GA10" s="23"/>
      <c r="GB10" s="23"/>
      <c r="GC10" s="23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3"/>
      <c r="JE10" s="23"/>
      <c r="JF10" s="23"/>
      <c r="JG10" s="23"/>
      <c r="JH10" s="23"/>
      <c r="JI10" s="23"/>
      <c r="JJ10" s="23"/>
      <c r="JK10" s="23"/>
      <c r="JL10" s="23"/>
      <c r="JM10" s="23"/>
      <c r="JN10" s="23"/>
      <c r="JO10" s="23"/>
      <c r="JP10" s="23"/>
      <c r="JQ10" s="23"/>
      <c r="JR10" s="23"/>
      <c r="JS10" s="23"/>
      <c r="JT10" s="23"/>
      <c r="JU10" s="23"/>
      <c r="JV10" s="23"/>
      <c r="JW10" s="23"/>
      <c r="JX10" s="23"/>
      <c r="JY10" s="23"/>
      <c r="JZ10" s="23"/>
      <c r="KA10" s="23"/>
      <c r="KB10" s="23"/>
      <c r="KC10" s="23"/>
      <c r="KD10" s="23"/>
      <c r="KE10" s="23"/>
      <c r="KF10" s="23"/>
      <c r="KG10" s="23"/>
      <c r="KH10" s="23"/>
      <c r="KI10" s="23"/>
      <c r="KJ10" s="23"/>
      <c r="KK10" s="23"/>
      <c r="KL10" s="23"/>
      <c r="KM10" s="23"/>
      <c r="KN10" s="23"/>
      <c r="KO10" s="23"/>
      <c r="KP10" s="23"/>
      <c r="KQ10" s="23"/>
      <c r="KR10" s="23"/>
      <c r="KS10" s="23"/>
      <c r="KT10" s="23"/>
      <c r="KU10" s="23"/>
      <c r="KV10" s="23"/>
      <c r="KW10" s="23"/>
      <c r="KX10" s="23"/>
      <c r="KY10" s="23"/>
      <c r="KZ10" s="23"/>
      <c r="LA10" s="23"/>
      <c r="LB10" s="23"/>
      <c r="LC10" s="23"/>
      <c r="LD10" s="23"/>
      <c r="LE10" s="23"/>
      <c r="LF10" s="23"/>
      <c r="LG10" s="23"/>
      <c r="LH10" s="23"/>
      <c r="LI10" s="23"/>
      <c r="LJ10" s="23"/>
      <c r="LK10" s="23"/>
      <c r="LL10" s="23"/>
      <c r="LM10" s="23"/>
      <c r="LN10" s="23"/>
      <c r="LO10" s="23"/>
      <c r="LP10" s="23"/>
      <c r="LQ10" s="23"/>
      <c r="LR10" s="23"/>
      <c r="LS10" s="23"/>
      <c r="LT10" s="23"/>
      <c r="LU10" s="23"/>
      <c r="LV10" s="23"/>
      <c r="LW10" s="23"/>
      <c r="LX10" s="23"/>
      <c r="LY10" s="23"/>
      <c r="LZ10" s="23"/>
      <c r="MA10" s="23"/>
      <c r="MB10" s="23"/>
      <c r="MC10" s="23"/>
      <c r="MD10" s="23"/>
      <c r="ME10" s="23"/>
      <c r="MF10" s="23"/>
      <c r="MG10" s="23"/>
      <c r="MH10" s="23"/>
      <c r="MI10" s="23"/>
      <c r="MJ10" s="23"/>
      <c r="MK10" s="23"/>
      <c r="ML10" s="23"/>
      <c r="MM10" s="23"/>
      <c r="MN10" s="23"/>
      <c r="MO10" s="23"/>
      <c r="MP10" s="23"/>
      <c r="MQ10" s="23"/>
      <c r="MR10" s="23"/>
      <c r="MS10" s="23"/>
      <c r="MT10" s="23"/>
      <c r="MU10" s="23"/>
      <c r="MV10" s="23"/>
      <c r="MW10" s="23"/>
      <c r="MX10" s="23"/>
      <c r="MY10" s="23"/>
      <c r="MZ10" s="23"/>
      <c r="NA10" s="23"/>
      <c r="NB10" s="23"/>
      <c r="NC10" s="23"/>
      <c r="ND10" s="23"/>
      <c r="NE10" s="23"/>
      <c r="NF10" s="23"/>
      <c r="NG10" s="23"/>
      <c r="NH10" s="23"/>
      <c r="NI10" s="23"/>
      <c r="NJ10" s="23"/>
      <c r="NK10" s="23"/>
      <c r="NL10" s="23"/>
      <c r="NM10" s="23"/>
      <c r="NN10" s="23"/>
      <c r="NO10" s="23"/>
      <c r="NP10" s="23"/>
      <c r="NQ10" s="23"/>
      <c r="NR10" s="23"/>
      <c r="NS10" s="23"/>
      <c r="NT10" s="23"/>
      <c r="NU10" s="23"/>
      <c r="NV10" s="23"/>
      <c r="NW10" s="23"/>
      <c r="NX10" s="23"/>
      <c r="NY10" s="23"/>
      <c r="NZ10" s="23"/>
      <c r="OA10" s="23"/>
      <c r="OB10" s="23"/>
      <c r="OC10" s="23"/>
      <c r="OD10" s="23"/>
      <c r="OE10" s="23"/>
      <c r="OF10" s="23"/>
      <c r="OG10" s="23"/>
      <c r="OH10" s="23"/>
      <c r="OI10" s="23"/>
      <c r="OJ10" s="23"/>
      <c r="OK10" s="23"/>
      <c r="OL10" s="23"/>
      <c r="OM10" s="23"/>
      <c r="ON10" s="23"/>
      <c r="OO10" s="23"/>
      <c r="OP10" s="23"/>
      <c r="OQ10" s="23"/>
      <c r="OR10" s="23"/>
      <c r="OS10" s="23"/>
      <c r="OT10" s="23"/>
      <c r="OU10" s="23"/>
      <c r="OV10" s="23"/>
      <c r="OW10" s="23"/>
      <c r="OX10" s="23"/>
      <c r="OY10" s="23"/>
      <c r="OZ10" s="23"/>
      <c r="PA10" s="23"/>
      <c r="PB10" s="23"/>
      <c r="PC10" s="23"/>
      <c r="PD10" s="23"/>
      <c r="PE10" s="23"/>
      <c r="PF10" s="23"/>
      <c r="PG10" s="23"/>
      <c r="PH10" s="23"/>
      <c r="PI10" s="23"/>
      <c r="PJ10" s="23"/>
      <c r="PK10" s="23"/>
      <c r="PL10" s="23"/>
      <c r="PM10" s="23"/>
      <c r="PN10" s="23"/>
      <c r="PO10" s="23"/>
      <c r="PP10" s="23"/>
      <c r="PQ10" s="23"/>
      <c r="PR10" s="23"/>
      <c r="PS10" s="23"/>
      <c r="PT10" s="23"/>
      <c r="PU10" s="23"/>
      <c r="PV10" s="23"/>
      <c r="PW10" s="23"/>
      <c r="PX10" s="23"/>
      <c r="PY10" s="23"/>
      <c r="PZ10" s="23"/>
      <c r="QA10" s="23"/>
      <c r="QB10" s="23"/>
      <c r="QC10" s="23"/>
      <c r="QD10" s="23"/>
      <c r="QE10" s="23"/>
      <c r="QF10" s="23"/>
      <c r="QG10" s="23"/>
      <c r="QH10" s="23"/>
      <c r="QI10" s="23"/>
      <c r="QJ10" s="23"/>
      <c r="QK10" s="23"/>
      <c r="QL10" s="23"/>
      <c r="QM10" s="23"/>
      <c r="QN10" s="23"/>
      <c r="QO10" s="23"/>
      <c r="QP10" s="23"/>
      <c r="QQ10" s="23"/>
      <c r="QR10" s="23"/>
      <c r="QS10" s="23"/>
      <c r="QT10" s="23"/>
      <c r="QU10" s="23"/>
      <c r="QV10" s="23"/>
      <c r="QW10" s="23"/>
      <c r="QX10" s="23"/>
      <c r="QY10" s="23"/>
      <c r="QZ10" s="23"/>
      <c r="RA10" s="23"/>
      <c r="RB10" s="23"/>
      <c r="RC10" s="23"/>
      <c r="RD10" s="23"/>
      <c r="RE10" s="23"/>
      <c r="RF10" s="23"/>
      <c r="RG10" s="23"/>
      <c r="RH10" s="23"/>
      <c r="RI10" s="23"/>
      <c r="RJ10" s="23"/>
      <c r="RK10" s="23"/>
      <c r="RL10" s="23"/>
      <c r="RM10" s="23"/>
      <c r="RN10" s="23"/>
      <c r="RO10" s="23"/>
      <c r="RP10" s="23"/>
      <c r="RQ10" s="23"/>
      <c r="RR10" s="23"/>
      <c r="RS10" s="23"/>
      <c r="RT10" s="23"/>
      <c r="RU10" s="23"/>
      <c r="RV10" s="23"/>
      <c r="RW10" s="23"/>
      <c r="RX10" s="23"/>
      <c r="RY10" s="23"/>
      <c r="RZ10" s="23"/>
      <c r="SA10" s="23"/>
      <c r="SB10" s="23"/>
      <c r="SC10" s="23"/>
      <c r="SD10" s="23"/>
      <c r="SE10" s="23"/>
      <c r="SF10" s="23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  <c r="SR10" s="23"/>
      <c r="SS10" s="23"/>
      <c r="ST10" s="23"/>
      <c r="SU10" s="23"/>
      <c r="SV10" s="23"/>
      <c r="SW10" s="23"/>
      <c r="SX10" s="23"/>
      <c r="SY10" s="23"/>
      <c r="SZ10" s="23"/>
      <c r="TA10" s="23"/>
      <c r="TB10" s="23"/>
      <c r="TC10" s="23"/>
      <c r="TD10" s="23"/>
      <c r="TE10" s="23"/>
      <c r="TF10" s="23"/>
      <c r="TG10" s="23"/>
      <c r="TH10" s="23"/>
      <c r="TI10" s="23"/>
      <c r="TJ10" s="23"/>
      <c r="TK10" s="23"/>
      <c r="TL10" s="23"/>
      <c r="TM10" s="23"/>
      <c r="TN10" s="23"/>
      <c r="TO10" s="23"/>
      <c r="TP10" s="23"/>
      <c r="TQ10" s="23"/>
      <c r="TR10" s="23"/>
      <c r="TS10" s="23"/>
      <c r="TT10" s="23"/>
      <c r="TU10" s="23"/>
      <c r="TV10" s="23"/>
      <c r="TW10" s="23"/>
      <c r="TX10" s="23"/>
      <c r="TY10" s="23"/>
      <c r="TZ10" s="23"/>
      <c r="UA10" s="23"/>
      <c r="UB10" s="23"/>
      <c r="UC10" s="23"/>
      <c r="UD10" s="23"/>
      <c r="UE10" s="23"/>
      <c r="UF10" s="23"/>
      <c r="UG10" s="23"/>
      <c r="UH10" s="23"/>
      <c r="UI10" s="23"/>
      <c r="UJ10" s="23"/>
      <c r="UK10" s="23"/>
      <c r="UL10" s="23"/>
      <c r="UM10" s="23"/>
      <c r="UN10" s="23"/>
      <c r="UO10" s="23"/>
      <c r="UP10" s="23"/>
      <c r="UQ10" s="23"/>
      <c r="UR10" s="23"/>
      <c r="US10" s="23"/>
      <c r="UT10" s="23"/>
      <c r="UU10" s="23"/>
      <c r="UV10" s="23"/>
      <c r="UW10" s="23"/>
      <c r="UX10" s="23"/>
      <c r="UY10" s="23"/>
      <c r="UZ10" s="23"/>
      <c r="VA10" s="23"/>
      <c r="VB10" s="23"/>
      <c r="VC10" s="23"/>
      <c r="VD10" s="23"/>
      <c r="VE10" s="23"/>
      <c r="VF10" s="23"/>
      <c r="VG10" s="23"/>
      <c r="VH10" s="23"/>
      <c r="VI10" s="23"/>
      <c r="VJ10" s="23"/>
      <c r="VK10" s="23"/>
      <c r="VL10" s="23"/>
      <c r="VM10" s="23"/>
      <c r="VN10" s="23"/>
      <c r="VO10" s="23"/>
      <c r="VP10" s="23"/>
      <c r="VQ10" s="23"/>
      <c r="VR10" s="23"/>
      <c r="VS10" s="23"/>
      <c r="VT10" s="23"/>
      <c r="VU10" s="23"/>
      <c r="VV10" s="23"/>
      <c r="VW10" s="23"/>
      <c r="VX10" s="23"/>
      <c r="VY10" s="23"/>
      <c r="VZ10" s="23"/>
      <c r="WA10" s="23"/>
      <c r="WB10" s="23"/>
      <c r="WC10" s="23"/>
      <c r="WD10" s="23"/>
      <c r="WE10" s="23"/>
      <c r="WF10" s="23"/>
      <c r="WG10" s="23"/>
      <c r="WH10" s="23"/>
      <c r="WI10" s="23"/>
      <c r="WJ10" s="23"/>
      <c r="WK10" s="23"/>
      <c r="WL10" s="23"/>
      <c r="WM10" s="23"/>
      <c r="WN10" s="23"/>
      <c r="WO10" s="23"/>
      <c r="WP10" s="23"/>
      <c r="WQ10" s="23"/>
      <c r="WR10" s="23"/>
      <c r="WS10" s="23"/>
      <c r="WT10" s="23"/>
      <c r="WU10" s="23"/>
      <c r="WV10" s="23"/>
      <c r="WW10" s="23"/>
      <c r="WX10" s="23"/>
      <c r="WY10" s="23"/>
      <c r="WZ10" s="23"/>
      <c r="XA10" s="23"/>
      <c r="XB10" s="23"/>
      <c r="XC10" s="23"/>
      <c r="XD10" s="23"/>
      <c r="XE10" s="23"/>
      <c r="XF10" s="23"/>
      <c r="XG10" s="23"/>
      <c r="XH10" s="23"/>
      <c r="XI10" s="23"/>
      <c r="XJ10" s="23"/>
      <c r="XK10" s="23"/>
      <c r="XL10" s="23"/>
      <c r="XM10" s="23"/>
      <c r="XN10" s="23"/>
      <c r="XO10" s="23"/>
      <c r="XP10" s="23"/>
      <c r="XQ10" s="23"/>
      <c r="XR10" s="23"/>
      <c r="XS10" s="23"/>
      <c r="XT10" s="23"/>
      <c r="XU10" s="23"/>
      <c r="XV10" s="23"/>
      <c r="XW10" s="23"/>
      <c r="XX10" s="23"/>
      <c r="XY10" s="23"/>
      <c r="XZ10" s="23"/>
      <c r="YA10" s="23"/>
      <c r="YB10" s="23"/>
      <c r="YC10" s="23"/>
      <c r="YD10" s="23"/>
      <c r="YE10" s="23"/>
      <c r="YF10" s="23"/>
      <c r="YG10" s="23"/>
      <c r="YH10" s="23"/>
      <c r="YI10" s="23"/>
      <c r="YJ10" s="23"/>
      <c r="YK10" s="23"/>
      <c r="YL10" s="23"/>
      <c r="YM10" s="23"/>
      <c r="YN10" s="23"/>
      <c r="YO10" s="23"/>
      <c r="YP10" s="23"/>
      <c r="YQ10" s="23"/>
      <c r="YR10" s="23"/>
      <c r="YS10" s="23"/>
      <c r="YT10" s="23"/>
      <c r="YU10" s="23"/>
      <c r="YV10" s="23"/>
      <c r="YW10" s="23"/>
      <c r="YX10" s="23"/>
      <c r="YY10" s="23"/>
      <c r="YZ10" s="23"/>
      <c r="ZA10" s="23"/>
      <c r="ZB10" s="23"/>
      <c r="ZC10" s="23"/>
      <c r="ZD10" s="23"/>
      <c r="ZE10" s="23"/>
      <c r="ZF10" s="53"/>
    </row>
    <row r="11" spans="1:682" s="5" customFormat="1" ht="15" customHeight="1" x14ac:dyDescent="0.25">
      <c r="A11" s="30">
        <v>1000</v>
      </c>
      <c r="B11" s="102" t="s">
        <v>29</v>
      </c>
      <c r="C11" s="103" t="s">
        <v>66</v>
      </c>
      <c r="D11" s="5" t="s">
        <v>65</v>
      </c>
      <c r="E11" s="103" t="s">
        <v>49</v>
      </c>
      <c r="F11" s="5" t="s">
        <v>48</v>
      </c>
      <c r="G11" s="56">
        <v>2</v>
      </c>
      <c r="H11" s="46" t="s">
        <v>43</v>
      </c>
      <c r="I11" s="47"/>
      <c r="J11" s="48">
        <f ca="1">OFFSET(MJ_Initialisation!D45,0,2)</f>
        <v>0</v>
      </c>
      <c r="K11" s="48">
        <f ca="1">OFFSET(MJ_Initialisation!E45,0,2)</f>
        <v>0</v>
      </c>
      <c r="L11" s="48">
        <f ca="1">OFFSET(MJ_Initialisation!F45,0,2)</f>
        <v>0</v>
      </c>
      <c r="M11" s="48">
        <f ca="1">OFFSET(MJ_Initialisation!G45,0,2)</f>
        <v>0</v>
      </c>
      <c r="N11" s="48">
        <f ca="1">OFFSET(MJ_Initialisation!H45,0,2)</f>
        <v>0</v>
      </c>
      <c r="O11" s="48">
        <f ca="1">OFFSET(MJ_Initialisation!I45,0,2)</f>
        <v>0</v>
      </c>
      <c r="P11" s="48">
        <f ca="1">OFFSET(MJ_Initialisation!J45,0,2)</f>
        <v>0</v>
      </c>
      <c r="Q11" s="48">
        <f ca="1">OFFSET(MJ_Initialisation!K45,0,2)</f>
        <v>0</v>
      </c>
      <c r="R11" s="48">
        <f ca="1">OFFSET(MJ_Initialisation!L45,0,2)</f>
        <v>0</v>
      </c>
      <c r="S11" s="48">
        <f ca="1">OFFSET(MJ_Initialisation!M45,0,2)</f>
        <v>0</v>
      </c>
      <c r="T11" s="48">
        <f ca="1">OFFSET(MJ_Initialisation!N45,0,2)</f>
        <v>0</v>
      </c>
      <c r="U11" s="48">
        <f ca="1">OFFSET(MJ_Initialisation!O45,0,2)</f>
        <v>0</v>
      </c>
      <c r="V11" s="48">
        <f ca="1">OFFSET(MJ_Initialisation!P45,0,2)</f>
        <v>0</v>
      </c>
      <c r="W11" s="48">
        <f ca="1">OFFSET(MJ_Initialisation!Q45,0,2)</f>
        <v>0</v>
      </c>
      <c r="X11" s="48">
        <f ca="1">OFFSET(MJ_Initialisation!R45,0,2)</f>
        <v>0</v>
      </c>
      <c r="Y11" s="48">
        <f ca="1">OFFSET(MJ_Initialisation!S45,0,2)</f>
        <v>0</v>
      </c>
      <c r="Z11" s="48">
        <f ca="1">OFFSET(MJ_Initialisation!T45,0,2)</f>
        <v>0</v>
      </c>
      <c r="AA11" s="48">
        <f ca="1">OFFSET(MJ_Initialisation!U45,0,2)</f>
        <v>0</v>
      </c>
      <c r="AB11" s="48">
        <f ca="1">OFFSET(MJ_Initialisation!V45,0,2)</f>
        <v>0</v>
      </c>
      <c r="AC11" s="48">
        <f ca="1">OFFSET(MJ_Initialisation!W45,0,2)</f>
        <v>0</v>
      </c>
      <c r="AD11" s="48">
        <f ca="1">OFFSET(MJ_Initialisation!X45,0,2)</f>
        <v>0</v>
      </c>
      <c r="AE11" s="48">
        <f ca="1">OFFSET(MJ_Initialisation!Y45,0,2)</f>
        <v>0</v>
      </c>
      <c r="AF11" s="48">
        <f ca="1">OFFSET(MJ_Initialisation!Z45,0,2)</f>
        <v>0</v>
      </c>
      <c r="AG11" s="48">
        <f ca="1">OFFSET(MJ_Initialisation!AA45,0,2)</f>
        <v>0</v>
      </c>
      <c r="AH11" s="241"/>
      <c r="AI11" s="241"/>
      <c r="AJ11" s="241"/>
      <c r="AK11" s="241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/>
      <c r="FM11" s="23"/>
      <c r="FN11" s="23"/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3"/>
      <c r="JE11" s="23"/>
      <c r="JF11" s="23"/>
      <c r="JG11" s="23"/>
      <c r="JH11" s="23"/>
      <c r="JI11" s="23"/>
      <c r="JJ11" s="23"/>
      <c r="JK11" s="23"/>
      <c r="JL11" s="23"/>
      <c r="JM11" s="23"/>
      <c r="JN11" s="23"/>
      <c r="JO11" s="23"/>
      <c r="JP11" s="23"/>
      <c r="JQ11" s="23"/>
      <c r="JR11" s="23"/>
      <c r="JS11" s="23"/>
      <c r="JT11" s="23"/>
      <c r="JU11" s="23"/>
      <c r="JV11" s="23"/>
      <c r="JW11" s="23"/>
      <c r="JX11" s="23"/>
      <c r="JY11" s="23"/>
      <c r="JZ11" s="23"/>
      <c r="KA11" s="23"/>
      <c r="KB11" s="23"/>
      <c r="KC11" s="23"/>
      <c r="KD11" s="23"/>
      <c r="KE11" s="23"/>
      <c r="KF11" s="23"/>
      <c r="KG11" s="23"/>
      <c r="KH11" s="23"/>
      <c r="KI11" s="23"/>
      <c r="KJ11" s="23"/>
      <c r="KK11" s="23"/>
      <c r="KL11" s="23"/>
      <c r="KM11" s="23"/>
      <c r="KN11" s="23"/>
      <c r="KO11" s="23"/>
      <c r="KP11" s="23"/>
      <c r="KQ11" s="23"/>
      <c r="KR11" s="23"/>
      <c r="KS11" s="23"/>
      <c r="KT11" s="23"/>
      <c r="KU11" s="23"/>
      <c r="KV11" s="23"/>
      <c r="KW11" s="23"/>
      <c r="KX11" s="23"/>
      <c r="KY11" s="23"/>
      <c r="KZ11" s="23"/>
      <c r="LA11" s="23"/>
      <c r="LB11" s="23"/>
      <c r="LC11" s="23"/>
      <c r="LD11" s="23"/>
      <c r="LE11" s="23"/>
      <c r="LF11" s="23"/>
      <c r="LG11" s="23"/>
      <c r="LH11" s="23"/>
      <c r="LI11" s="23"/>
      <c r="LJ11" s="23"/>
      <c r="LK11" s="23"/>
      <c r="LL11" s="23"/>
      <c r="LM11" s="23"/>
      <c r="LN11" s="23"/>
      <c r="LO11" s="23"/>
      <c r="LP11" s="23"/>
      <c r="LQ11" s="23"/>
      <c r="LR11" s="23"/>
      <c r="LS11" s="23"/>
      <c r="LT11" s="23"/>
      <c r="LU11" s="23"/>
      <c r="LV11" s="23"/>
      <c r="LW11" s="23"/>
      <c r="LX11" s="23"/>
      <c r="LY11" s="23"/>
      <c r="LZ11" s="23"/>
      <c r="MA11" s="23"/>
      <c r="MB11" s="23"/>
      <c r="MC11" s="23"/>
      <c r="MD11" s="23"/>
      <c r="ME11" s="23"/>
      <c r="MF11" s="23"/>
      <c r="MG11" s="23"/>
      <c r="MH11" s="23"/>
      <c r="MI11" s="23"/>
      <c r="MJ11" s="23"/>
      <c r="MK11" s="23"/>
      <c r="ML11" s="23"/>
      <c r="MM11" s="23"/>
      <c r="MN11" s="23"/>
      <c r="MO11" s="23"/>
      <c r="MP11" s="23"/>
      <c r="MQ11" s="23"/>
      <c r="MR11" s="23"/>
      <c r="MS11" s="23"/>
      <c r="MT11" s="23"/>
      <c r="MU11" s="23"/>
      <c r="MV11" s="23"/>
      <c r="MW11" s="23"/>
      <c r="MX11" s="23"/>
      <c r="MY11" s="23"/>
      <c r="MZ11" s="23"/>
      <c r="NA11" s="23"/>
      <c r="NB11" s="23"/>
      <c r="NC11" s="23"/>
      <c r="ND11" s="23"/>
      <c r="NE11" s="23"/>
      <c r="NF11" s="23"/>
      <c r="NG11" s="23"/>
      <c r="NH11" s="23"/>
      <c r="NI11" s="23"/>
      <c r="NJ11" s="23"/>
      <c r="NK11" s="23"/>
      <c r="NL11" s="23"/>
      <c r="NM11" s="23"/>
      <c r="NN11" s="23"/>
      <c r="NO11" s="23"/>
      <c r="NP11" s="23"/>
      <c r="NQ11" s="23"/>
      <c r="NR11" s="23"/>
      <c r="NS11" s="23"/>
      <c r="NT11" s="23"/>
      <c r="NU11" s="23"/>
      <c r="NV11" s="23"/>
      <c r="NW11" s="23"/>
      <c r="NX11" s="23"/>
      <c r="NY11" s="23"/>
      <c r="NZ11" s="23"/>
      <c r="OA11" s="23"/>
      <c r="OB11" s="23"/>
      <c r="OC11" s="23"/>
      <c r="OD11" s="23"/>
      <c r="OE11" s="23"/>
      <c r="OF11" s="23"/>
      <c r="OG11" s="23"/>
      <c r="OH11" s="23"/>
      <c r="OI11" s="23"/>
      <c r="OJ11" s="23"/>
      <c r="OK11" s="23"/>
      <c r="OL11" s="23"/>
      <c r="OM11" s="23"/>
      <c r="ON11" s="23"/>
      <c r="OO11" s="23"/>
      <c r="OP11" s="23"/>
      <c r="OQ11" s="23"/>
      <c r="OR11" s="23"/>
      <c r="OS11" s="23"/>
      <c r="OT11" s="23"/>
      <c r="OU11" s="23"/>
      <c r="OV11" s="23"/>
      <c r="OW11" s="23"/>
      <c r="OX11" s="23"/>
      <c r="OY11" s="23"/>
      <c r="OZ11" s="23"/>
      <c r="PA11" s="23"/>
      <c r="PB11" s="23"/>
      <c r="PC11" s="23"/>
      <c r="PD11" s="23"/>
      <c r="PE11" s="23"/>
      <c r="PF11" s="23"/>
      <c r="PG11" s="23"/>
      <c r="PH11" s="23"/>
      <c r="PI11" s="23"/>
      <c r="PJ11" s="23"/>
      <c r="PK11" s="23"/>
      <c r="PL11" s="23"/>
      <c r="PM11" s="23"/>
      <c r="PN11" s="23"/>
      <c r="PO11" s="23"/>
      <c r="PP11" s="23"/>
      <c r="PQ11" s="23"/>
      <c r="PR11" s="23"/>
      <c r="PS11" s="23"/>
      <c r="PT11" s="23"/>
      <c r="PU11" s="23"/>
      <c r="PV11" s="23"/>
      <c r="PW11" s="23"/>
      <c r="PX11" s="23"/>
      <c r="PY11" s="23"/>
      <c r="PZ11" s="23"/>
      <c r="QA11" s="23"/>
      <c r="QB11" s="23"/>
      <c r="QC11" s="23"/>
      <c r="QD11" s="23"/>
      <c r="QE11" s="23"/>
      <c r="QF11" s="23"/>
      <c r="QG11" s="23"/>
      <c r="QH11" s="23"/>
      <c r="QI11" s="23"/>
      <c r="QJ11" s="23"/>
      <c r="QK11" s="23"/>
      <c r="QL11" s="23"/>
      <c r="QM11" s="23"/>
      <c r="QN11" s="23"/>
      <c r="QO11" s="23"/>
      <c r="QP11" s="23"/>
      <c r="QQ11" s="23"/>
      <c r="QR11" s="23"/>
      <c r="QS11" s="23"/>
      <c r="QT11" s="23"/>
      <c r="QU11" s="23"/>
      <c r="QV11" s="23"/>
      <c r="QW11" s="23"/>
      <c r="QX11" s="23"/>
      <c r="QY11" s="23"/>
      <c r="QZ11" s="23"/>
      <c r="RA11" s="23"/>
      <c r="RB11" s="23"/>
      <c r="RC11" s="23"/>
      <c r="RD11" s="23"/>
      <c r="RE11" s="23"/>
      <c r="RF11" s="23"/>
      <c r="RG11" s="23"/>
      <c r="RH11" s="23"/>
      <c r="RI11" s="23"/>
      <c r="RJ11" s="23"/>
      <c r="RK11" s="23"/>
      <c r="RL11" s="23"/>
      <c r="RM11" s="23"/>
      <c r="RN11" s="23"/>
      <c r="RO11" s="23"/>
      <c r="RP11" s="23"/>
      <c r="RQ11" s="23"/>
      <c r="RR11" s="23"/>
      <c r="RS11" s="23"/>
      <c r="RT11" s="23"/>
      <c r="RU11" s="23"/>
      <c r="RV11" s="23"/>
      <c r="RW11" s="23"/>
      <c r="RX11" s="23"/>
      <c r="RY11" s="23"/>
      <c r="RZ11" s="23"/>
      <c r="SA11" s="23"/>
      <c r="SB11" s="23"/>
      <c r="SC11" s="23"/>
      <c r="SD11" s="23"/>
      <c r="SE11" s="23"/>
      <c r="SF11" s="23"/>
      <c r="SG11" s="23"/>
      <c r="SH11" s="23"/>
      <c r="SI11" s="23"/>
      <c r="SJ11" s="23"/>
      <c r="SK11" s="23"/>
      <c r="SL11" s="23"/>
      <c r="SM11" s="23"/>
      <c r="SN11" s="23"/>
      <c r="SO11" s="23"/>
      <c r="SP11" s="23"/>
      <c r="SQ11" s="23"/>
      <c r="SR11" s="23"/>
      <c r="SS11" s="23"/>
      <c r="ST11" s="23"/>
      <c r="SU11" s="23"/>
      <c r="SV11" s="23"/>
      <c r="SW11" s="23"/>
      <c r="SX11" s="23"/>
      <c r="SY11" s="23"/>
      <c r="SZ11" s="23"/>
      <c r="TA11" s="23"/>
      <c r="TB11" s="23"/>
      <c r="TC11" s="23"/>
      <c r="TD11" s="23"/>
      <c r="TE11" s="23"/>
      <c r="TF11" s="23"/>
      <c r="TG11" s="23"/>
      <c r="TH11" s="23"/>
      <c r="TI11" s="23"/>
      <c r="TJ11" s="23"/>
      <c r="TK11" s="23"/>
      <c r="TL11" s="23"/>
      <c r="TM11" s="23"/>
      <c r="TN11" s="23"/>
      <c r="TO11" s="23"/>
      <c r="TP11" s="23"/>
      <c r="TQ11" s="23"/>
      <c r="TR11" s="23"/>
      <c r="TS11" s="23"/>
      <c r="TT11" s="23"/>
      <c r="TU11" s="23"/>
      <c r="TV11" s="23"/>
      <c r="TW11" s="23"/>
      <c r="TX11" s="23"/>
      <c r="TY11" s="23"/>
      <c r="TZ11" s="23"/>
      <c r="UA11" s="23"/>
      <c r="UB11" s="23"/>
      <c r="UC11" s="23"/>
      <c r="UD11" s="23"/>
      <c r="UE11" s="23"/>
      <c r="UF11" s="23"/>
      <c r="UG11" s="23"/>
      <c r="UH11" s="23"/>
      <c r="UI11" s="23"/>
      <c r="UJ11" s="23"/>
      <c r="UK11" s="23"/>
      <c r="UL11" s="23"/>
      <c r="UM11" s="23"/>
      <c r="UN11" s="23"/>
      <c r="UO11" s="23"/>
      <c r="UP11" s="23"/>
      <c r="UQ11" s="23"/>
      <c r="UR11" s="23"/>
      <c r="US11" s="23"/>
      <c r="UT11" s="23"/>
      <c r="UU11" s="23"/>
      <c r="UV11" s="23"/>
      <c r="UW11" s="23"/>
      <c r="UX11" s="23"/>
      <c r="UY11" s="23"/>
      <c r="UZ11" s="23"/>
      <c r="VA11" s="23"/>
      <c r="VB11" s="23"/>
      <c r="VC11" s="23"/>
      <c r="VD11" s="23"/>
      <c r="VE11" s="23"/>
      <c r="VF11" s="23"/>
      <c r="VG11" s="23"/>
      <c r="VH11" s="23"/>
      <c r="VI11" s="23"/>
      <c r="VJ11" s="23"/>
      <c r="VK11" s="23"/>
      <c r="VL11" s="23"/>
      <c r="VM11" s="23"/>
      <c r="VN11" s="23"/>
      <c r="VO11" s="23"/>
      <c r="VP11" s="23"/>
      <c r="VQ11" s="23"/>
      <c r="VR11" s="23"/>
      <c r="VS11" s="23"/>
      <c r="VT11" s="23"/>
      <c r="VU11" s="23"/>
      <c r="VV11" s="23"/>
      <c r="VW11" s="23"/>
      <c r="VX11" s="23"/>
      <c r="VY11" s="23"/>
      <c r="VZ11" s="23"/>
      <c r="WA11" s="23"/>
      <c r="WB11" s="23"/>
      <c r="WC11" s="23"/>
      <c r="WD11" s="23"/>
      <c r="WE11" s="23"/>
      <c r="WF11" s="23"/>
      <c r="WG11" s="23"/>
      <c r="WH11" s="23"/>
      <c r="WI11" s="23"/>
      <c r="WJ11" s="23"/>
      <c r="WK11" s="23"/>
      <c r="WL11" s="23"/>
      <c r="WM11" s="23"/>
      <c r="WN11" s="23"/>
      <c r="WO11" s="23"/>
      <c r="WP11" s="23"/>
      <c r="WQ11" s="23"/>
      <c r="WR11" s="23"/>
      <c r="WS11" s="23"/>
      <c r="WT11" s="23"/>
      <c r="WU11" s="23"/>
      <c r="WV11" s="23"/>
      <c r="WW11" s="23"/>
      <c r="WX11" s="23"/>
      <c r="WY11" s="23"/>
      <c r="WZ11" s="23"/>
      <c r="XA11" s="23"/>
      <c r="XB11" s="23"/>
      <c r="XC11" s="23"/>
      <c r="XD11" s="23"/>
      <c r="XE11" s="23"/>
      <c r="XF11" s="23"/>
      <c r="XG11" s="23"/>
      <c r="XH11" s="23"/>
      <c r="XI11" s="23"/>
      <c r="XJ11" s="23"/>
      <c r="XK11" s="23"/>
      <c r="XL11" s="23"/>
      <c r="XM11" s="23"/>
      <c r="XN11" s="23"/>
      <c r="XO11" s="23"/>
      <c r="XP11" s="23"/>
      <c r="XQ11" s="23"/>
      <c r="XR11" s="23"/>
      <c r="XS11" s="23"/>
      <c r="XT11" s="23"/>
      <c r="XU11" s="23"/>
      <c r="XV11" s="23"/>
      <c r="XW11" s="23"/>
      <c r="XX11" s="23"/>
      <c r="XY11" s="23"/>
      <c r="XZ11" s="23"/>
      <c r="YA11" s="23"/>
      <c r="YB11" s="23"/>
      <c r="YC11" s="23"/>
      <c r="YD11" s="23"/>
      <c r="YE11" s="23"/>
      <c r="YF11" s="23"/>
      <c r="YG11" s="23"/>
      <c r="YH11" s="23"/>
      <c r="YI11" s="23"/>
      <c r="YJ11" s="23"/>
      <c r="YK11" s="23"/>
      <c r="YL11" s="23"/>
      <c r="YM11" s="23"/>
      <c r="YN11" s="23"/>
      <c r="YO11" s="23"/>
      <c r="YP11" s="23"/>
      <c r="YQ11" s="23"/>
      <c r="YR11" s="23"/>
      <c r="YS11" s="23"/>
      <c r="YT11" s="23"/>
      <c r="YU11" s="23"/>
      <c r="YV11" s="23"/>
      <c r="YW11" s="23"/>
      <c r="YX11" s="23"/>
      <c r="YY11" s="23"/>
      <c r="YZ11" s="23"/>
      <c r="ZA11" s="23"/>
      <c r="ZB11" s="23"/>
      <c r="ZC11" s="23"/>
      <c r="ZD11" s="23"/>
      <c r="ZE11" s="33"/>
    </row>
    <row r="12" spans="1:682" s="50" customFormat="1" ht="15" customHeight="1" x14ac:dyDescent="0.25">
      <c r="A12" s="30">
        <v>1000</v>
      </c>
      <c r="B12" s="102" t="s">
        <v>29</v>
      </c>
      <c r="C12" s="103" t="s">
        <v>66</v>
      </c>
      <c r="D12" s="5" t="s">
        <v>65</v>
      </c>
      <c r="E12" s="103" t="s">
        <v>49</v>
      </c>
      <c r="F12" s="5" t="s">
        <v>48</v>
      </c>
      <c r="G12" s="56">
        <v>2</v>
      </c>
      <c r="H12" s="106" t="s">
        <v>47</v>
      </c>
      <c r="I12" s="47"/>
      <c r="J12" s="97">
        <f ca="1">J10</f>
        <v>550</v>
      </c>
      <c r="K12" s="97">
        <f ca="1">K10</f>
        <v>220</v>
      </c>
      <c r="L12" s="87">
        <f ca="1">ROUNDDOWN(IF(L$8&gt;L$5, MIN( ((L9+K14)/L$8)*L$5, MAX(L9+K14,L10)), MAX(L9+K14,L10)),0)</f>
        <v>310</v>
      </c>
      <c r="M12" s="246">
        <f t="shared" ref="M12:AG12" ca="1" si="2">ROUNDDOWN(IF(M$8&gt;M$5, MIN( ((M9+L14)/M$8)*M$5, MAX(M9+L14,M10)), MAX(M9+L14,M10)),0)</f>
        <v>410</v>
      </c>
      <c r="N12" s="246">
        <f t="shared" ca="1" si="2"/>
        <v>440</v>
      </c>
      <c r="O12" s="246">
        <f t="shared" ca="1" si="2"/>
        <v>350</v>
      </c>
      <c r="P12" s="246">
        <f t="shared" ca="1" si="2"/>
        <v>540</v>
      </c>
      <c r="Q12" s="246">
        <f t="shared" ca="1" si="2"/>
        <v>550</v>
      </c>
      <c r="R12" s="246">
        <f t="shared" ca="1" si="2"/>
        <v>390</v>
      </c>
      <c r="S12" s="246">
        <f t="shared" ca="1" si="2"/>
        <v>530</v>
      </c>
      <c r="T12" s="246">
        <f t="shared" ca="1" si="2"/>
        <v>300</v>
      </c>
      <c r="U12" s="246">
        <f t="shared" ca="1" si="2"/>
        <v>420</v>
      </c>
      <c r="V12" s="246">
        <f t="shared" ca="1" si="2"/>
        <v>340</v>
      </c>
      <c r="W12" s="246">
        <f t="shared" ca="1" si="2"/>
        <v>460</v>
      </c>
      <c r="X12" s="246">
        <f t="shared" ca="1" si="2"/>
        <v>540</v>
      </c>
      <c r="Y12" s="246">
        <f t="shared" ca="1" si="2"/>
        <v>360</v>
      </c>
      <c r="Z12" s="246">
        <f t="shared" ca="1" si="2"/>
        <v>620</v>
      </c>
      <c r="AA12" s="246">
        <f t="shared" ca="1" si="2"/>
        <v>400</v>
      </c>
      <c r="AB12" s="246">
        <f t="shared" ca="1" si="2"/>
        <v>400</v>
      </c>
      <c r="AC12" s="246">
        <f t="shared" ca="1" si="2"/>
        <v>220</v>
      </c>
      <c r="AD12" s="246">
        <f t="shared" ca="1" si="2"/>
        <v>210</v>
      </c>
      <c r="AE12" s="246">
        <f t="shared" ca="1" si="2"/>
        <v>40</v>
      </c>
      <c r="AF12" s="246">
        <f t="shared" ca="1" si="2"/>
        <v>0</v>
      </c>
      <c r="AG12" s="246">
        <f t="shared" ca="1" si="2"/>
        <v>0</v>
      </c>
      <c r="AH12" s="246"/>
      <c r="AI12" s="246"/>
      <c r="AJ12" s="246"/>
      <c r="AK12" s="246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3"/>
      <c r="MP12" s="23"/>
      <c r="MQ12" s="23"/>
      <c r="MR12" s="23"/>
      <c r="MS12" s="23"/>
      <c r="MT12" s="23"/>
      <c r="MU12" s="23"/>
      <c r="MV12" s="23"/>
      <c r="MW12" s="23"/>
      <c r="MX12" s="23"/>
      <c r="MY12" s="23"/>
      <c r="MZ12" s="23"/>
      <c r="NA12" s="23"/>
      <c r="NB12" s="23"/>
      <c r="NC12" s="23"/>
      <c r="ND12" s="23"/>
      <c r="NE12" s="23"/>
      <c r="NF12" s="23"/>
      <c r="NG12" s="23"/>
      <c r="NH12" s="23"/>
      <c r="NI12" s="23"/>
      <c r="NJ12" s="23"/>
      <c r="NK12" s="23"/>
      <c r="NL12" s="23"/>
      <c r="NM12" s="23"/>
      <c r="NN12" s="23"/>
      <c r="NO12" s="23"/>
      <c r="NP12" s="23"/>
      <c r="NQ12" s="23"/>
      <c r="NR12" s="23"/>
      <c r="NS12" s="23"/>
      <c r="NT12" s="23"/>
      <c r="NU12" s="23"/>
      <c r="NV12" s="23"/>
      <c r="NW12" s="23"/>
      <c r="NX12" s="23"/>
      <c r="NY12" s="23"/>
      <c r="NZ12" s="23"/>
      <c r="OA12" s="23"/>
      <c r="OB12" s="23"/>
      <c r="OC12" s="23"/>
      <c r="OD12" s="23"/>
      <c r="OE12" s="23"/>
      <c r="OF12" s="23"/>
      <c r="OG12" s="23"/>
      <c r="OH12" s="23"/>
      <c r="OI12" s="23"/>
      <c r="OJ12" s="23"/>
      <c r="OK12" s="23"/>
      <c r="OL12" s="23"/>
      <c r="OM12" s="23"/>
      <c r="ON12" s="23"/>
      <c r="OO12" s="23"/>
      <c r="OP12" s="23"/>
      <c r="OQ12" s="23"/>
      <c r="OR12" s="23"/>
      <c r="OS12" s="23"/>
      <c r="OT12" s="23"/>
      <c r="OU12" s="23"/>
      <c r="OV12" s="23"/>
      <c r="OW12" s="23"/>
      <c r="OX12" s="23"/>
      <c r="OY12" s="23"/>
      <c r="OZ12" s="23"/>
      <c r="PA12" s="23"/>
      <c r="PB12" s="23"/>
      <c r="PC12" s="23"/>
      <c r="PD12" s="23"/>
      <c r="PE12" s="23"/>
      <c r="PF12" s="23"/>
      <c r="PG12" s="23"/>
      <c r="PH12" s="23"/>
      <c r="PI12" s="23"/>
      <c r="PJ12" s="23"/>
      <c r="PK12" s="23"/>
      <c r="PL12" s="23"/>
      <c r="PM12" s="23"/>
      <c r="PN12" s="23"/>
      <c r="PO12" s="23"/>
      <c r="PP12" s="23"/>
      <c r="PQ12" s="23"/>
      <c r="PR12" s="23"/>
      <c r="PS12" s="23"/>
      <c r="PT12" s="23"/>
      <c r="PU12" s="23"/>
      <c r="PV12" s="23"/>
      <c r="PW12" s="23"/>
      <c r="PX12" s="23"/>
      <c r="PY12" s="23"/>
      <c r="PZ12" s="23"/>
      <c r="QA12" s="23"/>
      <c r="QB12" s="23"/>
      <c r="QC12" s="23"/>
      <c r="QD12" s="23"/>
      <c r="QE12" s="23"/>
      <c r="QF12" s="23"/>
      <c r="QG12" s="23"/>
      <c r="QH12" s="23"/>
      <c r="QI12" s="23"/>
      <c r="QJ12" s="23"/>
      <c r="QK12" s="23"/>
      <c r="QL12" s="23"/>
      <c r="QM12" s="23"/>
      <c r="QN12" s="23"/>
      <c r="QO12" s="23"/>
      <c r="QP12" s="23"/>
      <c r="QQ12" s="23"/>
      <c r="QR12" s="23"/>
      <c r="QS12" s="23"/>
      <c r="QT12" s="23"/>
      <c r="QU12" s="23"/>
      <c r="QV12" s="23"/>
      <c r="QW12" s="23"/>
      <c r="QX12" s="23"/>
      <c r="QY12" s="23"/>
      <c r="QZ12" s="23"/>
      <c r="RA12" s="23"/>
      <c r="RB12" s="23"/>
      <c r="RC12" s="23"/>
      <c r="RD12" s="23"/>
      <c r="RE12" s="23"/>
      <c r="RF12" s="23"/>
      <c r="RG12" s="23"/>
      <c r="RH12" s="23"/>
      <c r="RI12" s="23"/>
      <c r="RJ12" s="23"/>
      <c r="RK12" s="23"/>
      <c r="RL12" s="23"/>
      <c r="RM12" s="23"/>
      <c r="RN12" s="23"/>
      <c r="RO12" s="23"/>
      <c r="RP12" s="23"/>
      <c r="RQ12" s="23"/>
      <c r="RR12" s="23"/>
      <c r="RS12" s="23"/>
      <c r="RT12" s="23"/>
      <c r="RU12" s="23"/>
      <c r="RV12" s="23"/>
      <c r="RW12" s="23"/>
      <c r="RX12" s="23"/>
      <c r="RY12" s="23"/>
      <c r="RZ12" s="23"/>
      <c r="SA12" s="23"/>
      <c r="SB12" s="23"/>
      <c r="SC12" s="23"/>
      <c r="SD12" s="23"/>
      <c r="SE12" s="23"/>
      <c r="SF12" s="23"/>
      <c r="SG12" s="23"/>
      <c r="SH12" s="23"/>
      <c r="SI12" s="23"/>
      <c r="SJ12" s="23"/>
      <c r="SK12" s="23"/>
      <c r="SL12" s="23"/>
      <c r="SM12" s="23"/>
      <c r="SN12" s="23"/>
      <c r="SO12" s="23"/>
      <c r="SP12" s="23"/>
      <c r="SQ12" s="23"/>
      <c r="SR12" s="23"/>
      <c r="SS12" s="23"/>
      <c r="ST12" s="23"/>
      <c r="SU12" s="23"/>
      <c r="SV12" s="23"/>
      <c r="SW12" s="23"/>
      <c r="SX12" s="23"/>
      <c r="SY12" s="23"/>
      <c r="SZ12" s="23"/>
      <c r="TA12" s="23"/>
      <c r="TB12" s="23"/>
      <c r="TC12" s="23"/>
      <c r="TD12" s="23"/>
      <c r="TE12" s="23"/>
      <c r="TF12" s="23"/>
      <c r="TG12" s="23"/>
      <c r="TH12" s="23"/>
      <c r="TI12" s="23"/>
      <c r="TJ12" s="23"/>
      <c r="TK12" s="23"/>
      <c r="TL12" s="23"/>
      <c r="TM12" s="23"/>
      <c r="TN12" s="23"/>
      <c r="TO12" s="23"/>
      <c r="TP12" s="23"/>
      <c r="TQ12" s="23"/>
      <c r="TR12" s="23"/>
      <c r="TS12" s="23"/>
      <c r="TT12" s="23"/>
      <c r="TU12" s="23"/>
      <c r="TV12" s="23"/>
      <c r="TW12" s="23"/>
      <c r="TX12" s="23"/>
      <c r="TY12" s="23"/>
      <c r="TZ12" s="23"/>
      <c r="UA12" s="23"/>
      <c r="UB12" s="23"/>
      <c r="UC12" s="23"/>
      <c r="UD12" s="23"/>
      <c r="UE12" s="23"/>
      <c r="UF12" s="23"/>
      <c r="UG12" s="23"/>
      <c r="UH12" s="23"/>
      <c r="UI12" s="23"/>
      <c r="UJ12" s="23"/>
      <c r="UK12" s="23"/>
      <c r="UL12" s="23"/>
      <c r="UM12" s="23"/>
      <c r="UN12" s="23"/>
      <c r="UO12" s="23"/>
      <c r="UP12" s="23"/>
      <c r="UQ12" s="23"/>
      <c r="UR12" s="23"/>
      <c r="US12" s="23"/>
      <c r="UT12" s="23"/>
      <c r="UU12" s="23"/>
      <c r="UV12" s="23"/>
      <c r="UW12" s="23"/>
      <c r="UX12" s="23"/>
      <c r="UY12" s="23"/>
      <c r="UZ12" s="23"/>
      <c r="VA12" s="23"/>
      <c r="VB12" s="23"/>
      <c r="VC12" s="23"/>
      <c r="VD12" s="23"/>
      <c r="VE12" s="23"/>
      <c r="VF12" s="23"/>
      <c r="VG12" s="23"/>
      <c r="VH12" s="23"/>
      <c r="VI12" s="23"/>
      <c r="VJ12" s="23"/>
      <c r="VK12" s="23"/>
      <c r="VL12" s="23"/>
      <c r="VM12" s="23"/>
      <c r="VN12" s="23"/>
      <c r="VO12" s="23"/>
      <c r="VP12" s="23"/>
      <c r="VQ12" s="23"/>
      <c r="VR12" s="23"/>
      <c r="VS12" s="23"/>
      <c r="VT12" s="23"/>
      <c r="VU12" s="23"/>
      <c r="VV12" s="23"/>
      <c r="VW12" s="23"/>
      <c r="VX12" s="23"/>
      <c r="VY12" s="23"/>
      <c r="VZ12" s="23"/>
      <c r="WA12" s="23"/>
      <c r="WB12" s="23"/>
      <c r="WC12" s="23"/>
      <c r="WD12" s="23"/>
      <c r="WE12" s="23"/>
      <c r="WF12" s="23"/>
      <c r="WG12" s="23"/>
      <c r="WH12" s="23"/>
      <c r="WI12" s="23"/>
      <c r="WJ12" s="23"/>
      <c r="WK12" s="23"/>
      <c r="WL12" s="23"/>
      <c r="WM12" s="23"/>
      <c r="WN12" s="23"/>
      <c r="WO12" s="23"/>
      <c r="WP12" s="23"/>
      <c r="WQ12" s="23"/>
      <c r="WR12" s="23"/>
      <c r="WS12" s="23"/>
      <c r="WT12" s="23"/>
      <c r="WU12" s="23"/>
      <c r="WV12" s="23"/>
      <c r="WW12" s="23"/>
      <c r="WX12" s="23"/>
      <c r="WY12" s="23"/>
      <c r="WZ12" s="23"/>
      <c r="XA12" s="23"/>
      <c r="XB12" s="23"/>
      <c r="XC12" s="23"/>
      <c r="XD12" s="23"/>
      <c r="XE12" s="23"/>
      <c r="XF12" s="23"/>
      <c r="XG12" s="23"/>
      <c r="XH12" s="23"/>
      <c r="XI12" s="23"/>
      <c r="XJ12" s="23"/>
      <c r="XK12" s="23"/>
      <c r="XL12" s="23"/>
      <c r="XM12" s="23"/>
      <c r="XN12" s="23"/>
      <c r="XO12" s="23"/>
      <c r="XP12" s="23"/>
      <c r="XQ12" s="23"/>
      <c r="XR12" s="23"/>
      <c r="XS12" s="23"/>
      <c r="XT12" s="23"/>
      <c r="XU12" s="23"/>
      <c r="XV12" s="23"/>
      <c r="XW12" s="23"/>
      <c r="XX12" s="23"/>
      <c r="XY12" s="23"/>
      <c r="XZ12" s="23"/>
      <c r="YA12" s="23"/>
      <c r="YB12" s="23"/>
      <c r="YC12" s="23"/>
      <c r="YD12" s="23"/>
      <c r="YE12" s="23"/>
      <c r="YF12" s="23"/>
      <c r="YG12" s="23"/>
      <c r="YH12" s="23"/>
      <c r="YI12" s="23"/>
      <c r="YJ12" s="23"/>
      <c r="YK12" s="23"/>
      <c r="YL12" s="23"/>
      <c r="YM12" s="23"/>
      <c r="YN12" s="23"/>
      <c r="YO12" s="23"/>
      <c r="YP12" s="23"/>
      <c r="YQ12" s="23"/>
      <c r="YR12" s="23"/>
      <c r="YS12" s="23"/>
      <c r="YT12" s="23"/>
      <c r="YU12" s="23"/>
      <c r="YV12" s="23"/>
      <c r="YW12" s="23"/>
      <c r="YX12" s="23"/>
      <c r="YY12" s="23"/>
      <c r="YZ12" s="23"/>
      <c r="ZA12" s="23"/>
      <c r="ZB12" s="23"/>
      <c r="ZC12" s="23"/>
      <c r="ZD12" s="23"/>
      <c r="ZE12" s="53"/>
    </row>
    <row r="13" spans="1:682" s="2" customFormat="1" ht="15" customHeight="1" x14ac:dyDescent="0.25">
      <c r="A13" s="30">
        <v>1000</v>
      </c>
      <c r="B13" s="102" t="s">
        <v>29</v>
      </c>
      <c r="C13" s="103" t="s">
        <v>66</v>
      </c>
      <c r="D13" s="5" t="s">
        <v>65</v>
      </c>
      <c r="E13" s="103" t="s">
        <v>66</v>
      </c>
      <c r="F13" s="5" t="s">
        <v>65</v>
      </c>
      <c r="G13" s="56">
        <v>2</v>
      </c>
      <c r="H13" s="100" t="s">
        <v>46</v>
      </c>
      <c r="I13" s="131"/>
      <c r="J13" s="250">
        <f ca="1">J12</f>
        <v>550</v>
      </c>
      <c r="K13" s="250">
        <f t="shared" ref="K13:AG13" ca="1" si="3">K12</f>
        <v>220</v>
      </c>
      <c r="L13" s="250">
        <f t="shared" ca="1" si="3"/>
        <v>310</v>
      </c>
      <c r="M13" s="250">
        <f t="shared" ca="1" si="3"/>
        <v>410</v>
      </c>
      <c r="N13" s="250">
        <f t="shared" ca="1" si="3"/>
        <v>440</v>
      </c>
      <c r="O13" s="250">
        <f t="shared" ca="1" si="3"/>
        <v>350</v>
      </c>
      <c r="P13" s="250">
        <f t="shared" ca="1" si="3"/>
        <v>540</v>
      </c>
      <c r="Q13" s="250">
        <f t="shared" ca="1" si="3"/>
        <v>550</v>
      </c>
      <c r="R13" s="250">
        <f t="shared" ca="1" si="3"/>
        <v>390</v>
      </c>
      <c r="S13" s="250">
        <f t="shared" ca="1" si="3"/>
        <v>530</v>
      </c>
      <c r="T13" s="250">
        <f t="shared" ca="1" si="3"/>
        <v>300</v>
      </c>
      <c r="U13" s="250">
        <f t="shared" ca="1" si="3"/>
        <v>420</v>
      </c>
      <c r="V13" s="250">
        <f t="shared" ca="1" si="3"/>
        <v>340</v>
      </c>
      <c r="W13" s="250">
        <f t="shared" ca="1" si="3"/>
        <v>460</v>
      </c>
      <c r="X13" s="250">
        <f t="shared" ca="1" si="3"/>
        <v>540</v>
      </c>
      <c r="Y13" s="250">
        <f t="shared" ca="1" si="3"/>
        <v>360</v>
      </c>
      <c r="Z13" s="250">
        <f t="shared" ca="1" si="3"/>
        <v>620</v>
      </c>
      <c r="AA13" s="250">
        <f t="shared" ca="1" si="3"/>
        <v>400</v>
      </c>
      <c r="AB13" s="250">
        <f t="shared" ca="1" si="3"/>
        <v>400</v>
      </c>
      <c r="AC13" s="250">
        <f t="shared" ca="1" si="3"/>
        <v>220</v>
      </c>
      <c r="AD13" s="250">
        <f t="shared" ca="1" si="3"/>
        <v>210</v>
      </c>
      <c r="AE13" s="250">
        <f t="shared" ca="1" si="3"/>
        <v>40</v>
      </c>
      <c r="AF13" s="250">
        <f t="shared" ca="1" si="3"/>
        <v>0</v>
      </c>
      <c r="AG13" s="250">
        <f t="shared" ca="1" si="3"/>
        <v>0</v>
      </c>
      <c r="AH13" s="246"/>
      <c r="AI13" s="246"/>
      <c r="AJ13" s="246"/>
      <c r="AK13" s="246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3"/>
      <c r="FN13" s="23"/>
      <c r="FO13" s="23"/>
      <c r="FP13" s="23"/>
      <c r="FQ13" s="23"/>
      <c r="FR13" s="23"/>
      <c r="FS13" s="23"/>
      <c r="FT13" s="23"/>
      <c r="FU13" s="23"/>
      <c r="FV13" s="23"/>
      <c r="FW13" s="23"/>
      <c r="FX13" s="23"/>
      <c r="FY13" s="23"/>
      <c r="FZ13" s="23"/>
      <c r="GA13" s="23"/>
      <c r="GB13" s="23"/>
      <c r="GC13" s="23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3"/>
      <c r="JE13" s="23"/>
      <c r="JF13" s="23"/>
      <c r="JG13" s="23"/>
      <c r="JH13" s="23"/>
      <c r="JI13" s="23"/>
      <c r="JJ13" s="23"/>
      <c r="JK13" s="23"/>
      <c r="JL13" s="23"/>
      <c r="JM13" s="23"/>
      <c r="JN13" s="23"/>
      <c r="JO13" s="23"/>
      <c r="JP13" s="23"/>
      <c r="JQ13" s="23"/>
      <c r="JR13" s="23"/>
      <c r="JS13" s="23"/>
      <c r="JT13" s="23"/>
      <c r="JU13" s="23"/>
      <c r="JV13" s="23"/>
      <c r="JW13" s="23"/>
      <c r="JX13" s="23"/>
      <c r="JY13" s="23"/>
      <c r="JZ13" s="23"/>
      <c r="KA13" s="23"/>
      <c r="KB13" s="23"/>
      <c r="KC13" s="23"/>
      <c r="KD13" s="23"/>
      <c r="KE13" s="23"/>
      <c r="KF13" s="23"/>
      <c r="KG13" s="23"/>
      <c r="KH13" s="23"/>
      <c r="KI13" s="23"/>
      <c r="KJ13" s="23"/>
      <c r="KK13" s="23"/>
      <c r="KL13" s="23"/>
      <c r="KM13" s="23"/>
      <c r="KN13" s="23"/>
      <c r="KO13" s="23"/>
      <c r="KP13" s="23"/>
      <c r="KQ13" s="23"/>
      <c r="KR13" s="23"/>
      <c r="KS13" s="23"/>
      <c r="KT13" s="23"/>
      <c r="KU13" s="23"/>
      <c r="KV13" s="23"/>
      <c r="KW13" s="23"/>
      <c r="KX13" s="23"/>
      <c r="KY13" s="23"/>
      <c r="KZ13" s="23"/>
      <c r="LA13" s="23"/>
      <c r="LB13" s="23"/>
      <c r="LC13" s="23"/>
      <c r="LD13" s="23"/>
      <c r="LE13" s="23"/>
      <c r="LF13" s="23"/>
      <c r="LG13" s="23"/>
      <c r="LH13" s="23"/>
      <c r="LI13" s="23"/>
      <c r="LJ13" s="23"/>
      <c r="LK13" s="23"/>
      <c r="LL13" s="23"/>
      <c r="LM13" s="23"/>
      <c r="LN13" s="23"/>
      <c r="LO13" s="23"/>
      <c r="LP13" s="23"/>
      <c r="LQ13" s="23"/>
      <c r="LR13" s="23"/>
      <c r="LS13" s="23"/>
      <c r="LT13" s="23"/>
      <c r="LU13" s="23"/>
      <c r="LV13" s="23"/>
      <c r="LW13" s="23"/>
      <c r="LX13" s="23"/>
      <c r="LY13" s="23"/>
      <c r="LZ13" s="23"/>
      <c r="MA13" s="23"/>
      <c r="MB13" s="23"/>
      <c r="MC13" s="23"/>
      <c r="MD13" s="23"/>
      <c r="ME13" s="23"/>
      <c r="MF13" s="23"/>
      <c r="MG13" s="23"/>
      <c r="MH13" s="23"/>
      <c r="MI13" s="23"/>
      <c r="MJ13" s="23"/>
      <c r="MK13" s="23"/>
      <c r="ML13" s="23"/>
      <c r="MM13" s="23"/>
      <c r="MN13" s="23"/>
      <c r="MO13" s="23"/>
      <c r="MP13" s="23"/>
      <c r="MQ13" s="23"/>
      <c r="MR13" s="23"/>
      <c r="MS13" s="23"/>
      <c r="MT13" s="23"/>
      <c r="MU13" s="23"/>
      <c r="MV13" s="23"/>
      <c r="MW13" s="23"/>
      <c r="MX13" s="23"/>
      <c r="MY13" s="23"/>
      <c r="MZ13" s="23"/>
      <c r="NA13" s="23"/>
      <c r="NB13" s="23"/>
      <c r="NC13" s="23"/>
      <c r="ND13" s="23"/>
      <c r="NE13" s="23"/>
      <c r="NF13" s="23"/>
      <c r="NG13" s="23"/>
      <c r="NH13" s="23"/>
      <c r="NI13" s="23"/>
      <c r="NJ13" s="23"/>
      <c r="NK13" s="23"/>
      <c r="NL13" s="23"/>
      <c r="NM13" s="23"/>
      <c r="NN13" s="23"/>
      <c r="NO13" s="23"/>
      <c r="NP13" s="23"/>
      <c r="NQ13" s="23"/>
      <c r="NR13" s="23"/>
      <c r="NS13" s="23"/>
      <c r="NT13" s="23"/>
      <c r="NU13" s="23"/>
      <c r="NV13" s="23"/>
      <c r="NW13" s="23"/>
      <c r="NX13" s="23"/>
      <c r="NY13" s="23"/>
      <c r="NZ13" s="23"/>
      <c r="OA13" s="23"/>
      <c r="OB13" s="23"/>
      <c r="OC13" s="23"/>
      <c r="OD13" s="23"/>
      <c r="OE13" s="23"/>
      <c r="OF13" s="23"/>
      <c r="OG13" s="23"/>
      <c r="OH13" s="23"/>
      <c r="OI13" s="23"/>
      <c r="OJ13" s="23"/>
      <c r="OK13" s="23"/>
      <c r="OL13" s="23"/>
      <c r="OM13" s="23"/>
      <c r="ON13" s="23"/>
      <c r="OO13" s="23"/>
      <c r="OP13" s="23"/>
      <c r="OQ13" s="23"/>
      <c r="OR13" s="23"/>
      <c r="OS13" s="23"/>
      <c r="OT13" s="23"/>
      <c r="OU13" s="23"/>
      <c r="OV13" s="23"/>
      <c r="OW13" s="23"/>
      <c r="OX13" s="23"/>
      <c r="OY13" s="23"/>
      <c r="OZ13" s="23"/>
      <c r="PA13" s="23"/>
      <c r="PB13" s="23"/>
      <c r="PC13" s="23"/>
      <c r="PD13" s="23"/>
      <c r="PE13" s="23"/>
      <c r="PF13" s="23"/>
      <c r="PG13" s="23"/>
      <c r="PH13" s="23"/>
      <c r="PI13" s="23"/>
      <c r="PJ13" s="23"/>
      <c r="PK13" s="23"/>
      <c r="PL13" s="23"/>
      <c r="PM13" s="23"/>
      <c r="PN13" s="23"/>
      <c r="PO13" s="23"/>
      <c r="PP13" s="23"/>
      <c r="PQ13" s="23"/>
      <c r="PR13" s="23"/>
      <c r="PS13" s="23"/>
      <c r="PT13" s="23"/>
      <c r="PU13" s="23"/>
      <c r="PV13" s="23"/>
      <c r="PW13" s="23"/>
      <c r="PX13" s="23"/>
      <c r="PY13" s="23"/>
      <c r="PZ13" s="23"/>
      <c r="QA13" s="23"/>
      <c r="QB13" s="23"/>
      <c r="QC13" s="23"/>
      <c r="QD13" s="23"/>
      <c r="QE13" s="23"/>
      <c r="QF13" s="23"/>
      <c r="QG13" s="23"/>
      <c r="QH13" s="23"/>
      <c r="QI13" s="23"/>
      <c r="QJ13" s="23"/>
      <c r="QK13" s="23"/>
      <c r="QL13" s="23"/>
      <c r="QM13" s="23"/>
      <c r="QN13" s="23"/>
      <c r="QO13" s="23"/>
      <c r="QP13" s="23"/>
      <c r="QQ13" s="23"/>
      <c r="QR13" s="23"/>
      <c r="QS13" s="23"/>
      <c r="QT13" s="23"/>
      <c r="QU13" s="23"/>
      <c r="QV13" s="23"/>
      <c r="QW13" s="23"/>
      <c r="QX13" s="23"/>
      <c r="QY13" s="23"/>
      <c r="QZ13" s="23"/>
      <c r="RA13" s="23"/>
      <c r="RB13" s="23"/>
      <c r="RC13" s="23"/>
      <c r="RD13" s="23"/>
      <c r="RE13" s="23"/>
      <c r="RF13" s="23"/>
      <c r="RG13" s="23"/>
      <c r="RH13" s="23"/>
      <c r="RI13" s="23"/>
      <c r="RJ13" s="23"/>
      <c r="RK13" s="23"/>
      <c r="RL13" s="23"/>
      <c r="RM13" s="23"/>
      <c r="RN13" s="23"/>
      <c r="RO13" s="23"/>
      <c r="RP13" s="23"/>
      <c r="RQ13" s="23"/>
      <c r="RR13" s="23"/>
      <c r="RS13" s="23"/>
      <c r="RT13" s="23"/>
      <c r="RU13" s="23"/>
      <c r="RV13" s="23"/>
      <c r="RW13" s="23"/>
      <c r="RX13" s="23"/>
      <c r="RY13" s="23"/>
      <c r="RZ13" s="23"/>
      <c r="SA13" s="23"/>
      <c r="SB13" s="23"/>
      <c r="SC13" s="23"/>
      <c r="SD13" s="23"/>
      <c r="SE13" s="23"/>
      <c r="SF13" s="23"/>
      <c r="SG13" s="23"/>
      <c r="SH13" s="23"/>
      <c r="SI13" s="23"/>
      <c r="SJ13" s="23"/>
      <c r="SK13" s="23"/>
      <c r="SL13" s="23"/>
      <c r="SM13" s="23"/>
      <c r="SN13" s="23"/>
      <c r="SO13" s="23"/>
      <c r="SP13" s="23"/>
      <c r="SQ13" s="23"/>
      <c r="SR13" s="23"/>
      <c r="SS13" s="23"/>
      <c r="ST13" s="23"/>
      <c r="SU13" s="23"/>
      <c r="SV13" s="23"/>
      <c r="SW13" s="23"/>
      <c r="SX13" s="23"/>
      <c r="SY13" s="23"/>
      <c r="SZ13" s="23"/>
      <c r="TA13" s="23"/>
      <c r="TB13" s="23"/>
      <c r="TC13" s="23"/>
      <c r="TD13" s="23"/>
      <c r="TE13" s="23"/>
      <c r="TF13" s="23"/>
      <c r="TG13" s="23"/>
      <c r="TH13" s="23"/>
      <c r="TI13" s="23"/>
      <c r="TJ13" s="23"/>
      <c r="TK13" s="23"/>
      <c r="TL13" s="23"/>
      <c r="TM13" s="23"/>
      <c r="TN13" s="23"/>
      <c r="TO13" s="23"/>
      <c r="TP13" s="23"/>
      <c r="TQ13" s="23"/>
      <c r="TR13" s="23"/>
      <c r="TS13" s="23"/>
      <c r="TT13" s="23"/>
      <c r="TU13" s="23"/>
      <c r="TV13" s="23"/>
      <c r="TW13" s="23"/>
      <c r="TX13" s="23"/>
      <c r="TY13" s="23"/>
      <c r="TZ13" s="23"/>
      <c r="UA13" s="23"/>
      <c r="UB13" s="23"/>
      <c r="UC13" s="23"/>
      <c r="UD13" s="23"/>
      <c r="UE13" s="23"/>
      <c r="UF13" s="23"/>
      <c r="UG13" s="23"/>
      <c r="UH13" s="23"/>
      <c r="UI13" s="23"/>
      <c r="UJ13" s="23"/>
      <c r="UK13" s="23"/>
      <c r="UL13" s="23"/>
      <c r="UM13" s="23"/>
      <c r="UN13" s="23"/>
      <c r="UO13" s="23"/>
      <c r="UP13" s="23"/>
      <c r="UQ13" s="23"/>
      <c r="UR13" s="23"/>
      <c r="US13" s="23"/>
      <c r="UT13" s="23"/>
      <c r="UU13" s="23"/>
      <c r="UV13" s="23"/>
      <c r="UW13" s="23"/>
      <c r="UX13" s="23"/>
      <c r="UY13" s="23"/>
      <c r="UZ13" s="23"/>
      <c r="VA13" s="23"/>
      <c r="VB13" s="23"/>
      <c r="VC13" s="23"/>
      <c r="VD13" s="23"/>
      <c r="VE13" s="23"/>
      <c r="VF13" s="23"/>
      <c r="VG13" s="23"/>
      <c r="VH13" s="23"/>
      <c r="VI13" s="23"/>
      <c r="VJ13" s="23"/>
      <c r="VK13" s="23"/>
      <c r="VL13" s="23"/>
      <c r="VM13" s="23"/>
      <c r="VN13" s="23"/>
      <c r="VO13" s="23"/>
      <c r="VP13" s="23"/>
      <c r="VQ13" s="23"/>
      <c r="VR13" s="23"/>
      <c r="VS13" s="23"/>
      <c r="VT13" s="23"/>
      <c r="VU13" s="23"/>
      <c r="VV13" s="23"/>
      <c r="VW13" s="23"/>
      <c r="VX13" s="23"/>
      <c r="VY13" s="23"/>
      <c r="VZ13" s="23"/>
      <c r="WA13" s="23"/>
      <c r="WB13" s="23"/>
      <c r="WC13" s="23"/>
      <c r="WD13" s="23"/>
      <c r="WE13" s="23"/>
      <c r="WF13" s="23"/>
      <c r="WG13" s="23"/>
      <c r="WH13" s="23"/>
      <c r="WI13" s="23"/>
      <c r="WJ13" s="23"/>
      <c r="WK13" s="23"/>
      <c r="WL13" s="23"/>
      <c r="WM13" s="23"/>
      <c r="WN13" s="23"/>
      <c r="WO13" s="23"/>
      <c r="WP13" s="23"/>
      <c r="WQ13" s="23"/>
      <c r="WR13" s="23"/>
      <c r="WS13" s="23"/>
      <c r="WT13" s="23"/>
      <c r="WU13" s="23"/>
      <c r="WV13" s="23"/>
      <c r="WW13" s="23"/>
      <c r="WX13" s="23"/>
      <c r="WY13" s="23"/>
      <c r="WZ13" s="23"/>
      <c r="XA13" s="23"/>
      <c r="XB13" s="23"/>
      <c r="XC13" s="23"/>
      <c r="XD13" s="23"/>
      <c r="XE13" s="23"/>
      <c r="XF13" s="23"/>
      <c r="XG13" s="23"/>
      <c r="XH13" s="23"/>
      <c r="XI13" s="23"/>
      <c r="XJ13" s="23"/>
      <c r="XK13" s="23"/>
      <c r="XL13" s="23"/>
      <c r="XM13" s="23"/>
      <c r="XN13" s="23"/>
      <c r="XO13" s="23"/>
      <c r="XP13" s="23"/>
      <c r="XQ13" s="23"/>
      <c r="XR13" s="23"/>
      <c r="XS13" s="23"/>
      <c r="XT13" s="23"/>
      <c r="XU13" s="23"/>
      <c r="XV13" s="23"/>
      <c r="XW13" s="23"/>
      <c r="XX13" s="23"/>
      <c r="XY13" s="23"/>
      <c r="XZ13" s="23"/>
      <c r="YA13" s="23"/>
      <c r="YB13" s="23"/>
      <c r="YC13" s="23"/>
      <c r="YD13" s="23"/>
      <c r="YE13" s="23"/>
      <c r="YF13" s="23"/>
      <c r="YG13" s="23"/>
      <c r="YH13" s="23"/>
      <c r="YI13" s="23"/>
      <c r="YJ13" s="23"/>
      <c r="YK13" s="23"/>
      <c r="YL13" s="23"/>
      <c r="YM13" s="23"/>
      <c r="YN13" s="23"/>
      <c r="YO13" s="23"/>
      <c r="YP13" s="23"/>
      <c r="YQ13" s="23"/>
      <c r="YR13" s="23"/>
      <c r="YS13" s="23"/>
      <c r="YT13" s="23"/>
      <c r="YU13" s="23"/>
      <c r="YV13" s="23"/>
      <c r="YW13" s="23"/>
      <c r="YX13" s="23"/>
      <c r="YY13" s="23"/>
      <c r="YZ13" s="23"/>
      <c r="ZA13" s="23"/>
      <c r="ZB13" s="23"/>
      <c r="ZC13" s="23"/>
      <c r="ZD13" s="23"/>
      <c r="ZE13" s="54"/>
    </row>
    <row r="14" spans="1:682" s="2" customFormat="1" ht="15" customHeight="1" x14ac:dyDescent="0.25">
      <c r="A14" s="30">
        <v>1000</v>
      </c>
      <c r="B14" s="102" t="s">
        <v>29</v>
      </c>
      <c r="C14" s="103" t="s">
        <v>66</v>
      </c>
      <c r="D14" s="5" t="s">
        <v>65</v>
      </c>
      <c r="E14" s="103" t="s">
        <v>66</v>
      </c>
      <c r="F14" s="5" t="s">
        <v>65</v>
      </c>
      <c r="G14" s="56">
        <v>2</v>
      </c>
      <c r="H14" s="100" t="s">
        <v>60</v>
      </c>
      <c r="I14" s="131"/>
      <c r="J14" s="97">
        <f ca="1">J9+I14-J12</f>
        <v>0</v>
      </c>
      <c r="K14" s="97">
        <f ca="1">K9+J14-K12</f>
        <v>0</v>
      </c>
      <c r="L14" s="97">
        <f t="shared" ref="L14:AG14" ca="1" si="4">L9+K14-L12</f>
        <v>0</v>
      </c>
      <c r="M14" s="97">
        <f ca="1">M9+L14-M12</f>
        <v>0</v>
      </c>
      <c r="N14" s="97">
        <f t="shared" ca="1" si="4"/>
        <v>0</v>
      </c>
      <c r="O14" s="97">
        <f t="shared" ca="1" si="4"/>
        <v>0</v>
      </c>
      <c r="P14" s="97">
        <f t="shared" ca="1" si="4"/>
        <v>0</v>
      </c>
      <c r="Q14" s="97">
        <f t="shared" ca="1" si="4"/>
        <v>0</v>
      </c>
      <c r="R14" s="97">
        <f t="shared" ca="1" si="4"/>
        <v>0</v>
      </c>
      <c r="S14" s="97">
        <f t="shared" ca="1" si="4"/>
        <v>0</v>
      </c>
      <c r="T14" s="97">
        <f t="shared" ca="1" si="4"/>
        <v>0</v>
      </c>
      <c r="U14" s="97">
        <f t="shared" ca="1" si="4"/>
        <v>0</v>
      </c>
      <c r="V14" s="97">
        <f t="shared" ca="1" si="4"/>
        <v>0</v>
      </c>
      <c r="W14" s="97">
        <f t="shared" ca="1" si="4"/>
        <v>0</v>
      </c>
      <c r="X14" s="97">
        <f t="shared" ca="1" si="4"/>
        <v>0</v>
      </c>
      <c r="Y14" s="97">
        <f t="shared" ca="1" si="4"/>
        <v>0</v>
      </c>
      <c r="Z14" s="97">
        <f t="shared" ca="1" si="4"/>
        <v>0</v>
      </c>
      <c r="AA14" s="97">
        <f t="shared" ca="1" si="4"/>
        <v>0</v>
      </c>
      <c r="AB14" s="97">
        <f t="shared" ca="1" si="4"/>
        <v>0</v>
      </c>
      <c r="AC14" s="97">
        <f t="shared" ca="1" si="4"/>
        <v>0</v>
      </c>
      <c r="AD14" s="97">
        <f t="shared" ca="1" si="4"/>
        <v>0</v>
      </c>
      <c r="AE14" s="97">
        <f t="shared" ca="1" si="4"/>
        <v>0</v>
      </c>
      <c r="AF14" s="97">
        <f t="shared" ca="1" si="4"/>
        <v>0</v>
      </c>
      <c r="AG14" s="97">
        <f t="shared" ca="1" si="4"/>
        <v>0</v>
      </c>
      <c r="AH14" s="250"/>
      <c r="AI14" s="250"/>
      <c r="AJ14" s="250"/>
      <c r="AK14" s="250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/>
      <c r="EL14" s="23"/>
      <c r="EM14" s="23"/>
      <c r="EN14" s="23"/>
      <c r="EO14" s="23"/>
      <c r="EP14" s="23"/>
      <c r="EQ14" s="23"/>
      <c r="ER14" s="23"/>
      <c r="ES14" s="23"/>
      <c r="ET14" s="23"/>
      <c r="EU14" s="23"/>
      <c r="EV14" s="23"/>
      <c r="EW14" s="23"/>
      <c r="EX14" s="23"/>
      <c r="EY14" s="23"/>
      <c r="EZ14" s="23"/>
      <c r="FA14" s="23"/>
      <c r="FB14" s="23"/>
      <c r="FC14" s="23"/>
      <c r="FD14" s="23"/>
      <c r="FE14" s="23"/>
      <c r="FF14" s="23"/>
      <c r="FG14" s="23"/>
      <c r="FH14" s="23"/>
      <c r="FI14" s="23"/>
      <c r="FJ14" s="23"/>
      <c r="FK14" s="23"/>
      <c r="FL14" s="23"/>
      <c r="FM14" s="23"/>
      <c r="FN14" s="23"/>
      <c r="FO14" s="23"/>
      <c r="FP14" s="23"/>
      <c r="FQ14" s="23"/>
      <c r="FR14" s="23"/>
      <c r="FS14" s="23"/>
      <c r="FT14" s="23"/>
      <c r="FU14" s="23"/>
      <c r="FV14" s="23"/>
      <c r="FW14" s="23"/>
      <c r="FX14" s="23"/>
      <c r="FY14" s="23"/>
      <c r="FZ14" s="23"/>
      <c r="GA14" s="23"/>
      <c r="GB14" s="23"/>
      <c r="GC14" s="23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3"/>
      <c r="JE14" s="23"/>
      <c r="JF14" s="23"/>
      <c r="JG14" s="23"/>
      <c r="JH14" s="23"/>
      <c r="JI14" s="23"/>
      <c r="JJ14" s="23"/>
      <c r="JK14" s="23"/>
      <c r="JL14" s="23"/>
      <c r="JM14" s="23"/>
      <c r="JN14" s="23"/>
      <c r="JO14" s="23"/>
      <c r="JP14" s="23"/>
      <c r="JQ14" s="23"/>
      <c r="JR14" s="23"/>
      <c r="JS14" s="23"/>
      <c r="JT14" s="23"/>
      <c r="JU14" s="23"/>
      <c r="JV14" s="23"/>
      <c r="JW14" s="23"/>
      <c r="JX14" s="23"/>
      <c r="JY14" s="23"/>
      <c r="JZ14" s="23"/>
      <c r="KA14" s="23"/>
      <c r="KB14" s="23"/>
      <c r="KC14" s="23"/>
      <c r="KD14" s="23"/>
      <c r="KE14" s="23"/>
      <c r="KF14" s="23"/>
      <c r="KG14" s="23"/>
      <c r="KH14" s="23"/>
      <c r="KI14" s="23"/>
      <c r="KJ14" s="23"/>
      <c r="KK14" s="23"/>
      <c r="KL14" s="23"/>
      <c r="KM14" s="23"/>
      <c r="KN14" s="23"/>
      <c r="KO14" s="23"/>
      <c r="KP14" s="23"/>
      <c r="KQ14" s="23"/>
      <c r="KR14" s="23"/>
      <c r="KS14" s="23"/>
      <c r="KT14" s="23"/>
      <c r="KU14" s="23"/>
      <c r="KV14" s="23"/>
      <c r="KW14" s="23"/>
      <c r="KX14" s="23"/>
      <c r="KY14" s="23"/>
      <c r="KZ14" s="23"/>
      <c r="LA14" s="23"/>
      <c r="LB14" s="23"/>
      <c r="LC14" s="23"/>
      <c r="LD14" s="23"/>
      <c r="LE14" s="23"/>
      <c r="LF14" s="23"/>
      <c r="LG14" s="23"/>
      <c r="LH14" s="23"/>
      <c r="LI14" s="23"/>
      <c r="LJ14" s="23"/>
      <c r="LK14" s="23"/>
      <c r="LL14" s="23"/>
      <c r="LM14" s="23"/>
      <c r="LN14" s="23"/>
      <c r="LO14" s="23"/>
      <c r="LP14" s="23"/>
      <c r="LQ14" s="23"/>
      <c r="LR14" s="23"/>
      <c r="LS14" s="23"/>
      <c r="LT14" s="23"/>
      <c r="LU14" s="23"/>
      <c r="LV14" s="23"/>
      <c r="LW14" s="23"/>
      <c r="LX14" s="23"/>
      <c r="LY14" s="23"/>
      <c r="LZ14" s="23"/>
      <c r="MA14" s="23"/>
      <c r="MB14" s="23"/>
      <c r="MC14" s="23"/>
      <c r="MD14" s="23"/>
      <c r="ME14" s="23"/>
      <c r="MF14" s="23"/>
      <c r="MG14" s="23"/>
      <c r="MH14" s="23"/>
      <c r="MI14" s="23"/>
      <c r="MJ14" s="23"/>
      <c r="MK14" s="23"/>
      <c r="ML14" s="23"/>
      <c r="MM14" s="23"/>
      <c r="MN14" s="23"/>
      <c r="MO14" s="23"/>
      <c r="MP14" s="23"/>
      <c r="MQ14" s="23"/>
      <c r="MR14" s="23"/>
      <c r="MS14" s="23"/>
      <c r="MT14" s="23"/>
      <c r="MU14" s="23"/>
      <c r="MV14" s="23"/>
      <c r="MW14" s="23"/>
      <c r="MX14" s="23"/>
      <c r="MY14" s="23"/>
      <c r="MZ14" s="23"/>
      <c r="NA14" s="23"/>
      <c r="NB14" s="23"/>
      <c r="NC14" s="23"/>
      <c r="ND14" s="23"/>
      <c r="NE14" s="23"/>
      <c r="NF14" s="23"/>
      <c r="NG14" s="23"/>
      <c r="NH14" s="23"/>
      <c r="NI14" s="23"/>
      <c r="NJ14" s="23"/>
      <c r="NK14" s="23"/>
      <c r="NL14" s="23"/>
      <c r="NM14" s="23"/>
      <c r="NN14" s="23"/>
      <c r="NO14" s="23"/>
      <c r="NP14" s="23"/>
      <c r="NQ14" s="23"/>
      <c r="NR14" s="23"/>
      <c r="NS14" s="23"/>
      <c r="NT14" s="23"/>
      <c r="NU14" s="23"/>
      <c r="NV14" s="23"/>
      <c r="NW14" s="23"/>
      <c r="NX14" s="23"/>
      <c r="NY14" s="23"/>
      <c r="NZ14" s="23"/>
      <c r="OA14" s="23"/>
      <c r="OB14" s="23"/>
      <c r="OC14" s="23"/>
      <c r="OD14" s="23"/>
      <c r="OE14" s="23"/>
      <c r="OF14" s="23"/>
      <c r="OG14" s="23"/>
      <c r="OH14" s="23"/>
      <c r="OI14" s="23"/>
      <c r="OJ14" s="23"/>
      <c r="OK14" s="23"/>
      <c r="OL14" s="23"/>
      <c r="OM14" s="23"/>
      <c r="ON14" s="23"/>
      <c r="OO14" s="23"/>
      <c r="OP14" s="23"/>
      <c r="OQ14" s="23"/>
      <c r="OR14" s="23"/>
      <c r="OS14" s="23"/>
      <c r="OT14" s="23"/>
      <c r="OU14" s="23"/>
      <c r="OV14" s="23"/>
      <c r="OW14" s="23"/>
      <c r="OX14" s="23"/>
      <c r="OY14" s="23"/>
      <c r="OZ14" s="23"/>
      <c r="PA14" s="23"/>
      <c r="PB14" s="23"/>
      <c r="PC14" s="23"/>
      <c r="PD14" s="23"/>
      <c r="PE14" s="23"/>
      <c r="PF14" s="23"/>
      <c r="PG14" s="23"/>
      <c r="PH14" s="23"/>
      <c r="PI14" s="23"/>
      <c r="PJ14" s="23"/>
      <c r="PK14" s="23"/>
      <c r="PL14" s="23"/>
      <c r="PM14" s="23"/>
      <c r="PN14" s="23"/>
      <c r="PO14" s="23"/>
      <c r="PP14" s="23"/>
      <c r="PQ14" s="23"/>
      <c r="PR14" s="23"/>
      <c r="PS14" s="23"/>
      <c r="PT14" s="23"/>
      <c r="PU14" s="23"/>
      <c r="PV14" s="23"/>
      <c r="PW14" s="23"/>
      <c r="PX14" s="23"/>
      <c r="PY14" s="23"/>
      <c r="PZ14" s="23"/>
      <c r="QA14" s="23"/>
      <c r="QB14" s="23"/>
      <c r="QC14" s="23"/>
      <c r="QD14" s="23"/>
      <c r="QE14" s="23"/>
      <c r="QF14" s="23"/>
      <c r="QG14" s="23"/>
      <c r="QH14" s="23"/>
      <c r="QI14" s="23"/>
      <c r="QJ14" s="23"/>
      <c r="QK14" s="23"/>
      <c r="QL14" s="23"/>
      <c r="QM14" s="23"/>
      <c r="QN14" s="23"/>
      <c r="QO14" s="23"/>
      <c r="QP14" s="23"/>
      <c r="QQ14" s="23"/>
      <c r="QR14" s="23"/>
      <c r="QS14" s="23"/>
      <c r="QT14" s="23"/>
      <c r="QU14" s="23"/>
      <c r="QV14" s="23"/>
      <c r="QW14" s="23"/>
      <c r="QX14" s="23"/>
      <c r="QY14" s="23"/>
      <c r="QZ14" s="23"/>
      <c r="RA14" s="23"/>
      <c r="RB14" s="23"/>
      <c r="RC14" s="23"/>
      <c r="RD14" s="23"/>
      <c r="RE14" s="23"/>
      <c r="RF14" s="23"/>
      <c r="RG14" s="23"/>
      <c r="RH14" s="23"/>
      <c r="RI14" s="23"/>
      <c r="RJ14" s="23"/>
      <c r="RK14" s="23"/>
      <c r="RL14" s="23"/>
      <c r="RM14" s="23"/>
      <c r="RN14" s="23"/>
      <c r="RO14" s="23"/>
      <c r="RP14" s="23"/>
      <c r="RQ14" s="23"/>
      <c r="RR14" s="23"/>
      <c r="RS14" s="23"/>
      <c r="RT14" s="23"/>
      <c r="RU14" s="23"/>
      <c r="RV14" s="23"/>
      <c r="RW14" s="23"/>
      <c r="RX14" s="23"/>
      <c r="RY14" s="23"/>
      <c r="RZ14" s="23"/>
      <c r="SA14" s="23"/>
      <c r="SB14" s="23"/>
      <c r="SC14" s="23"/>
      <c r="SD14" s="23"/>
      <c r="SE14" s="23"/>
      <c r="SF14" s="23"/>
      <c r="SG14" s="23"/>
      <c r="SH14" s="23"/>
      <c r="SI14" s="23"/>
      <c r="SJ14" s="23"/>
      <c r="SK14" s="23"/>
      <c r="SL14" s="23"/>
      <c r="SM14" s="23"/>
      <c r="SN14" s="23"/>
      <c r="SO14" s="23"/>
      <c r="SP14" s="23"/>
      <c r="SQ14" s="23"/>
      <c r="SR14" s="23"/>
      <c r="SS14" s="23"/>
      <c r="ST14" s="23"/>
      <c r="SU14" s="23"/>
      <c r="SV14" s="23"/>
      <c r="SW14" s="23"/>
      <c r="SX14" s="23"/>
      <c r="SY14" s="23"/>
      <c r="SZ14" s="23"/>
      <c r="TA14" s="23"/>
      <c r="TB14" s="23"/>
      <c r="TC14" s="23"/>
      <c r="TD14" s="23"/>
      <c r="TE14" s="23"/>
      <c r="TF14" s="23"/>
      <c r="TG14" s="23"/>
      <c r="TH14" s="23"/>
      <c r="TI14" s="23"/>
      <c r="TJ14" s="23"/>
      <c r="TK14" s="23"/>
      <c r="TL14" s="23"/>
      <c r="TM14" s="23"/>
      <c r="TN14" s="23"/>
      <c r="TO14" s="23"/>
      <c r="TP14" s="23"/>
      <c r="TQ14" s="23"/>
      <c r="TR14" s="23"/>
      <c r="TS14" s="23"/>
      <c r="TT14" s="23"/>
      <c r="TU14" s="23"/>
      <c r="TV14" s="23"/>
      <c r="TW14" s="23"/>
      <c r="TX14" s="23"/>
      <c r="TY14" s="23"/>
      <c r="TZ14" s="23"/>
      <c r="UA14" s="23"/>
      <c r="UB14" s="23"/>
      <c r="UC14" s="23"/>
      <c r="UD14" s="23"/>
      <c r="UE14" s="23"/>
      <c r="UF14" s="23"/>
      <c r="UG14" s="23"/>
      <c r="UH14" s="23"/>
      <c r="UI14" s="23"/>
      <c r="UJ14" s="23"/>
      <c r="UK14" s="23"/>
      <c r="UL14" s="23"/>
      <c r="UM14" s="23"/>
      <c r="UN14" s="23"/>
      <c r="UO14" s="23"/>
      <c r="UP14" s="23"/>
      <c r="UQ14" s="23"/>
      <c r="UR14" s="23"/>
      <c r="US14" s="23"/>
      <c r="UT14" s="23"/>
      <c r="UU14" s="23"/>
      <c r="UV14" s="23"/>
      <c r="UW14" s="23"/>
      <c r="UX14" s="23"/>
      <c r="UY14" s="23"/>
      <c r="UZ14" s="23"/>
      <c r="VA14" s="23"/>
      <c r="VB14" s="23"/>
      <c r="VC14" s="23"/>
      <c r="VD14" s="23"/>
      <c r="VE14" s="23"/>
      <c r="VF14" s="23"/>
      <c r="VG14" s="23"/>
      <c r="VH14" s="23"/>
      <c r="VI14" s="23"/>
      <c r="VJ14" s="23"/>
      <c r="VK14" s="23"/>
      <c r="VL14" s="23"/>
      <c r="VM14" s="23"/>
      <c r="VN14" s="23"/>
      <c r="VO14" s="23"/>
      <c r="VP14" s="23"/>
      <c r="VQ14" s="23"/>
      <c r="VR14" s="23"/>
      <c r="VS14" s="23"/>
      <c r="VT14" s="23"/>
      <c r="VU14" s="23"/>
      <c r="VV14" s="23"/>
      <c r="VW14" s="23"/>
      <c r="VX14" s="23"/>
      <c r="VY14" s="23"/>
      <c r="VZ14" s="23"/>
      <c r="WA14" s="23"/>
      <c r="WB14" s="23"/>
      <c r="WC14" s="23"/>
      <c r="WD14" s="23"/>
      <c r="WE14" s="23"/>
      <c r="WF14" s="23"/>
      <c r="WG14" s="23"/>
      <c r="WH14" s="23"/>
      <c r="WI14" s="23"/>
      <c r="WJ14" s="23"/>
      <c r="WK14" s="23"/>
      <c r="WL14" s="23"/>
      <c r="WM14" s="23"/>
      <c r="WN14" s="23"/>
      <c r="WO14" s="23"/>
      <c r="WP14" s="23"/>
      <c r="WQ14" s="23"/>
      <c r="WR14" s="23"/>
      <c r="WS14" s="23"/>
      <c r="WT14" s="23"/>
      <c r="WU14" s="23"/>
      <c r="WV14" s="23"/>
      <c r="WW14" s="23"/>
      <c r="WX14" s="23"/>
      <c r="WY14" s="23"/>
      <c r="WZ14" s="23"/>
      <c r="XA14" s="23"/>
      <c r="XB14" s="23"/>
      <c r="XC14" s="23"/>
      <c r="XD14" s="23"/>
      <c r="XE14" s="23"/>
      <c r="XF14" s="23"/>
      <c r="XG14" s="23"/>
      <c r="XH14" s="23"/>
      <c r="XI14" s="23"/>
      <c r="XJ14" s="23"/>
      <c r="XK14" s="23"/>
      <c r="XL14" s="23"/>
      <c r="XM14" s="23"/>
      <c r="XN14" s="23"/>
      <c r="XO14" s="23"/>
      <c r="XP14" s="23"/>
      <c r="XQ14" s="23"/>
      <c r="XR14" s="23"/>
      <c r="XS14" s="23"/>
      <c r="XT14" s="23"/>
      <c r="XU14" s="23"/>
      <c r="XV14" s="23"/>
      <c r="XW14" s="23"/>
      <c r="XX14" s="23"/>
      <c r="XY14" s="23"/>
      <c r="XZ14" s="23"/>
      <c r="YA14" s="23"/>
      <c r="YB14" s="23"/>
      <c r="YC14" s="23"/>
      <c r="YD14" s="23"/>
      <c r="YE14" s="23"/>
      <c r="YF14" s="23"/>
      <c r="YG14" s="23"/>
      <c r="YH14" s="23"/>
      <c r="YI14" s="23"/>
      <c r="YJ14" s="23"/>
      <c r="YK14" s="23"/>
      <c r="YL14" s="23"/>
      <c r="YM14" s="23"/>
      <c r="YN14" s="23"/>
      <c r="YO14" s="23"/>
      <c r="YP14" s="23"/>
      <c r="YQ14" s="23"/>
      <c r="YR14" s="23"/>
      <c r="YS14" s="23"/>
      <c r="YT14" s="23"/>
      <c r="YU14" s="23"/>
      <c r="YV14" s="23"/>
      <c r="YW14" s="23"/>
      <c r="YX14" s="23"/>
      <c r="YY14" s="23"/>
      <c r="YZ14" s="23"/>
      <c r="ZA14" s="23"/>
      <c r="ZB14" s="23"/>
      <c r="ZC14" s="23"/>
      <c r="ZD14" s="23"/>
      <c r="ZE14" s="54"/>
    </row>
    <row r="15" spans="1:682" s="58" customFormat="1" ht="14.25" customHeight="1" x14ac:dyDescent="0.25">
      <c r="A15" s="77"/>
      <c r="B15" s="128"/>
      <c r="C15" s="77"/>
      <c r="D15" s="77"/>
      <c r="E15" s="77"/>
      <c r="F15" s="77"/>
      <c r="G15" s="132"/>
      <c r="H15" s="133"/>
      <c r="I15" s="134"/>
      <c r="J15" s="77"/>
      <c r="K15" s="77"/>
      <c r="L15" s="77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253"/>
      <c r="AI15" s="253"/>
      <c r="AJ15" s="253"/>
      <c r="AK15" s="25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/>
      <c r="EL15" s="23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3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3"/>
      <c r="FV15" s="23"/>
      <c r="FW15" s="23"/>
      <c r="FX15" s="23"/>
      <c r="FY15" s="23"/>
      <c r="FZ15" s="23"/>
      <c r="GA15" s="23"/>
      <c r="GB15" s="23"/>
      <c r="GC15" s="23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61"/>
    </row>
    <row r="16" spans="1:682" s="50" customFormat="1" ht="15" customHeight="1" thickBot="1" x14ac:dyDescent="0.3">
      <c r="A16" s="30">
        <v>2000</v>
      </c>
      <c r="B16" s="104" t="s">
        <v>30</v>
      </c>
      <c r="C16" s="103" t="s">
        <v>66</v>
      </c>
      <c r="D16" s="5" t="s">
        <v>65</v>
      </c>
      <c r="E16" s="103" t="s">
        <v>49</v>
      </c>
      <c r="F16" s="5" t="s">
        <v>48</v>
      </c>
      <c r="G16" s="56">
        <v>2</v>
      </c>
      <c r="H16" s="172" t="s">
        <v>119</v>
      </c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265"/>
      <c r="AI16" s="265"/>
      <c r="AJ16" s="265"/>
      <c r="AK16" s="265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24"/>
      <c r="GG16" s="24"/>
      <c r="GH16" s="24"/>
      <c r="GI16" s="24"/>
      <c r="GJ16" s="24"/>
      <c r="GK16" s="24"/>
      <c r="GL16" s="24"/>
      <c r="GM16" s="24"/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24"/>
      <c r="IV16" s="24"/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24"/>
      <c r="JR16" s="24"/>
      <c r="JS16" s="24"/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24"/>
      <c r="KO16" s="24"/>
      <c r="KP16" s="24"/>
      <c r="KQ16" s="24"/>
      <c r="KR16" s="24"/>
      <c r="KS16" s="24"/>
      <c r="KT16" s="24"/>
      <c r="KU16" s="24"/>
      <c r="KV16" s="24"/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24"/>
      <c r="MS16" s="24"/>
      <c r="MT16" s="24"/>
      <c r="MU16" s="24"/>
      <c r="MV16" s="24"/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24"/>
      <c r="NR16" s="24"/>
      <c r="NS16" s="24"/>
      <c r="NT16" s="24"/>
      <c r="NU16" s="24"/>
      <c r="NV16" s="24"/>
      <c r="NW16" s="24"/>
      <c r="NX16" s="24"/>
      <c r="NY16" s="24"/>
      <c r="NZ16" s="24"/>
      <c r="OA16" s="24"/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24"/>
      <c r="OW16" s="24"/>
      <c r="OX16" s="24"/>
      <c r="OY16" s="24"/>
      <c r="OZ16" s="24"/>
      <c r="PA16" s="24"/>
      <c r="PB16" s="24"/>
      <c r="PC16" s="24"/>
      <c r="PD16" s="24"/>
      <c r="PE16" s="24"/>
      <c r="PF16" s="24"/>
      <c r="PG16" s="24"/>
      <c r="PH16" s="24"/>
      <c r="PI16" s="24"/>
      <c r="PJ16" s="24"/>
      <c r="PK16" s="24"/>
      <c r="PL16" s="24"/>
      <c r="PM16" s="24"/>
      <c r="PN16" s="24"/>
      <c r="PO16" s="24"/>
      <c r="PP16" s="24"/>
      <c r="PQ16" s="24"/>
      <c r="PR16" s="24"/>
      <c r="PS16" s="24"/>
      <c r="PT16" s="24"/>
      <c r="PU16" s="24"/>
      <c r="PV16" s="24"/>
      <c r="PW16" s="24"/>
      <c r="PX16" s="24"/>
      <c r="PY16" s="24"/>
      <c r="PZ16" s="24"/>
      <c r="QA16" s="24"/>
      <c r="QB16" s="24"/>
      <c r="QC16" s="24"/>
      <c r="QD16" s="24"/>
      <c r="QE16" s="24"/>
      <c r="QF16" s="24"/>
      <c r="QG16" s="24"/>
      <c r="QH16" s="24"/>
      <c r="QI16" s="24"/>
      <c r="QJ16" s="24"/>
      <c r="QK16" s="24"/>
      <c r="QL16" s="24"/>
      <c r="QM16" s="24"/>
      <c r="QN16" s="24"/>
      <c r="QO16" s="24"/>
      <c r="QP16" s="24"/>
      <c r="QQ16" s="24"/>
      <c r="QR16" s="24"/>
      <c r="QS16" s="24"/>
      <c r="QT16" s="24"/>
      <c r="QU16" s="24"/>
      <c r="QV16" s="24"/>
      <c r="QW16" s="24"/>
      <c r="QX16" s="24"/>
      <c r="QY16" s="24"/>
      <c r="QZ16" s="24"/>
      <c r="RA16" s="24"/>
      <c r="RB16" s="24"/>
      <c r="RC16" s="24"/>
      <c r="RD16" s="24"/>
      <c r="RE16" s="24"/>
      <c r="RF16" s="24"/>
      <c r="RG16" s="24"/>
      <c r="RH16" s="24"/>
      <c r="RI16" s="24"/>
      <c r="RJ16" s="24"/>
      <c r="RK16" s="24"/>
      <c r="RL16" s="24"/>
      <c r="RM16" s="24"/>
      <c r="RN16" s="24"/>
      <c r="RO16" s="24"/>
      <c r="RP16" s="24"/>
      <c r="RQ16" s="24"/>
      <c r="RR16" s="24"/>
      <c r="RS16" s="24"/>
      <c r="RT16" s="24"/>
      <c r="RU16" s="24"/>
      <c r="RV16" s="24"/>
      <c r="RW16" s="24"/>
      <c r="RX16" s="24"/>
      <c r="RY16" s="24"/>
      <c r="RZ16" s="24"/>
      <c r="SA16" s="24"/>
      <c r="SB16" s="24"/>
      <c r="SC16" s="24"/>
      <c r="SD16" s="24"/>
      <c r="SE16" s="24"/>
      <c r="SF16" s="24"/>
      <c r="SG16" s="24"/>
      <c r="SH16" s="24"/>
      <c r="SI16" s="24"/>
      <c r="SJ16" s="24"/>
      <c r="SK16" s="24"/>
      <c r="SL16" s="24"/>
      <c r="SM16" s="24"/>
      <c r="SN16" s="24"/>
      <c r="SO16" s="24"/>
      <c r="SP16" s="24"/>
      <c r="SQ16" s="24"/>
      <c r="SR16" s="24"/>
      <c r="SS16" s="24"/>
      <c r="ST16" s="24"/>
      <c r="SU16" s="24"/>
      <c r="SV16" s="24"/>
      <c r="SW16" s="24"/>
      <c r="SX16" s="24"/>
      <c r="SY16" s="24"/>
      <c r="SZ16" s="24"/>
      <c r="TA16" s="24"/>
      <c r="TB16" s="24"/>
      <c r="TC16" s="24"/>
      <c r="TD16" s="24"/>
      <c r="TE16" s="24"/>
      <c r="TF16" s="24"/>
      <c r="TG16" s="24"/>
      <c r="TH16" s="24"/>
      <c r="TI16" s="24"/>
      <c r="TJ16" s="24"/>
      <c r="TK16" s="24"/>
      <c r="TL16" s="24"/>
      <c r="TM16" s="24"/>
      <c r="TN16" s="24"/>
      <c r="TO16" s="24"/>
      <c r="TP16" s="24"/>
      <c r="TQ16" s="24"/>
      <c r="TR16" s="24"/>
      <c r="TS16" s="24"/>
      <c r="TT16" s="24"/>
      <c r="TU16" s="24"/>
      <c r="TV16" s="24"/>
      <c r="TW16" s="24"/>
      <c r="TX16" s="24"/>
      <c r="TY16" s="24"/>
      <c r="TZ16" s="24"/>
      <c r="UA16" s="24"/>
      <c r="UB16" s="24"/>
      <c r="UC16" s="24"/>
      <c r="UD16" s="24"/>
      <c r="UE16" s="24"/>
      <c r="UF16" s="24"/>
      <c r="UG16" s="24"/>
      <c r="UH16" s="24"/>
      <c r="UI16" s="24"/>
      <c r="UJ16" s="24"/>
      <c r="UK16" s="24"/>
      <c r="UL16" s="24"/>
      <c r="UM16" s="24"/>
      <c r="UN16" s="24"/>
      <c r="UO16" s="24"/>
      <c r="UP16" s="24"/>
      <c r="UQ16" s="24"/>
      <c r="UR16" s="24"/>
      <c r="US16" s="24"/>
      <c r="UT16" s="24"/>
      <c r="UU16" s="24"/>
      <c r="UV16" s="24"/>
      <c r="UW16" s="24"/>
      <c r="UX16" s="24"/>
      <c r="UY16" s="24"/>
      <c r="UZ16" s="24"/>
      <c r="VA16" s="24"/>
      <c r="VB16" s="24"/>
      <c r="VC16" s="24"/>
      <c r="VD16" s="24"/>
      <c r="VE16" s="24"/>
      <c r="VF16" s="24"/>
      <c r="VG16" s="24"/>
      <c r="VH16" s="24"/>
      <c r="VI16" s="24"/>
      <c r="VJ16" s="24"/>
      <c r="VK16" s="24"/>
      <c r="VL16" s="24"/>
      <c r="VM16" s="24"/>
      <c r="VN16" s="24"/>
      <c r="VO16" s="24"/>
      <c r="VP16" s="24"/>
      <c r="VQ16" s="24"/>
      <c r="VR16" s="24"/>
      <c r="VS16" s="24"/>
      <c r="VT16" s="24"/>
      <c r="VU16" s="24"/>
      <c r="VV16" s="24"/>
      <c r="VW16" s="24"/>
      <c r="VX16" s="24"/>
      <c r="VY16" s="24"/>
      <c r="VZ16" s="24"/>
      <c r="WA16" s="24"/>
      <c r="WB16" s="24"/>
      <c r="WC16" s="24"/>
      <c r="WD16" s="24"/>
      <c r="WE16" s="24"/>
      <c r="WF16" s="24"/>
      <c r="WG16" s="24"/>
      <c r="WH16" s="24"/>
      <c r="WI16" s="24"/>
      <c r="WJ16" s="24"/>
      <c r="WK16" s="24"/>
      <c r="WL16" s="24"/>
      <c r="WM16" s="24"/>
      <c r="WN16" s="24"/>
      <c r="WO16" s="24"/>
      <c r="WP16" s="24"/>
      <c r="WQ16" s="24"/>
      <c r="WR16" s="24"/>
      <c r="WS16" s="24"/>
      <c r="WT16" s="24"/>
      <c r="WU16" s="24"/>
      <c r="WV16" s="24"/>
      <c r="WW16" s="24"/>
      <c r="WX16" s="24"/>
      <c r="WY16" s="24"/>
      <c r="WZ16" s="24"/>
      <c r="XA16" s="24"/>
      <c r="XB16" s="24"/>
      <c r="XC16" s="24"/>
      <c r="XD16" s="24"/>
      <c r="XE16" s="24"/>
      <c r="XF16" s="24"/>
      <c r="XG16" s="24"/>
      <c r="XH16" s="24"/>
      <c r="XI16" s="24"/>
      <c r="XJ16" s="24"/>
      <c r="XK16" s="24"/>
      <c r="XL16" s="24"/>
      <c r="XM16" s="24"/>
      <c r="XN16" s="24"/>
      <c r="XO16" s="24"/>
      <c r="XP16" s="24"/>
      <c r="XQ16" s="24"/>
      <c r="XR16" s="24"/>
      <c r="XS16" s="24"/>
      <c r="XT16" s="24"/>
      <c r="XU16" s="24"/>
      <c r="XV16" s="24"/>
      <c r="XW16" s="24"/>
      <c r="XX16" s="24"/>
      <c r="XY16" s="24"/>
      <c r="XZ16" s="24"/>
      <c r="YA16" s="24"/>
      <c r="YB16" s="24"/>
      <c r="YC16" s="24"/>
      <c r="YD16" s="24"/>
      <c r="YE16" s="24"/>
      <c r="YF16" s="24"/>
      <c r="YG16" s="24"/>
      <c r="YH16" s="24"/>
      <c r="YI16" s="24"/>
      <c r="YJ16" s="24"/>
      <c r="YK16" s="24"/>
      <c r="YL16" s="24"/>
      <c r="YM16" s="24"/>
      <c r="YN16" s="24"/>
      <c r="YO16" s="24"/>
      <c r="YP16" s="24"/>
      <c r="YQ16" s="24"/>
      <c r="YR16" s="24"/>
      <c r="YS16" s="24"/>
      <c r="YT16" s="24"/>
      <c r="YU16" s="24"/>
      <c r="YV16" s="24"/>
      <c r="YW16" s="24"/>
      <c r="YX16" s="24"/>
      <c r="YY16" s="24"/>
      <c r="YZ16" s="24"/>
      <c r="ZA16" s="24"/>
      <c r="ZB16" s="24"/>
      <c r="ZC16" s="24"/>
      <c r="ZD16" s="24"/>
      <c r="ZE16" s="24"/>
      <c r="ZF16" s="53"/>
    </row>
    <row r="17" spans="1:682" s="45" customFormat="1" ht="15" customHeight="1" x14ac:dyDescent="0.25">
      <c r="A17" s="30">
        <v>2000</v>
      </c>
      <c r="B17" s="104" t="s">
        <v>30</v>
      </c>
      <c r="C17" s="103" t="s">
        <v>49</v>
      </c>
      <c r="D17" s="5" t="s">
        <v>48</v>
      </c>
      <c r="E17" s="103" t="s">
        <v>66</v>
      </c>
      <c r="F17" s="5" t="s">
        <v>65</v>
      </c>
      <c r="G17" s="56">
        <v>2</v>
      </c>
      <c r="H17" s="46" t="s">
        <v>25</v>
      </c>
      <c r="I17" s="47"/>
      <c r="J17" s="48">
        <f ca="1">OFFSET(CBN_CDC!I31,0,2)</f>
        <v>380</v>
      </c>
      <c r="K17" s="48">
        <f ca="1">OFFSET(CBN_CDC!J31,0,2)</f>
        <v>140</v>
      </c>
      <c r="L17" s="48">
        <f ca="1">OFFSET(CBN_CDC!K31,0,2)</f>
        <v>180</v>
      </c>
      <c r="M17" s="48">
        <f ca="1">OFFSET(CBN_CDC!L31,0,2)</f>
        <v>180</v>
      </c>
      <c r="N17" s="48">
        <f ca="1">OFFSET(CBN_CDC!M31,0,2)</f>
        <v>400</v>
      </c>
      <c r="O17" s="48">
        <f ca="1">OFFSET(CBN_CDC!N31,0,2)</f>
        <v>300</v>
      </c>
      <c r="P17" s="48">
        <f ca="1">OFFSET(CBN_CDC!O31,0,2)</f>
        <v>330</v>
      </c>
      <c r="Q17" s="48">
        <f ca="1">OFFSET(CBN_CDC!P31,0,2)</f>
        <v>140</v>
      </c>
      <c r="R17" s="48">
        <f ca="1">OFFSET(CBN_CDC!Q31,0,2)</f>
        <v>320</v>
      </c>
      <c r="S17" s="48">
        <f ca="1">OFFSET(CBN_CDC!R31,0,2)</f>
        <v>240</v>
      </c>
      <c r="T17" s="48">
        <f ca="1">OFFSET(CBN_CDC!S31,0,2)</f>
        <v>180</v>
      </c>
      <c r="U17" s="48">
        <f ca="1">OFFSET(CBN_CDC!T31,0,2)</f>
        <v>420</v>
      </c>
      <c r="V17" s="48">
        <f ca="1">OFFSET(CBN_CDC!U31,0,2)</f>
        <v>210</v>
      </c>
      <c r="W17" s="48">
        <f ca="1">OFFSET(CBN_CDC!V31,0,2)</f>
        <v>140</v>
      </c>
      <c r="X17" s="48">
        <f ca="1">OFFSET(CBN_CDC!W31,0,2)</f>
        <v>240</v>
      </c>
      <c r="Y17" s="48">
        <f ca="1">OFFSET(CBN_CDC!X31,0,2)</f>
        <v>140</v>
      </c>
      <c r="Z17" s="48">
        <f ca="1">OFFSET(CBN_CDC!Y31,0,2)</f>
        <v>150</v>
      </c>
      <c r="AA17" s="48">
        <f ca="1">OFFSET(CBN_CDC!Z31,0,2)</f>
        <v>250</v>
      </c>
      <c r="AB17" s="48">
        <f ca="1">OFFSET(CBN_CDC!AA31,0,2)</f>
        <v>270</v>
      </c>
      <c r="AC17" s="48">
        <f ca="1">OFFSET(CBN_CDC!AB31,0,2)</f>
        <v>200</v>
      </c>
      <c r="AD17" s="48">
        <f ca="1">OFFSET(CBN_CDC!AC31,0,2)</f>
        <v>250</v>
      </c>
      <c r="AE17" s="48">
        <f ca="1">OFFSET(CBN_CDC!AD31,0,2)</f>
        <v>40</v>
      </c>
      <c r="AF17" s="48">
        <f ca="1">OFFSET(CBN_CDC!AE31,0,2)</f>
        <v>0</v>
      </c>
      <c r="AG17" s="48">
        <f ca="1">OFFSET(CBN_CDC!AF31,0,2)</f>
        <v>0</v>
      </c>
      <c r="AH17" s="241"/>
      <c r="AI17" s="241"/>
      <c r="AJ17" s="241"/>
      <c r="AK17" s="241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3"/>
      <c r="JE17" s="23"/>
      <c r="JF17" s="23"/>
      <c r="JG17" s="23"/>
      <c r="JH17" s="23"/>
      <c r="JI17" s="23"/>
      <c r="JJ17" s="23"/>
      <c r="JK17" s="23"/>
      <c r="JL17" s="23"/>
      <c r="JM17" s="23"/>
      <c r="JN17" s="23"/>
      <c r="JO17" s="23"/>
      <c r="JP17" s="23"/>
      <c r="JQ17" s="23"/>
      <c r="JR17" s="23"/>
      <c r="JS17" s="23"/>
      <c r="JT17" s="23"/>
      <c r="JU17" s="23"/>
      <c r="JV17" s="23"/>
      <c r="JW17" s="23"/>
      <c r="JX17" s="23"/>
      <c r="JY17" s="23"/>
      <c r="JZ17" s="23"/>
      <c r="KA17" s="23"/>
      <c r="KB17" s="23"/>
      <c r="KC17" s="23"/>
      <c r="KD17" s="23"/>
      <c r="KE17" s="23"/>
      <c r="KF17" s="23"/>
      <c r="KG17" s="23"/>
      <c r="KH17" s="23"/>
      <c r="KI17" s="23"/>
      <c r="KJ17" s="23"/>
      <c r="KK17" s="23"/>
      <c r="KL17" s="23"/>
      <c r="KM17" s="23"/>
      <c r="KN17" s="23"/>
      <c r="KO17" s="23"/>
      <c r="KP17" s="23"/>
      <c r="KQ17" s="23"/>
      <c r="KR17" s="23"/>
      <c r="KS17" s="23"/>
      <c r="KT17" s="23"/>
      <c r="KU17" s="23"/>
      <c r="KV17" s="23"/>
      <c r="KW17" s="23"/>
      <c r="KX17" s="23"/>
      <c r="KY17" s="23"/>
      <c r="KZ17" s="23"/>
      <c r="LA17" s="23"/>
      <c r="LB17" s="23"/>
      <c r="LC17" s="23"/>
      <c r="LD17" s="23"/>
      <c r="LE17" s="23"/>
      <c r="LF17" s="23"/>
      <c r="LG17" s="23"/>
      <c r="LH17" s="23"/>
      <c r="LI17" s="23"/>
      <c r="LJ17" s="23"/>
      <c r="LK17" s="23"/>
      <c r="LL17" s="23"/>
      <c r="LM17" s="23"/>
      <c r="LN17" s="23"/>
      <c r="LO17" s="23"/>
      <c r="LP17" s="23"/>
      <c r="LQ17" s="23"/>
      <c r="LR17" s="23"/>
      <c r="LS17" s="23"/>
      <c r="LT17" s="23"/>
      <c r="LU17" s="23"/>
      <c r="LV17" s="23"/>
      <c r="LW17" s="23"/>
      <c r="LX17" s="23"/>
      <c r="LY17" s="23"/>
      <c r="LZ17" s="23"/>
      <c r="MA17" s="23"/>
      <c r="MB17" s="23"/>
      <c r="MC17" s="23"/>
      <c r="MD17" s="23"/>
      <c r="ME17" s="23"/>
      <c r="MF17" s="23"/>
      <c r="MG17" s="23"/>
      <c r="MH17" s="23"/>
      <c r="MI17" s="23"/>
      <c r="MJ17" s="23"/>
      <c r="MK17" s="23"/>
      <c r="ML17" s="23"/>
      <c r="MM17" s="23"/>
      <c r="MN17" s="23"/>
      <c r="MO17" s="23"/>
      <c r="MP17" s="23"/>
      <c r="MQ17" s="23"/>
      <c r="MR17" s="23"/>
      <c r="MS17" s="23"/>
      <c r="MT17" s="23"/>
      <c r="MU17" s="23"/>
      <c r="MV17" s="23"/>
      <c r="MW17" s="23"/>
      <c r="MX17" s="23"/>
      <c r="MY17" s="23"/>
      <c r="MZ17" s="23"/>
      <c r="NA17" s="23"/>
      <c r="NB17" s="23"/>
      <c r="NC17" s="23"/>
      <c r="ND17" s="23"/>
      <c r="NE17" s="23"/>
      <c r="NF17" s="23"/>
      <c r="NG17" s="23"/>
      <c r="NH17" s="23"/>
      <c r="NI17" s="23"/>
      <c r="NJ17" s="23"/>
      <c r="NK17" s="23"/>
      <c r="NL17" s="23"/>
      <c r="NM17" s="23"/>
      <c r="NN17" s="23"/>
      <c r="NO17" s="23"/>
      <c r="NP17" s="23"/>
      <c r="NQ17" s="23"/>
      <c r="NR17" s="23"/>
      <c r="NS17" s="23"/>
      <c r="NT17" s="23"/>
      <c r="NU17" s="23"/>
      <c r="NV17" s="23"/>
      <c r="NW17" s="23"/>
      <c r="NX17" s="23"/>
      <c r="NY17" s="23"/>
      <c r="NZ17" s="23"/>
      <c r="OA17" s="23"/>
      <c r="OB17" s="23"/>
      <c r="OC17" s="23"/>
      <c r="OD17" s="23"/>
      <c r="OE17" s="23"/>
      <c r="OF17" s="23"/>
      <c r="OG17" s="23"/>
      <c r="OH17" s="23"/>
      <c r="OI17" s="23"/>
      <c r="OJ17" s="23"/>
      <c r="OK17" s="23"/>
      <c r="OL17" s="23"/>
      <c r="OM17" s="23"/>
      <c r="ON17" s="23"/>
      <c r="OO17" s="23"/>
      <c r="OP17" s="23"/>
      <c r="OQ17" s="23"/>
      <c r="OR17" s="23"/>
      <c r="OS17" s="23"/>
      <c r="OT17" s="23"/>
      <c r="OU17" s="23"/>
      <c r="OV17" s="23"/>
      <c r="OW17" s="23"/>
      <c r="OX17" s="23"/>
      <c r="OY17" s="23"/>
      <c r="OZ17" s="23"/>
      <c r="PA17" s="23"/>
      <c r="PB17" s="23"/>
      <c r="PC17" s="23"/>
      <c r="PD17" s="23"/>
      <c r="PE17" s="23"/>
      <c r="PF17" s="23"/>
      <c r="PG17" s="23"/>
      <c r="PH17" s="23"/>
      <c r="PI17" s="23"/>
      <c r="PJ17" s="23"/>
      <c r="PK17" s="23"/>
      <c r="PL17" s="23"/>
      <c r="PM17" s="23"/>
      <c r="PN17" s="23"/>
      <c r="PO17" s="23"/>
      <c r="PP17" s="23"/>
      <c r="PQ17" s="23"/>
      <c r="PR17" s="23"/>
      <c r="PS17" s="23"/>
      <c r="PT17" s="23"/>
      <c r="PU17" s="23"/>
      <c r="PV17" s="23"/>
      <c r="PW17" s="23"/>
      <c r="PX17" s="23"/>
      <c r="PY17" s="23"/>
      <c r="PZ17" s="23"/>
      <c r="QA17" s="23"/>
      <c r="QB17" s="23"/>
      <c r="QC17" s="23"/>
      <c r="QD17" s="23"/>
      <c r="QE17" s="23"/>
      <c r="QF17" s="23"/>
      <c r="QG17" s="23"/>
      <c r="QH17" s="23"/>
      <c r="QI17" s="23"/>
      <c r="QJ17" s="23"/>
      <c r="QK17" s="23"/>
      <c r="QL17" s="23"/>
      <c r="QM17" s="23"/>
      <c r="QN17" s="23"/>
      <c r="QO17" s="23"/>
      <c r="QP17" s="23"/>
      <c r="QQ17" s="23"/>
      <c r="QR17" s="23"/>
      <c r="QS17" s="23"/>
      <c r="QT17" s="23"/>
      <c r="QU17" s="23"/>
      <c r="QV17" s="23"/>
      <c r="QW17" s="23"/>
      <c r="QX17" s="23"/>
      <c r="QY17" s="23"/>
      <c r="QZ17" s="23"/>
      <c r="RA17" s="23"/>
      <c r="RB17" s="23"/>
      <c r="RC17" s="23"/>
      <c r="RD17" s="23"/>
      <c r="RE17" s="23"/>
      <c r="RF17" s="23"/>
      <c r="RG17" s="23"/>
      <c r="RH17" s="23"/>
      <c r="RI17" s="23"/>
      <c r="RJ17" s="23"/>
      <c r="RK17" s="23"/>
      <c r="RL17" s="23"/>
      <c r="RM17" s="23"/>
      <c r="RN17" s="23"/>
      <c r="RO17" s="23"/>
      <c r="RP17" s="23"/>
      <c r="RQ17" s="23"/>
      <c r="RR17" s="23"/>
      <c r="RS17" s="23"/>
      <c r="RT17" s="23"/>
      <c r="RU17" s="23"/>
      <c r="RV17" s="23"/>
      <c r="RW17" s="23"/>
      <c r="RX17" s="23"/>
      <c r="RY17" s="23"/>
      <c r="RZ17" s="23"/>
      <c r="SA17" s="23"/>
      <c r="SB17" s="23"/>
      <c r="SC17" s="23"/>
      <c r="SD17" s="23"/>
      <c r="SE17" s="23"/>
      <c r="SF17" s="23"/>
      <c r="SG17" s="23"/>
      <c r="SH17" s="23"/>
      <c r="SI17" s="23"/>
      <c r="SJ17" s="23"/>
      <c r="SK17" s="23"/>
      <c r="SL17" s="23"/>
      <c r="SM17" s="23"/>
      <c r="SN17" s="23"/>
      <c r="SO17" s="23"/>
      <c r="SP17" s="23"/>
      <c r="SQ17" s="23"/>
      <c r="SR17" s="23"/>
      <c r="SS17" s="23"/>
      <c r="ST17" s="23"/>
      <c r="SU17" s="23"/>
      <c r="SV17" s="23"/>
      <c r="SW17" s="23"/>
      <c r="SX17" s="23"/>
      <c r="SY17" s="23"/>
      <c r="SZ17" s="23"/>
      <c r="TA17" s="23"/>
      <c r="TB17" s="23"/>
      <c r="TC17" s="23"/>
      <c r="TD17" s="23"/>
      <c r="TE17" s="23"/>
      <c r="TF17" s="23"/>
      <c r="TG17" s="23"/>
      <c r="TH17" s="23"/>
      <c r="TI17" s="23"/>
      <c r="TJ17" s="23"/>
      <c r="TK17" s="23"/>
      <c r="TL17" s="23"/>
      <c r="TM17" s="23"/>
      <c r="TN17" s="23"/>
      <c r="TO17" s="23"/>
      <c r="TP17" s="23"/>
      <c r="TQ17" s="23"/>
      <c r="TR17" s="23"/>
      <c r="TS17" s="23"/>
      <c r="TT17" s="23"/>
      <c r="TU17" s="23"/>
      <c r="TV17" s="23"/>
      <c r="TW17" s="23"/>
      <c r="TX17" s="23"/>
      <c r="TY17" s="23"/>
      <c r="TZ17" s="23"/>
      <c r="UA17" s="23"/>
      <c r="UB17" s="23"/>
      <c r="UC17" s="23"/>
      <c r="UD17" s="23"/>
      <c r="UE17" s="23"/>
      <c r="UF17" s="23"/>
      <c r="UG17" s="23"/>
      <c r="UH17" s="23"/>
      <c r="UI17" s="23"/>
      <c r="UJ17" s="23"/>
      <c r="UK17" s="23"/>
      <c r="UL17" s="23"/>
      <c r="UM17" s="23"/>
      <c r="UN17" s="23"/>
      <c r="UO17" s="23"/>
      <c r="UP17" s="23"/>
      <c r="UQ17" s="23"/>
      <c r="UR17" s="23"/>
      <c r="US17" s="23"/>
      <c r="UT17" s="23"/>
      <c r="UU17" s="23"/>
      <c r="UV17" s="23"/>
      <c r="UW17" s="23"/>
      <c r="UX17" s="23"/>
      <c r="UY17" s="23"/>
      <c r="UZ17" s="23"/>
      <c r="VA17" s="23"/>
      <c r="VB17" s="23"/>
      <c r="VC17" s="23"/>
      <c r="VD17" s="23"/>
      <c r="VE17" s="23"/>
      <c r="VF17" s="23"/>
      <c r="VG17" s="23"/>
      <c r="VH17" s="23"/>
      <c r="VI17" s="23"/>
      <c r="VJ17" s="23"/>
      <c r="VK17" s="23"/>
      <c r="VL17" s="23"/>
      <c r="VM17" s="23"/>
      <c r="VN17" s="23"/>
      <c r="VO17" s="23"/>
      <c r="VP17" s="23"/>
      <c r="VQ17" s="23"/>
      <c r="VR17" s="23"/>
      <c r="VS17" s="23"/>
      <c r="VT17" s="23"/>
      <c r="VU17" s="23"/>
      <c r="VV17" s="23"/>
      <c r="VW17" s="23"/>
      <c r="VX17" s="23"/>
      <c r="VY17" s="23"/>
      <c r="VZ17" s="23"/>
      <c r="WA17" s="23"/>
      <c r="WB17" s="23"/>
      <c r="WC17" s="23"/>
      <c r="WD17" s="23"/>
      <c r="WE17" s="23"/>
      <c r="WF17" s="23"/>
      <c r="WG17" s="23"/>
      <c r="WH17" s="23"/>
      <c r="WI17" s="23"/>
      <c r="WJ17" s="23"/>
      <c r="WK17" s="23"/>
      <c r="WL17" s="23"/>
      <c r="WM17" s="23"/>
      <c r="WN17" s="23"/>
      <c r="WO17" s="23"/>
      <c r="WP17" s="23"/>
      <c r="WQ17" s="23"/>
      <c r="WR17" s="23"/>
      <c r="WS17" s="23"/>
      <c r="WT17" s="23"/>
      <c r="WU17" s="23"/>
      <c r="WV17" s="23"/>
      <c r="WW17" s="23"/>
      <c r="WX17" s="23"/>
      <c r="WY17" s="23"/>
      <c r="WZ17" s="23"/>
      <c r="XA17" s="23"/>
      <c r="XB17" s="23"/>
      <c r="XC17" s="23"/>
      <c r="XD17" s="23"/>
      <c r="XE17" s="23"/>
      <c r="XF17" s="23"/>
      <c r="XG17" s="23"/>
      <c r="XH17" s="23"/>
      <c r="XI17" s="23"/>
      <c r="XJ17" s="23"/>
      <c r="XK17" s="23"/>
      <c r="XL17" s="23"/>
      <c r="XM17" s="23"/>
      <c r="XN17" s="23"/>
      <c r="XO17" s="23"/>
      <c r="XP17" s="23"/>
      <c r="XQ17" s="23"/>
      <c r="XR17" s="23"/>
      <c r="XS17" s="23"/>
      <c r="XT17" s="23"/>
      <c r="XU17" s="23"/>
      <c r="XV17" s="23"/>
      <c r="XW17" s="23"/>
      <c r="XX17" s="23"/>
      <c r="XY17" s="23"/>
      <c r="XZ17" s="23"/>
      <c r="YA17" s="23"/>
      <c r="YB17" s="23"/>
      <c r="YC17" s="23"/>
      <c r="YD17" s="23"/>
      <c r="YE17" s="23"/>
      <c r="YF17" s="23"/>
      <c r="YG17" s="23"/>
      <c r="YH17" s="23"/>
      <c r="YI17" s="23"/>
      <c r="YJ17" s="23"/>
      <c r="YK17" s="23"/>
      <c r="YL17" s="23"/>
      <c r="YM17" s="23"/>
      <c r="YN17" s="23"/>
      <c r="YO17" s="23"/>
      <c r="YP17" s="23"/>
      <c r="YQ17" s="23"/>
      <c r="YR17" s="23"/>
      <c r="YS17" s="23"/>
      <c r="YT17" s="23"/>
      <c r="YU17" s="23"/>
      <c r="YV17" s="23"/>
      <c r="YW17" s="23"/>
      <c r="YX17" s="23"/>
      <c r="YY17" s="23"/>
      <c r="YZ17" s="23"/>
      <c r="ZA17" s="23"/>
      <c r="ZB17" s="23"/>
      <c r="ZC17" s="23"/>
      <c r="ZD17" s="23"/>
      <c r="ZE17" s="52"/>
    </row>
    <row r="18" spans="1:682" s="50" customFormat="1" x14ac:dyDescent="0.25">
      <c r="A18" s="30">
        <v>2000</v>
      </c>
      <c r="B18" s="104" t="s">
        <v>30</v>
      </c>
      <c r="C18" s="103" t="s">
        <v>66</v>
      </c>
      <c r="D18" s="5" t="s">
        <v>65</v>
      </c>
      <c r="E18" s="103" t="s">
        <v>49</v>
      </c>
      <c r="F18" s="5" t="s">
        <v>48</v>
      </c>
      <c r="G18" s="56">
        <v>2</v>
      </c>
      <c r="H18" s="46" t="s">
        <v>42</v>
      </c>
      <c r="I18" s="47"/>
      <c r="J18" s="48">
        <f ca="1">OFFSET(MJ_Initialisation!D46,0,2)</f>
        <v>380</v>
      </c>
      <c r="K18" s="48">
        <f ca="1">OFFSET(MJ_Initialisation!E46,0,2)</f>
        <v>140</v>
      </c>
      <c r="L18" s="48">
        <f ca="1">OFFSET(MJ_Initialisation!F46,0,2)</f>
        <v>180</v>
      </c>
      <c r="M18" s="48">
        <f ca="1">OFFSET(MJ_Initialisation!G46,0,2)</f>
        <v>180</v>
      </c>
      <c r="N18" s="48">
        <f ca="1">OFFSET(MJ_Initialisation!H46,0,2)</f>
        <v>400</v>
      </c>
      <c r="O18" s="48">
        <f ca="1">OFFSET(MJ_Initialisation!I46,0,2)</f>
        <v>300</v>
      </c>
      <c r="P18" s="48">
        <f ca="1">OFFSET(MJ_Initialisation!J46,0,2)</f>
        <v>330</v>
      </c>
      <c r="Q18" s="48">
        <f ca="1">OFFSET(MJ_Initialisation!K46,0,2)</f>
        <v>140</v>
      </c>
      <c r="R18" s="48">
        <f ca="1">OFFSET(MJ_Initialisation!L46,0,2)</f>
        <v>320</v>
      </c>
      <c r="S18" s="48">
        <f ca="1">OFFSET(MJ_Initialisation!M46,0,2)</f>
        <v>240</v>
      </c>
      <c r="T18" s="48">
        <f ca="1">OFFSET(MJ_Initialisation!N46,0,2)</f>
        <v>180</v>
      </c>
      <c r="U18" s="48">
        <f ca="1">OFFSET(MJ_Initialisation!O46,0,2)</f>
        <v>420</v>
      </c>
      <c r="V18" s="48">
        <f ca="1">OFFSET(MJ_Initialisation!P46,0,2)</f>
        <v>210</v>
      </c>
      <c r="W18" s="48">
        <f ca="1">OFFSET(MJ_Initialisation!Q46,0,2)</f>
        <v>140</v>
      </c>
      <c r="X18" s="48">
        <f ca="1">OFFSET(MJ_Initialisation!R46,0,2)</f>
        <v>240</v>
      </c>
      <c r="Y18" s="48">
        <f ca="1">OFFSET(MJ_Initialisation!S46,0,2)</f>
        <v>140</v>
      </c>
      <c r="Z18" s="48">
        <f ca="1">OFFSET(MJ_Initialisation!T46,0,2)</f>
        <v>150</v>
      </c>
      <c r="AA18" s="48">
        <f ca="1">OFFSET(MJ_Initialisation!U46,0,2)</f>
        <v>250</v>
      </c>
      <c r="AB18" s="48">
        <f ca="1">OFFSET(MJ_Initialisation!V46,0,2)</f>
        <v>270</v>
      </c>
      <c r="AC18" s="48">
        <f ca="1">OFFSET(MJ_Initialisation!W46,0,2)</f>
        <v>200</v>
      </c>
      <c r="AD18" s="48">
        <f ca="1">OFFSET(MJ_Initialisation!X46,0,2)</f>
        <v>250</v>
      </c>
      <c r="AE18" s="48">
        <f ca="1">OFFSET(MJ_Initialisation!Y46,0,2)</f>
        <v>40</v>
      </c>
      <c r="AF18" s="48">
        <f ca="1">OFFSET(MJ_Initialisation!Z46,0,2)</f>
        <v>0</v>
      </c>
      <c r="AG18" s="48">
        <f ca="1">OFFSET(MJ_Initialisation!AA46,0,2)</f>
        <v>0</v>
      </c>
      <c r="AH18" s="241"/>
      <c r="AI18" s="241"/>
      <c r="AJ18" s="241"/>
      <c r="AK18" s="241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3"/>
      <c r="JE18" s="23"/>
      <c r="JF18" s="23"/>
      <c r="JG18" s="23"/>
      <c r="JH18" s="23"/>
      <c r="JI18" s="23"/>
      <c r="JJ18" s="23"/>
      <c r="JK18" s="23"/>
      <c r="JL18" s="23"/>
      <c r="JM18" s="23"/>
      <c r="JN18" s="23"/>
      <c r="JO18" s="23"/>
      <c r="JP18" s="23"/>
      <c r="JQ18" s="23"/>
      <c r="JR18" s="23"/>
      <c r="JS18" s="23"/>
      <c r="JT18" s="23"/>
      <c r="JU18" s="23"/>
      <c r="JV18" s="23"/>
      <c r="JW18" s="23"/>
      <c r="JX18" s="23"/>
      <c r="JY18" s="23"/>
      <c r="JZ18" s="23"/>
      <c r="KA18" s="23"/>
      <c r="KB18" s="23"/>
      <c r="KC18" s="23"/>
      <c r="KD18" s="23"/>
      <c r="KE18" s="23"/>
      <c r="KF18" s="23"/>
      <c r="KG18" s="23"/>
      <c r="KH18" s="23"/>
      <c r="KI18" s="23"/>
      <c r="KJ18" s="23"/>
      <c r="KK18" s="23"/>
      <c r="KL18" s="23"/>
      <c r="KM18" s="23"/>
      <c r="KN18" s="23"/>
      <c r="KO18" s="23"/>
      <c r="KP18" s="23"/>
      <c r="KQ18" s="23"/>
      <c r="KR18" s="23"/>
      <c r="KS18" s="23"/>
      <c r="KT18" s="23"/>
      <c r="KU18" s="23"/>
      <c r="KV18" s="23"/>
      <c r="KW18" s="23"/>
      <c r="KX18" s="23"/>
      <c r="KY18" s="23"/>
      <c r="KZ18" s="23"/>
      <c r="LA18" s="23"/>
      <c r="LB18" s="23"/>
      <c r="LC18" s="23"/>
      <c r="LD18" s="23"/>
      <c r="LE18" s="23"/>
      <c r="LF18" s="23"/>
      <c r="LG18" s="23"/>
      <c r="LH18" s="23"/>
      <c r="LI18" s="23"/>
      <c r="LJ18" s="23"/>
      <c r="LK18" s="23"/>
      <c r="LL18" s="23"/>
      <c r="LM18" s="23"/>
      <c r="LN18" s="23"/>
      <c r="LO18" s="23"/>
      <c r="LP18" s="23"/>
      <c r="LQ18" s="23"/>
      <c r="LR18" s="23"/>
      <c r="LS18" s="23"/>
      <c r="LT18" s="23"/>
      <c r="LU18" s="23"/>
      <c r="LV18" s="23"/>
      <c r="LW18" s="23"/>
      <c r="LX18" s="23"/>
      <c r="LY18" s="23"/>
      <c r="LZ18" s="23"/>
      <c r="MA18" s="23"/>
      <c r="MB18" s="23"/>
      <c r="MC18" s="23"/>
      <c r="MD18" s="23"/>
      <c r="ME18" s="23"/>
      <c r="MF18" s="23"/>
      <c r="MG18" s="23"/>
      <c r="MH18" s="23"/>
      <c r="MI18" s="23"/>
      <c r="MJ18" s="23"/>
      <c r="MK18" s="23"/>
      <c r="ML18" s="23"/>
      <c r="MM18" s="23"/>
      <c r="MN18" s="23"/>
      <c r="MO18" s="23"/>
      <c r="MP18" s="23"/>
      <c r="MQ18" s="23"/>
      <c r="MR18" s="23"/>
      <c r="MS18" s="23"/>
      <c r="MT18" s="23"/>
      <c r="MU18" s="23"/>
      <c r="MV18" s="23"/>
      <c r="MW18" s="23"/>
      <c r="MX18" s="23"/>
      <c r="MY18" s="23"/>
      <c r="MZ18" s="23"/>
      <c r="NA18" s="23"/>
      <c r="NB18" s="23"/>
      <c r="NC18" s="23"/>
      <c r="ND18" s="23"/>
      <c r="NE18" s="23"/>
      <c r="NF18" s="23"/>
      <c r="NG18" s="23"/>
      <c r="NH18" s="23"/>
      <c r="NI18" s="23"/>
      <c r="NJ18" s="23"/>
      <c r="NK18" s="23"/>
      <c r="NL18" s="23"/>
      <c r="NM18" s="23"/>
      <c r="NN18" s="23"/>
      <c r="NO18" s="23"/>
      <c r="NP18" s="23"/>
      <c r="NQ18" s="23"/>
      <c r="NR18" s="23"/>
      <c r="NS18" s="23"/>
      <c r="NT18" s="23"/>
      <c r="NU18" s="23"/>
      <c r="NV18" s="23"/>
      <c r="NW18" s="23"/>
      <c r="NX18" s="23"/>
      <c r="NY18" s="23"/>
      <c r="NZ18" s="23"/>
      <c r="OA18" s="23"/>
      <c r="OB18" s="23"/>
      <c r="OC18" s="23"/>
      <c r="OD18" s="23"/>
      <c r="OE18" s="23"/>
      <c r="OF18" s="23"/>
      <c r="OG18" s="23"/>
      <c r="OH18" s="23"/>
      <c r="OI18" s="23"/>
      <c r="OJ18" s="23"/>
      <c r="OK18" s="23"/>
      <c r="OL18" s="23"/>
      <c r="OM18" s="23"/>
      <c r="ON18" s="23"/>
      <c r="OO18" s="23"/>
      <c r="OP18" s="23"/>
      <c r="OQ18" s="23"/>
      <c r="OR18" s="23"/>
      <c r="OS18" s="23"/>
      <c r="OT18" s="23"/>
      <c r="OU18" s="23"/>
      <c r="OV18" s="23"/>
      <c r="OW18" s="23"/>
      <c r="OX18" s="23"/>
      <c r="OY18" s="23"/>
      <c r="OZ18" s="23"/>
      <c r="PA18" s="23"/>
      <c r="PB18" s="23"/>
      <c r="PC18" s="23"/>
      <c r="PD18" s="23"/>
      <c r="PE18" s="23"/>
      <c r="PF18" s="23"/>
      <c r="PG18" s="23"/>
      <c r="PH18" s="23"/>
      <c r="PI18" s="23"/>
      <c r="PJ18" s="23"/>
      <c r="PK18" s="23"/>
      <c r="PL18" s="23"/>
      <c r="PM18" s="23"/>
      <c r="PN18" s="23"/>
      <c r="PO18" s="23"/>
      <c r="PP18" s="23"/>
      <c r="PQ18" s="23"/>
      <c r="PR18" s="23"/>
      <c r="PS18" s="23"/>
      <c r="PT18" s="23"/>
      <c r="PU18" s="23"/>
      <c r="PV18" s="23"/>
      <c r="PW18" s="23"/>
      <c r="PX18" s="23"/>
      <c r="PY18" s="23"/>
      <c r="PZ18" s="23"/>
      <c r="QA18" s="23"/>
      <c r="QB18" s="23"/>
      <c r="QC18" s="23"/>
      <c r="QD18" s="23"/>
      <c r="QE18" s="23"/>
      <c r="QF18" s="23"/>
      <c r="QG18" s="23"/>
      <c r="QH18" s="23"/>
      <c r="QI18" s="23"/>
      <c r="QJ18" s="23"/>
      <c r="QK18" s="23"/>
      <c r="QL18" s="23"/>
      <c r="QM18" s="23"/>
      <c r="QN18" s="23"/>
      <c r="QO18" s="23"/>
      <c r="QP18" s="23"/>
      <c r="QQ18" s="23"/>
      <c r="QR18" s="23"/>
      <c r="QS18" s="23"/>
      <c r="QT18" s="23"/>
      <c r="QU18" s="23"/>
      <c r="QV18" s="23"/>
      <c r="QW18" s="23"/>
      <c r="QX18" s="23"/>
      <c r="QY18" s="23"/>
      <c r="QZ18" s="23"/>
      <c r="RA18" s="23"/>
      <c r="RB18" s="23"/>
      <c r="RC18" s="23"/>
      <c r="RD18" s="23"/>
      <c r="RE18" s="23"/>
      <c r="RF18" s="23"/>
      <c r="RG18" s="23"/>
      <c r="RH18" s="23"/>
      <c r="RI18" s="23"/>
      <c r="RJ18" s="23"/>
      <c r="RK18" s="23"/>
      <c r="RL18" s="23"/>
      <c r="RM18" s="23"/>
      <c r="RN18" s="23"/>
      <c r="RO18" s="23"/>
      <c r="RP18" s="23"/>
      <c r="RQ18" s="23"/>
      <c r="RR18" s="23"/>
      <c r="RS18" s="23"/>
      <c r="RT18" s="23"/>
      <c r="RU18" s="23"/>
      <c r="RV18" s="23"/>
      <c r="RW18" s="23"/>
      <c r="RX18" s="23"/>
      <c r="RY18" s="23"/>
      <c r="RZ18" s="23"/>
      <c r="SA18" s="23"/>
      <c r="SB18" s="23"/>
      <c r="SC18" s="23"/>
      <c r="SD18" s="23"/>
      <c r="SE18" s="23"/>
      <c r="SF18" s="23"/>
      <c r="SG18" s="23"/>
      <c r="SH18" s="23"/>
      <c r="SI18" s="23"/>
      <c r="SJ18" s="23"/>
      <c r="SK18" s="23"/>
      <c r="SL18" s="23"/>
      <c r="SM18" s="23"/>
      <c r="SN18" s="23"/>
      <c r="SO18" s="23"/>
      <c r="SP18" s="23"/>
      <c r="SQ18" s="23"/>
      <c r="SR18" s="23"/>
      <c r="SS18" s="23"/>
      <c r="ST18" s="23"/>
      <c r="SU18" s="23"/>
      <c r="SV18" s="23"/>
      <c r="SW18" s="23"/>
      <c r="SX18" s="23"/>
      <c r="SY18" s="23"/>
      <c r="SZ18" s="23"/>
      <c r="TA18" s="23"/>
      <c r="TB18" s="23"/>
      <c r="TC18" s="23"/>
      <c r="TD18" s="23"/>
      <c r="TE18" s="23"/>
      <c r="TF18" s="23"/>
      <c r="TG18" s="23"/>
      <c r="TH18" s="23"/>
      <c r="TI18" s="23"/>
      <c r="TJ18" s="23"/>
      <c r="TK18" s="23"/>
      <c r="TL18" s="23"/>
      <c r="TM18" s="23"/>
      <c r="TN18" s="23"/>
      <c r="TO18" s="23"/>
      <c r="TP18" s="23"/>
      <c r="TQ18" s="23"/>
      <c r="TR18" s="23"/>
      <c r="TS18" s="23"/>
      <c r="TT18" s="23"/>
      <c r="TU18" s="23"/>
      <c r="TV18" s="23"/>
      <c r="TW18" s="23"/>
      <c r="TX18" s="23"/>
      <c r="TY18" s="23"/>
      <c r="TZ18" s="23"/>
      <c r="UA18" s="23"/>
      <c r="UB18" s="23"/>
      <c r="UC18" s="23"/>
      <c r="UD18" s="23"/>
      <c r="UE18" s="23"/>
      <c r="UF18" s="23"/>
      <c r="UG18" s="23"/>
      <c r="UH18" s="23"/>
      <c r="UI18" s="23"/>
      <c r="UJ18" s="23"/>
      <c r="UK18" s="23"/>
      <c r="UL18" s="23"/>
      <c r="UM18" s="23"/>
      <c r="UN18" s="23"/>
      <c r="UO18" s="23"/>
      <c r="UP18" s="23"/>
      <c r="UQ18" s="23"/>
      <c r="UR18" s="23"/>
      <c r="US18" s="23"/>
      <c r="UT18" s="23"/>
      <c r="UU18" s="23"/>
      <c r="UV18" s="23"/>
      <c r="UW18" s="23"/>
      <c r="UX18" s="23"/>
      <c r="UY18" s="23"/>
      <c r="UZ18" s="23"/>
      <c r="VA18" s="23"/>
      <c r="VB18" s="23"/>
      <c r="VC18" s="23"/>
      <c r="VD18" s="23"/>
      <c r="VE18" s="23"/>
      <c r="VF18" s="23"/>
      <c r="VG18" s="23"/>
      <c r="VH18" s="23"/>
      <c r="VI18" s="23"/>
      <c r="VJ18" s="23"/>
      <c r="VK18" s="23"/>
      <c r="VL18" s="23"/>
      <c r="VM18" s="23"/>
      <c r="VN18" s="23"/>
      <c r="VO18" s="23"/>
      <c r="VP18" s="23"/>
      <c r="VQ18" s="23"/>
      <c r="VR18" s="23"/>
      <c r="VS18" s="23"/>
      <c r="VT18" s="23"/>
      <c r="VU18" s="23"/>
      <c r="VV18" s="23"/>
      <c r="VW18" s="23"/>
      <c r="VX18" s="23"/>
      <c r="VY18" s="23"/>
      <c r="VZ18" s="23"/>
      <c r="WA18" s="23"/>
      <c r="WB18" s="23"/>
      <c r="WC18" s="23"/>
      <c r="WD18" s="23"/>
      <c r="WE18" s="23"/>
      <c r="WF18" s="23"/>
      <c r="WG18" s="23"/>
      <c r="WH18" s="23"/>
      <c r="WI18" s="23"/>
      <c r="WJ18" s="23"/>
      <c r="WK18" s="23"/>
      <c r="WL18" s="23"/>
      <c r="WM18" s="23"/>
      <c r="WN18" s="23"/>
      <c r="WO18" s="23"/>
      <c r="WP18" s="23"/>
      <c r="WQ18" s="23"/>
      <c r="WR18" s="23"/>
      <c r="WS18" s="23"/>
      <c r="WT18" s="23"/>
      <c r="WU18" s="23"/>
      <c r="WV18" s="23"/>
      <c r="WW18" s="23"/>
      <c r="WX18" s="23"/>
      <c r="WY18" s="23"/>
      <c r="WZ18" s="23"/>
      <c r="XA18" s="23"/>
      <c r="XB18" s="23"/>
      <c r="XC18" s="23"/>
      <c r="XD18" s="23"/>
      <c r="XE18" s="23"/>
      <c r="XF18" s="23"/>
      <c r="XG18" s="23"/>
      <c r="XH18" s="23"/>
      <c r="XI18" s="23"/>
      <c r="XJ18" s="23"/>
      <c r="XK18" s="23"/>
      <c r="XL18" s="23"/>
      <c r="XM18" s="23"/>
      <c r="XN18" s="23"/>
      <c r="XO18" s="23"/>
      <c r="XP18" s="23"/>
      <c r="XQ18" s="23"/>
      <c r="XR18" s="23"/>
      <c r="XS18" s="23"/>
      <c r="XT18" s="23"/>
      <c r="XU18" s="23"/>
      <c r="XV18" s="23"/>
      <c r="XW18" s="23"/>
      <c r="XX18" s="23"/>
      <c r="XY18" s="23"/>
      <c r="XZ18" s="23"/>
      <c r="YA18" s="23"/>
      <c r="YB18" s="23"/>
      <c r="YC18" s="23"/>
      <c r="YD18" s="23"/>
      <c r="YE18" s="23"/>
      <c r="YF18" s="23"/>
      <c r="YG18" s="23"/>
      <c r="YH18" s="23"/>
      <c r="YI18" s="23"/>
      <c r="YJ18" s="23"/>
      <c r="YK18" s="23"/>
      <c r="YL18" s="23"/>
      <c r="YM18" s="23"/>
      <c r="YN18" s="23"/>
      <c r="YO18" s="23"/>
      <c r="YP18" s="23"/>
      <c r="YQ18" s="23"/>
      <c r="YR18" s="23"/>
      <c r="YS18" s="23"/>
      <c r="YT18" s="23"/>
      <c r="YU18" s="23"/>
      <c r="YV18" s="23"/>
      <c r="YW18" s="23"/>
      <c r="YX18" s="23"/>
      <c r="YY18" s="23"/>
      <c r="YZ18" s="23"/>
      <c r="ZA18" s="23"/>
      <c r="ZB18" s="23"/>
      <c r="ZC18" s="23"/>
      <c r="ZD18" s="23"/>
      <c r="ZE18" s="53"/>
    </row>
    <row r="19" spans="1:682" s="5" customFormat="1" ht="15" customHeight="1" x14ac:dyDescent="0.25">
      <c r="A19" s="30">
        <v>2000</v>
      </c>
      <c r="B19" s="104" t="s">
        <v>30</v>
      </c>
      <c r="C19" s="103" t="s">
        <v>66</v>
      </c>
      <c r="D19" s="5" t="s">
        <v>65</v>
      </c>
      <c r="E19" s="103" t="s">
        <v>49</v>
      </c>
      <c r="F19" s="5" t="s">
        <v>48</v>
      </c>
      <c r="G19" s="56">
        <v>2</v>
      </c>
      <c r="H19" s="46" t="s">
        <v>43</v>
      </c>
      <c r="I19" s="47"/>
      <c r="J19" s="48">
        <f ca="1">OFFSET(MJ_Initialisation!D47,0,2)</f>
        <v>0</v>
      </c>
      <c r="K19" s="48">
        <f ca="1">OFFSET(MJ_Initialisation!E47,0,2)</f>
        <v>0</v>
      </c>
      <c r="L19" s="48">
        <f ca="1">OFFSET(MJ_Initialisation!F47,0,2)</f>
        <v>0</v>
      </c>
      <c r="M19" s="48">
        <f ca="1">OFFSET(MJ_Initialisation!G47,0,2)</f>
        <v>0</v>
      </c>
      <c r="N19" s="48">
        <f ca="1">OFFSET(MJ_Initialisation!H47,0,2)</f>
        <v>0</v>
      </c>
      <c r="O19" s="48">
        <f ca="1">OFFSET(MJ_Initialisation!I47,0,2)</f>
        <v>0</v>
      </c>
      <c r="P19" s="48">
        <f ca="1">OFFSET(MJ_Initialisation!J47,0,2)</f>
        <v>0</v>
      </c>
      <c r="Q19" s="48">
        <f ca="1">OFFSET(MJ_Initialisation!K47,0,2)</f>
        <v>0</v>
      </c>
      <c r="R19" s="48">
        <f ca="1">OFFSET(MJ_Initialisation!L47,0,2)</f>
        <v>0</v>
      </c>
      <c r="S19" s="48">
        <f ca="1">OFFSET(MJ_Initialisation!M47,0,2)</f>
        <v>0</v>
      </c>
      <c r="T19" s="48">
        <f ca="1">OFFSET(MJ_Initialisation!N47,0,2)</f>
        <v>0</v>
      </c>
      <c r="U19" s="48">
        <f ca="1">OFFSET(MJ_Initialisation!O47,0,2)</f>
        <v>0</v>
      </c>
      <c r="V19" s="48">
        <f ca="1">OFFSET(MJ_Initialisation!P47,0,2)</f>
        <v>0</v>
      </c>
      <c r="W19" s="48">
        <f ca="1">OFFSET(MJ_Initialisation!Q47,0,2)</f>
        <v>0</v>
      </c>
      <c r="X19" s="48">
        <f ca="1">OFFSET(MJ_Initialisation!R47,0,2)</f>
        <v>0</v>
      </c>
      <c r="Y19" s="48">
        <f ca="1">OFFSET(MJ_Initialisation!S47,0,2)</f>
        <v>0</v>
      </c>
      <c r="Z19" s="48">
        <f ca="1">OFFSET(MJ_Initialisation!T47,0,2)</f>
        <v>0</v>
      </c>
      <c r="AA19" s="48">
        <f ca="1">OFFSET(MJ_Initialisation!U47,0,2)</f>
        <v>0</v>
      </c>
      <c r="AB19" s="48">
        <f ca="1">OFFSET(MJ_Initialisation!V47,0,2)</f>
        <v>0</v>
      </c>
      <c r="AC19" s="48">
        <f ca="1">OFFSET(MJ_Initialisation!W47,0,2)</f>
        <v>0</v>
      </c>
      <c r="AD19" s="48">
        <f ca="1">OFFSET(MJ_Initialisation!X47,0,2)</f>
        <v>0</v>
      </c>
      <c r="AE19" s="48">
        <f ca="1">OFFSET(MJ_Initialisation!Y47,0,2)</f>
        <v>0</v>
      </c>
      <c r="AF19" s="48">
        <f ca="1">OFFSET(MJ_Initialisation!Z47,0,2)</f>
        <v>0</v>
      </c>
      <c r="AG19" s="48">
        <f ca="1">OFFSET(MJ_Initialisation!AA47,0,2)</f>
        <v>0</v>
      </c>
      <c r="AH19" s="241"/>
      <c r="AI19" s="241"/>
      <c r="AJ19" s="241"/>
      <c r="AK19" s="241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3"/>
      <c r="JE19" s="23"/>
      <c r="JF19" s="23"/>
      <c r="JG19" s="23"/>
      <c r="JH19" s="23"/>
      <c r="JI19" s="23"/>
      <c r="JJ19" s="23"/>
      <c r="JK19" s="23"/>
      <c r="JL19" s="23"/>
      <c r="JM19" s="23"/>
      <c r="JN19" s="23"/>
      <c r="JO19" s="23"/>
      <c r="JP19" s="23"/>
      <c r="JQ19" s="23"/>
      <c r="JR19" s="23"/>
      <c r="JS19" s="23"/>
      <c r="JT19" s="23"/>
      <c r="JU19" s="23"/>
      <c r="JV19" s="23"/>
      <c r="JW19" s="23"/>
      <c r="JX19" s="23"/>
      <c r="JY19" s="23"/>
      <c r="JZ19" s="23"/>
      <c r="KA19" s="23"/>
      <c r="KB19" s="23"/>
      <c r="KC19" s="23"/>
      <c r="KD19" s="23"/>
      <c r="KE19" s="23"/>
      <c r="KF19" s="23"/>
      <c r="KG19" s="23"/>
      <c r="KH19" s="23"/>
      <c r="KI19" s="23"/>
      <c r="KJ19" s="23"/>
      <c r="KK19" s="23"/>
      <c r="KL19" s="23"/>
      <c r="KM19" s="23"/>
      <c r="KN19" s="23"/>
      <c r="KO19" s="23"/>
      <c r="KP19" s="23"/>
      <c r="KQ19" s="23"/>
      <c r="KR19" s="23"/>
      <c r="KS19" s="23"/>
      <c r="KT19" s="23"/>
      <c r="KU19" s="23"/>
      <c r="KV19" s="23"/>
      <c r="KW19" s="23"/>
      <c r="KX19" s="23"/>
      <c r="KY19" s="23"/>
      <c r="KZ19" s="23"/>
      <c r="LA19" s="23"/>
      <c r="LB19" s="23"/>
      <c r="LC19" s="23"/>
      <c r="LD19" s="23"/>
      <c r="LE19" s="23"/>
      <c r="LF19" s="23"/>
      <c r="LG19" s="23"/>
      <c r="LH19" s="23"/>
      <c r="LI19" s="23"/>
      <c r="LJ19" s="23"/>
      <c r="LK19" s="23"/>
      <c r="LL19" s="23"/>
      <c r="LM19" s="23"/>
      <c r="LN19" s="23"/>
      <c r="LO19" s="23"/>
      <c r="LP19" s="23"/>
      <c r="LQ19" s="23"/>
      <c r="LR19" s="23"/>
      <c r="LS19" s="23"/>
      <c r="LT19" s="23"/>
      <c r="LU19" s="23"/>
      <c r="LV19" s="23"/>
      <c r="LW19" s="23"/>
      <c r="LX19" s="23"/>
      <c r="LY19" s="23"/>
      <c r="LZ19" s="23"/>
      <c r="MA19" s="23"/>
      <c r="MB19" s="23"/>
      <c r="MC19" s="23"/>
      <c r="MD19" s="23"/>
      <c r="ME19" s="23"/>
      <c r="MF19" s="23"/>
      <c r="MG19" s="23"/>
      <c r="MH19" s="23"/>
      <c r="MI19" s="23"/>
      <c r="MJ19" s="23"/>
      <c r="MK19" s="23"/>
      <c r="ML19" s="23"/>
      <c r="MM19" s="23"/>
      <c r="MN19" s="23"/>
      <c r="MO19" s="23"/>
      <c r="MP19" s="23"/>
      <c r="MQ19" s="23"/>
      <c r="MR19" s="23"/>
      <c r="MS19" s="23"/>
      <c r="MT19" s="23"/>
      <c r="MU19" s="23"/>
      <c r="MV19" s="23"/>
      <c r="MW19" s="23"/>
      <c r="MX19" s="23"/>
      <c r="MY19" s="23"/>
      <c r="MZ19" s="23"/>
      <c r="NA19" s="23"/>
      <c r="NB19" s="23"/>
      <c r="NC19" s="23"/>
      <c r="ND19" s="23"/>
      <c r="NE19" s="23"/>
      <c r="NF19" s="23"/>
      <c r="NG19" s="23"/>
      <c r="NH19" s="23"/>
      <c r="NI19" s="23"/>
      <c r="NJ19" s="23"/>
      <c r="NK19" s="23"/>
      <c r="NL19" s="23"/>
      <c r="NM19" s="23"/>
      <c r="NN19" s="23"/>
      <c r="NO19" s="23"/>
      <c r="NP19" s="23"/>
      <c r="NQ19" s="23"/>
      <c r="NR19" s="23"/>
      <c r="NS19" s="23"/>
      <c r="NT19" s="23"/>
      <c r="NU19" s="23"/>
      <c r="NV19" s="23"/>
      <c r="NW19" s="23"/>
      <c r="NX19" s="23"/>
      <c r="NY19" s="23"/>
      <c r="NZ19" s="23"/>
      <c r="OA19" s="23"/>
      <c r="OB19" s="23"/>
      <c r="OC19" s="23"/>
      <c r="OD19" s="23"/>
      <c r="OE19" s="23"/>
      <c r="OF19" s="23"/>
      <c r="OG19" s="23"/>
      <c r="OH19" s="23"/>
      <c r="OI19" s="23"/>
      <c r="OJ19" s="23"/>
      <c r="OK19" s="23"/>
      <c r="OL19" s="23"/>
      <c r="OM19" s="23"/>
      <c r="ON19" s="23"/>
      <c r="OO19" s="23"/>
      <c r="OP19" s="23"/>
      <c r="OQ19" s="23"/>
      <c r="OR19" s="23"/>
      <c r="OS19" s="23"/>
      <c r="OT19" s="23"/>
      <c r="OU19" s="23"/>
      <c r="OV19" s="23"/>
      <c r="OW19" s="23"/>
      <c r="OX19" s="23"/>
      <c r="OY19" s="23"/>
      <c r="OZ19" s="23"/>
      <c r="PA19" s="23"/>
      <c r="PB19" s="23"/>
      <c r="PC19" s="23"/>
      <c r="PD19" s="23"/>
      <c r="PE19" s="23"/>
      <c r="PF19" s="23"/>
      <c r="PG19" s="23"/>
      <c r="PH19" s="23"/>
      <c r="PI19" s="23"/>
      <c r="PJ19" s="23"/>
      <c r="PK19" s="23"/>
      <c r="PL19" s="23"/>
      <c r="PM19" s="23"/>
      <c r="PN19" s="23"/>
      <c r="PO19" s="23"/>
      <c r="PP19" s="23"/>
      <c r="PQ19" s="23"/>
      <c r="PR19" s="23"/>
      <c r="PS19" s="23"/>
      <c r="PT19" s="23"/>
      <c r="PU19" s="23"/>
      <c r="PV19" s="23"/>
      <c r="PW19" s="23"/>
      <c r="PX19" s="23"/>
      <c r="PY19" s="23"/>
      <c r="PZ19" s="23"/>
      <c r="QA19" s="23"/>
      <c r="QB19" s="23"/>
      <c r="QC19" s="23"/>
      <c r="QD19" s="23"/>
      <c r="QE19" s="23"/>
      <c r="QF19" s="23"/>
      <c r="QG19" s="23"/>
      <c r="QH19" s="23"/>
      <c r="QI19" s="23"/>
      <c r="QJ19" s="23"/>
      <c r="QK19" s="23"/>
      <c r="QL19" s="23"/>
      <c r="QM19" s="23"/>
      <c r="QN19" s="23"/>
      <c r="QO19" s="23"/>
      <c r="QP19" s="23"/>
      <c r="QQ19" s="23"/>
      <c r="QR19" s="23"/>
      <c r="QS19" s="23"/>
      <c r="QT19" s="23"/>
      <c r="QU19" s="23"/>
      <c r="QV19" s="23"/>
      <c r="QW19" s="23"/>
      <c r="QX19" s="23"/>
      <c r="QY19" s="23"/>
      <c r="QZ19" s="23"/>
      <c r="RA19" s="23"/>
      <c r="RB19" s="23"/>
      <c r="RC19" s="23"/>
      <c r="RD19" s="23"/>
      <c r="RE19" s="23"/>
      <c r="RF19" s="23"/>
      <c r="RG19" s="23"/>
      <c r="RH19" s="23"/>
      <c r="RI19" s="23"/>
      <c r="RJ19" s="23"/>
      <c r="RK19" s="23"/>
      <c r="RL19" s="23"/>
      <c r="RM19" s="23"/>
      <c r="RN19" s="23"/>
      <c r="RO19" s="23"/>
      <c r="RP19" s="23"/>
      <c r="RQ19" s="23"/>
      <c r="RR19" s="23"/>
      <c r="RS19" s="23"/>
      <c r="RT19" s="23"/>
      <c r="RU19" s="23"/>
      <c r="RV19" s="23"/>
      <c r="RW19" s="23"/>
      <c r="RX19" s="23"/>
      <c r="RY19" s="23"/>
      <c r="RZ19" s="23"/>
      <c r="SA19" s="23"/>
      <c r="SB19" s="23"/>
      <c r="SC19" s="23"/>
      <c r="SD19" s="23"/>
      <c r="SE19" s="23"/>
      <c r="SF19" s="23"/>
      <c r="SG19" s="23"/>
      <c r="SH19" s="23"/>
      <c r="SI19" s="23"/>
      <c r="SJ19" s="23"/>
      <c r="SK19" s="23"/>
      <c r="SL19" s="23"/>
      <c r="SM19" s="23"/>
      <c r="SN19" s="23"/>
      <c r="SO19" s="23"/>
      <c r="SP19" s="23"/>
      <c r="SQ19" s="23"/>
      <c r="SR19" s="23"/>
      <c r="SS19" s="23"/>
      <c r="ST19" s="23"/>
      <c r="SU19" s="23"/>
      <c r="SV19" s="23"/>
      <c r="SW19" s="23"/>
      <c r="SX19" s="23"/>
      <c r="SY19" s="23"/>
      <c r="SZ19" s="23"/>
      <c r="TA19" s="23"/>
      <c r="TB19" s="23"/>
      <c r="TC19" s="23"/>
      <c r="TD19" s="23"/>
      <c r="TE19" s="23"/>
      <c r="TF19" s="23"/>
      <c r="TG19" s="23"/>
      <c r="TH19" s="23"/>
      <c r="TI19" s="23"/>
      <c r="TJ19" s="23"/>
      <c r="TK19" s="23"/>
      <c r="TL19" s="23"/>
      <c r="TM19" s="23"/>
      <c r="TN19" s="23"/>
      <c r="TO19" s="23"/>
      <c r="TP19" s="23"/>
      <c r="TQ19" s="23"/>
      <c r="TR19" s="23"/>
      <c r="TS19" s="23"/>
      <c r="TT19" s="23"/>
      <c r="TU19" s="23"/>
      <c r="TV19" s="23"/>
      <c r="TW19" s="23"/>
      <c r="TX19" s="23"/>
      <c r="TY19" s="23"/>
      <c r="TZ19" s="23"/>
      <c r="UA19" s="23"/>
      <c r="UB19" s="23"/>
      <c r="UC19" s="23"/>
      <c r="UD19" s="23"/>
      <c r="UE19" s="23"/>
      <c r="UF19" s="23"/>
      <c r="UG19" s="23"/>
      <c r="UH19" s="23"/>
      <c r="UI19" s="23"/>
      <c r="UJ19" s="23"/>
      <c r="UK19" s="23"/>
      <c r="UL19" s="23"/>
      <c r="UM19" s="23"/>
      <c r="UN19" s="23"/>
      <c r="UO19" s="23"/>
      <c r="UP19" s="23"/>
      <c r="UQ19" s="23"/>
      <c r="UR19" s="23"/>
      <c r="US19" s="23"/>
      <c r="UT19" s="23"/>
      <c r="UU19" s="23"/>
      <c r="UV19" s="23"/>
      <c r="UW19" s="23"/>
      <c r="UX19" s="23"/>
      <c r="UY19" s="23"/>
      <c r="UZ19" s="23"/>
      <c r="VA19" s="23"/>
      <c r="VB19" s="23"/>
      <c r="VC19" s="23"/>
      <c r="VD19" s="23"/>
      <c r="VE19" s="23"/>
      <c r="VF19" s="23"/>
      <c r="VG19" s="23"/>
      <c r="VH19" s="23"/>
      <c r="VI19" s="23"/>
      <c r="VJ19" s="23"/>
      <c r="VK19" s="23"/>
      <c r="VL19" s="23"/>
      <c r="VM19" s="23"/>
      <c r="VN19" s="23"/>
      <c r="VO19" s="23"/>
      <c r="VP19" s="23"/>
      <c r="VQ19" s="23"/>
      <c r="VR19" s="23"/>
      <c r="VS19" s="23"/>
      <c r="VT19" s="23"/>
      <c r="VU19" s="23"/>
      <c r="VV19" s="23"/>
      <c r="VW19" s="23"/>
      <c r="VX19" s="23"/>
      <c r="VY19" s="23"/>
      <c r="VZ19" s="23"/>
      <c r="WA19" s="23"/>
      <c r="WB19" s="23"/>
      <c r="WC19" s="23"/>
      <c r="WD19" s="23"/>
      <c r="WE19" s="23"/>
      <c r="WF19" s="23"/>
      <c r="WG19" s="23"/>
      <c r="WH19" s="23"/>
      <c r="WI19" s="23"/>
      <c r="WJ19" s="23"/>
      <c r="WK19" s="23"/>
      <c r="WL19" s="23"/>
      <c r="WM19" s="23"/>
      <c r="WN19" s="23"/>
      <c r="WO19" s="23"/>
      <c r="WP19" s="23"/>
      <c r="WQ19" s="23"/>
      <c r="WR19" s="23"/>
      <c r="WS19" s="23"/>
      <c r="WT19" s="23"/>
      <c r="WU19" s="23"/>
      <c r="WV19" s="23"/>
      <c r="WW19" s="23"/>
      <c r="WX19" s="23"/>
      <c r="WY19" s="23"/>
      <c r="WZ19" s="23"/>
      <c r="XA19" s="23"/>
      <c r="XB19" s="23"/>
      <c r="XC19" s="23"/>
      <c r="XD19" s="23"/>
      <c r="XE19" s="23"/>
      <c r="XF19" s="23"/>
      <c r="XG19" s="23"/>
      <c r="XH19" s="23"/>
      <c r="XI19" s="23"/>
      <c r="XJ19" s="23"/>
      <c r="XK19" s="23"/>
      <c r="XL19" s="23"/>
      <c r="XM19" s="23"/>
      <c r="XN19" s="23"/>
      <c r="XO19" s="23"/>
      <c r="XP19" s="23"/>
      <c r="XQ19" s="23"/>
      <c r="XR19" s="23"/>
      <c r="XS19" s="23"/>
      <c r="XT19" s="23"/>
      <c r="XU19" s="23"/>
      <c r="XV19" s="23"/>
      <c r="XW19" s="23"/>
      <c r="XX19" s="23"/>
      <c r="XY19" s="23"/>
      <c r="XZ19" s="23"/>
      <c r="YA19" s="23"/>
      <c r="YB19" s="23"/>
      <c r="YC19" s="23"/>
      <c r="YD19" s="23"/>
      <c r="YE19" s="23"/>
      <c r="YF19" s="23"/>
      <c r="YG19" s="23"/>
      <c r="YH19" s="23"/>
      <c r="YI19" s="23"/>
      <c r="YJ19" s="23"/>
      <c r="YK19" s="23"/>
      <c r="YL19" s="23"/>
      <c r="YM19" s="23"/>
      <c r="YN19" s="23"/>
      <c r="YO19" s="23"/>
      <c r="YP19" s="23"/>
      <c r="YQ19" s="23"/>
      <c r="YR19" s="23"/>
      <c r="YS19" s="23"/>
      <c r="YT19" s="23"/>
      <c r="YU19" s="23"/>
      <c r="YV19" s="23"/>
      <c r="YW19" s="23"/>
      <c r="YX19" s="23"/>
      <c r="YY19" s="23"/>
      <c r="YZ19" s="23"/>
      <c r="ZA19" s="23"/>
      <c r="ZB19" s="23"/>
      <c r="ZC19" s="23"/>
      <c r="ZD19" s="23"/>
      <c r="ZE19" s="33"/>
    </row>
    <row r="20" spans="1:682" s="50" customFormat="1" ht="15" customHeight="1" x14ac:dyDescent="0.25">
      <c r="A20" s="30">
        <v>2000</v>
      </c>
      <c r="B20" s="104" t="s">
        <v>30</v>
      </c>
      <c r="C20" s="103" t="s">
        <v>66</v>
      </c>
      <c r="D20" s="5" t="s">
        <v>65</v>
      </c>
      <c r="E20" s="103" t="s">
        <v>49</v>
      </c>
      <c r="F20" s="5" t="s">
        <v>48</v>
      </c>
      <c r="G20" s="56">
        <v>2</v>
      </c>
      <c r="H20" s="106" t="s">
        <v>47</v>
      </c>
      <c r="I20" s="47"/>
      <c r="J20" s="250">
        <f ca="1">J18</f>
        <v>380</v>
      </c>
      <c r="K20" s="250">
        <f ca="1">K18</f>
        <v>140</v>
      </c>
      <c r="L20" s="246">
        <f ca="1">ROUNDDOWN(IF(L$8&gt;L$5, MIN( ((L17+K22)/L$8)*L$5, MAX(L17+K22,L18)), MAX(L17+K22,L18)),0)</f>
        <v>180</v>
      </c>
      <c r="M20" s="246">
        <f ca="1">ROUNDDOWN(IF(M$8&gt;M$5, MIN( ((M17+L22)/M$8)*M$5, MAX(M17+L22,M18)), MAX(M17+L22,M18)),0)</f>
        <v>180</v>
      </c>
      <c r="N20" s="246">
        <f t="shared" ref="N20:AG20" ca="1" si="5">ROUNDDOWN(IF(N$8&gt;N$5, MIN( ((N17+M22)/N$8)*N$5, MAX(N17+M22,N18)), MAX(N17+M22,N18)),0)</f>
        <v>400</v>
      </c>
      <c r="O20" s="246">
        <f t="shared" ca="1" si="5"/>
        <v>300</v>
      </c>
      <c r="P20" s="246">
        <f t="shared" ca="1" si="5"/>
        <v>330</v>
      </c>
      <c r="Q20" s="246">
        <f t="shared" ca="1" si="5"/>
        <v>140</v>
      </c>
      <c r="R20" s="246">
        <f t="shared" ca="1" si="5"/>
        <v>320</v>
      </c>
      <c r="S20" s="246">
        <f t="shared" ca="1" si="5"/>
        <v>240</v>
      </c>
      <c r="T20" s="246">
        <f t="shared" ca="1" si="5"/>
        <v>180</v>
      </c>
      <c r="U20" s="246">
        <f t="shared" ca="1" si="5"/>
        <v>420</v>
      </c>
      <c r="V20" s="246">
        <f t="shared" ca="1" si="5"/>
        <v>210</v>
      </c>
      <c r="W20" s="246">
        <f t="shared" ca="1" si="5"/>
        <v>140</v>
      </c>
      <c r="X20" s="246">
        <f t="shared" ca="1" si="5"/>
        <v>240</v>
      </c>
      <c r="Y20" s="246">
        <f t="shared" ca="1" si="5"/>
        <v>140</v>
      </c>
      <c r="Z20" s="246">
        <f t="shared" ca="1" si="5"/>
        <v>150</v>
      </c>
      <c r="AA20" s="246">
        <f t="shared" ca="1" si="5"/>
        <v>250</v>
      </c>
      <c r="AB20" s="246">
        <f t="shared" ca="1" si="5"/>
        <v>270</v>
      </c>
      <c r="AC20" s="246">
        <f t="shared" ca="1" si="5"/>
        <v>200</v>
      </c>
      <c r="AD20" s="246">
        <f t="shared" ca="1" si="5"/>
        <v>250</v>
      </c>
      <c r="AE20" s="246">
        <f t="shared" ca="1" si="5"/>
        <v>40</v>
      </c>
      <c r="AF20" s="246">
        <f t="shared" ca="1" si="5"/>
        <v>0</v>
      </c>
      <c r="AG20" s="246">
        <f t="shared" ca="1" si="5"/>
        <v>0</v>
      </c>
      <c r="AH20" s="246"/>
      <c r="AI20" s="246"/>
      <c r="AJ20" s="246"/>
      <c r="AK20" s="246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3"/>
      <c r="JE20" s="23"/>
      <c r="JF20" s="23"/>
      <c r="JG20" s="23"/>
      <c r="JH20" s="23"/>
      <c r="JI20" s="23"/>
      <c r="JJ20" s="23"/>
      <c r="JK20" s="23"/>
      <c r="JL20" s="23"/>
      <c r="JM20" s="23"/>
      <c r="JN20" s="23"/>
      <c r="JO20" s="23"/>
      <c r="JP20" s="23"/>
      <c r="JQ20" s="23"/>
      <c r="JR20" s="23"/>
      <c r="JS20" s="23"/>
      <c r="JT20" s="23"/>
      <c r="JU20" s="23"/>
      <c r="JV20" s="23"/>
      <c r="JW20" s="23"/>
      <c r="JX20" s="23"/>
      <c r="JY20" s="23"/>
      <c r="JZ20" s="23"/>
      <c r="KA20" s="23"/>
      <c r="KB20" s="23"/>
      <c r="KC20" s="23"/>
      <c r="KD20" s="23"/>
      <c r="KE20" s="23"/>
      <c r="KF20" s="23"/>
      <c r="KG20" s="23"/>
      <c r="KH20" s="23"/>
      <c r="KI20" s="23"/>
      <c r="KJ20" s="23"/>
      <c r="KK20" s="23"/>
      <c r="KL20" s="23"/>
      <c r="KM20" s="23"/>
      <c r="KN20" s="23"/>
      <c r="KO20" s="23"/>
      <c r="KP20" s="23"/>
      <c r="KQ20" s="23"/>
      <c r="KR20" s="23"/>
      <c r="KS20" s="23"/>
      <c r="KT20" s="23"/>
      <c r="KU20" s="23"/>
      <c r="KV20" s="23"/>
      <c r="KW20" s="23"/>
      <c r="KX20" s="23"/>
      <c r="KY20" s="23"/>
      <c r="KZ20" s="23"/>
      <c r="LA20" s="23"/>
      <c r="LB20" s="23"/>
      <c r="LC20" s="23"/>
      <c r="LD20" s="23"/>
      <c r="LE20" s="23"/>
      <c r="LF20" s="23"/>
      <c r="LG20" s="23"/>
      <c r="LH20" s="23"/>
      <c r="LI20" s="23"/>
      <c r="LJ20" s="23"/>
      <c r="LK20" s="23"/>
      <c r="LL20" s="23"/>
      <c r="LM20" s="23"/>
      <c r="LN20" s="23"/>
      <c r="LO20" s="23"/>
      <c r="LP20" s="23"/>
      <c r="LQ20" s="23"/>
      <c r="LR20" s="23"/>
      <c r="LS20" s="23"/>
      <c r="LT20" s="23"/>
      <c r="LU20" s="23"/>
      <c r="LV20" s="23"/>
      <c r="LW20" s="23"/>
      <c r="LX20" s="23"/>
      <c r="LY20" s="23"/>
      <c r="LZ20" s="23"/>
      <c r="MA20" s="23"/>
      <c r="MB20" s="23"/>
      <c r="MC20" s="23"/>
      <c r="MD20" s="23"/>
      <c r="ME20" s="23"/>
      <c r="MF20" s="23"/>
      <c r="MG20" s="23"/>
      <c r="MH20" s="23"/>
      <c r="MI20" s="23"/>
      <c r="MJ20" s="23"/>
      <c r="MK20" s="23"/>
      <c r="ML20" s="23"/>
      <c r="MM20" s="23"/>
      <c r="MN20" s="23"/>
      <c r="MO20" s="23"/>
      <c r="MP20" s="23"/>
      <c r="MQ20" s="23"/>
      <c r="MR20" s="23"/>
      <c r="MS20" s="23"/>
      <c r="MT20" s="23"/>
      <c r="MU20" s="23"/>
      <c r="MV20" s="23"/>
      <c r="MW20" s="23"/>
      <c r="MX20" s="23"/>
      <c r="MY20" s="23"/>
      <c r="MZ20" s="23"/>
      <c r="NA20" s="23"/>
      <c r="NB20" s="23"/>
      <c r="NC20" s="23"/>
      <c r="ND20" s="23"/>
      <c r="NE20" s="23"/>
      <c r="NF20" s="23"/>
      <c r="NG20" s="23"/>
      <c r="NH20" s="23"/>
      <c r="NI20" s="23"/>
      <c r="NJ20" s="23"/>
      <c r="NK20" s="23"/>
      <c r="NL20" s="23"/>
      <c r="NM20" s="23"/>
      <c r="NN20" s="23"/>
      <c r="NO20" s="23"/>
      <c r="NP20" s="23"/>
      <c r="NQ20" s="23"/>
      <c r="NR20" s="23"/>
      <c r="NS20" s="23"/>
      <c r="NT20" s="23"/>
      <c r="NU20" s="23"/>
      <c r="NV20" s="23"/>
      <c r="NW20" s="23"/>
      <c r="NX20" s="23"/>
      <c r="NY20" s="23"/>
      <c r="NZ20" s="23"/>
      <c r="OA20" s="23"/>
      <c r="OB20" s="23"/>
      <c r="OC20" s="23"/>
      <c r="OD20" s="23"/>
      <c r="OE20" s="23"/>
      <c r="OF20" s="23"/>
      <c r="OG20" s="23"/>
      <c r="OH20" s="23"/>
      <c r="OI20" s="23"/>
      <c r="OJ20" s="23"/>
      <c r="OK20" s="23"/>
      <c r="OL20" s="23"/>
      <c r="OM20" s="23"/>
      <c r="ON20" s="23"/>
      <c r="OO20" s="23"/>
      <c r="OP20" s="23"/>
      <c r="OQ20" s="23"/>
      <c r="OR20" s="23"/>
      <c r="OS20" s="23"/>
      <c r="OT20" s="23"/>
      <c r="OU20" s="23"/>
      <c r="OV20" s="23"/>
      <c r="OW20" s="23"/>
      <c r="OX20" s="23"/>
      <c r="OY20" s="23"/>
      <c r="OZ20" s="23"/>
      <c r="PA20" s="23"/>
      <c r="PB20" s="23"/>
      <c r="PC20" s="23"/>
      <c r="PD20" s="23"/>
      <c r="PE20" s="23"/>
      <c r="PF20" s="23"/>
      <c r="PG20" s="23"/>
      <c r="PH20" s="23"/>
      <c r="PI20" s="23"/>
      <c r="PJ20" s="23"/>
      <c r="PK20" s="23"/>
      <c r="PL20" s="23"/>
      <c r="PM20" s="23"/>
      <c r="PN20" s="23"/>
      <c r="PO20" s="23"/>
      <c r="PP20" s="23"/>
      <c r="PQ20" s="23"/>
      <c r="PR20" s="23"/>
      <c r="PS20" s="23"/>
      <c r="PT20" s="23"/>
      <c r="PU20" s="23"/>
      <c r="PV20" s="23"/>
      <c r="PW20" s="23"/>
      <c r="PX20" s="23"/>
      <c r="PY20" s="23"/>
      <c r="PZ20" s="23"/>
      <c r="QA20" s="23"/>
      <c r="QB20" s="23"/>
      <c r="QC20" s="23"/>
      <c r="QD20" s="23"/>
      <c r="QE20" s="23"/>
      <c r="QF20" s="23"/>
      <c r="QG20" s="23"/>
      <c r="QH20" s="23"/>
      <c r="QI20" s="23"/>
      <c r="QJ20" s="23"/>
      <c r="QK20" s="23"/>
      <c r="QL20" s="23"/>
      <c r="QM20" s="23"/>
      <c r="QN20" s="23"/>
      <c r="QO20" s="23"/>
      <c r="QP20" s="23"/>
      <c r="QQ20" s="23"/>
      <c r="QR20" s="23"/>
      <c r="QS20" s="23"/>
      <c r="QT20" s="23"/>
      <c r="QU20" s="23"/>
      <c r="QV20" s="23"/>
      <c r="QW20" s="23"/>
      <c r="QX20" s="23"/>
      <c r="QY20" s="23"/>
      <c r="QZ20" s="23"/>
      <c r="RA20" s="23"/>
      <c r="RB20" s="23"/>
      <c r="RC20" s="23"/>
      <c r="RD20" s="23"/>
      <c r="RE20" s="23"/>
      <c r="RF20" s="23"/>
      <c r="RG20" s="23"/>
      <c r="RH20" s="23"/>
      <c r="RI20" s="23"/>
      <c r="RJ20" s="23"/>
      <c r="RK20" s="23"/>
      <c r="RL20" s="23"/>
      <c r="RM20" s="23"/>
      <c r="RN20" s="23"/>
      <c r="RO20" s="23"/>
      <c r="RP20" s="23"/>
      <c r="RQ20" s="23"/>
      <c r="RR20" s="23"/>
      <c r="RS20" s="23"/>
      <c r="RT20" s="23"/>
      <c r="RU20" s="23"/>
      <c r="RV20" s="23"/>
      <c r="RW20" s="23"/>
      <c r="RX20" s="23"/>
      <c r="RY20" s="23"/>
      <c r="RZ20" s="23"/>
      <c r="SA20" s="23"/>
      <c r="SB20" s="23"/>
      <c r="SC20" s="23"/>
      <c r="SD20" s="23"/>
      <c r="SE20" s="23"/>
      <c r="SF20" s="23"/>
      <c r="SG20" s="23"/>
      <c r="SH20" s="23"/>
      <c r="SI20" s="23"/>
      <c r="SJ20" s="23"/>
      <c r="SK20" s="23"/>
      <c r="SL20" s="23"/>
      <c r="SM20" s="23"/>
      <c r="SN20" s="23"/>
      <c r="SO20" s="23"/>
      <c r="SP20" s="23"/>
      <c r="SQ20" s="23"/>
      <c r="SR20" s="23"/>
      <c r="SS20" s="23"/>
      <c r="ST20" s="23"/>
      <c r="SU20" s="23"/>
      <c r="SV20" s="23"/>
      <c r="SW20" s="23"/>
      <c r="SX20" s="23"/>
      <c r="SY20" s="23"/>
      <c r="SZ20" s="23"/>
      <c r="TA20" s="23"/>
      <c r="TB20" s="23"/>
      <c r="TC20" s="23"/>
      <c r="TD20" s="23"/>
      <c r="TE20" s="23"/>
      <c r="TF20" s="23"/>
      <c r="TG20" s="23"/>
      <c r="TH20" s="23"/>
      <c r="TI20" s="23"/>
      <c r="TJ20" s="23"/>
      <c r="TK20" s="23"/>
      <c r="TL20" s="23"/>
      <c r="TM20" s="23"/>
      <c r="TN20" s="23"/>
      <c r="TO20" s="23"/>
      <c r="TP20" s="23"/>
      <c r="TQ20" s="23"/>
      <c r="TR20" s="23"/>
      <c r="TS20" s="23"/>
      <c r="TT20" s="23"/>
      <c r="TU20" s="23"/>
      <c r="TV20" s="23"/>
      <c r="TW20" s="23"/>
      <c r="TX20" s="23"/>
      <c r="TY20" s="23"/>
      <c r="TZ20" s="23"/>
      <c r="UA20" s="23"/>
      <c r="UB20" s="23"/>
      <c r="UC20" s="23"/>
      <c r="UD20" s="23"/>
      <c r="UE20" s="23"/>
      <c r="UF20" s="23"/>
      <c r="UG20" s="23"/>
      <c r="UH20" s="23"/>
      <c r="UI20" s="23"/>
      <c r="UJ20" s="23"/>
      <c r="UK20" s="23"/>
      <c r="UL20" s="23"/>
      <c r="UM20" s="23"/>
      <c r="UN20" s="23"/>
      <c r="UO20" s="23"/>
      <c r="UP20" s="23"/>
      <c r="UQ20" s="23"/>
      <c r="UR20" s="23"/>
      <c r="US20" s="23"/>
      <c r="UT20" s="23"/>
      <c r="UU20" s="23"/>
      <c r="UV20" s="23"/>
      <c r="UW20" s="23"/>
      <c r="UX20" s="23"/>
      <c r="UY20" s="23"/>
      <c r="UZ20" s="23"/>
      <c r="VA20" s="23"/>
      <c r="VB20" s="23"/>
      <c r="VC20" s="23"/>
      <c r="VD20" s="23"/>
      <c r="VE20" s="23"/>
      <c r="VF20" s="23"/>
      <c r="VG20" s="23"/>
      <c r="VH20" s="23"/>
      <c r="VI20" s="23"/>
      <c r="VJ20" s="23"/>
      <c r="VK20" s="23"/>
      <c r="VL20" s="23"/>
      <c r="VM20" s="23"/>
      <c r="VN20" s="23"/>
      <c r="VO20" s="23"/>
      <c r="VP20" s="23"/>
      <c r="VQ20" s="23"/>
      <c r="VR20" s="23"/>
      <c r="VS20" s="23"/>
      <c r="VT20" s="23"/>
      <c r="VU20" s="23"/>
      <c r="VV20" s="23"/>
      <c r="VW20" s="23"/>
      <c r="VX20" s="23"/>
      <c r="VY20" s="23"/>
      <c r="VZ20" s="23"/>
      <c r="WA20" s="23"/>
      <c r="WB20" s="23"/>
      <c r="WC20" s="23"/>
      <c r="WD20" s="23"/>
      <c r="WE20" s="23"/>
      <c r="WF20" s="23"/>
      <c r="WG20" s="23"/>
      <c r="WH20" s="23"/>
      <c r="WI20" s="23"/>
      <c r="WJ20" s="23"/>
      <c r="WK20" s="23"/>
      <c r="WL20" s="23"/>
      <c r="WM20" s="23"/>
      <c r="WN20" s="23"/>
      <c r="WO20" s="23"/>
      <c r="WP20" s="23"/>
      <c r="WQ20" s="23"/>
      <c r="WR20" s="23"/>
      <c r="WS20" s="23"/>
      <c r="WT20" s="23"/>
      <c r="WU20" s="23"/>
      <c r="WV20" s="23"/>
      <c r="WW20" s="23"/>
      <c r="WX20" s="23"/>
      <c r="WY20" s="23"/>
      <c r="WZ20" s="23"/>
      <c r="XA20" s="23"/>
      <c r="XB20" s="23"/>
      <c r="XC20" s="23"/>
      <c r="XD20" s="23"/>
      <c r="XE20" s="23"/>
      <c r="XF20" s="23"/>
      <c r="XG20" s="23"/>
      <c r="XH20" s="23"/>
      <c r="XI20" s="23"/>
      <c r="XJ20" s="23"/>
      <c r="XK20" s="23"/>
      <c r="XL20" s="23"/>
      <c r="XM20" s="23"/>
      <c r="XN20" s="23"/>
      <c r="XO20" s="23"/>
      <c r="XP20" s="23"/>
      <c r="XQ20" s="23"/>
      <c r="XR20" s="23"/>
      <c r="XS20" s="23"/>
      <c r="XT20" s="23"/>
      <c r="XU20" s="23"/>
      <c r="XV20" s="23"/>
      <c r="XW20" s="23"/>
      <c r="XX20" s="23"/>
      <c r="XY20" s="23"/>
      <c r="XZ20" s="23"/>
      <c r="YA20" s="23"/>
      <c r="YB20" s="23"/>
      <c r="YC20" s="23"/>
      <c r="YD20" s="23"/>
      <c r="YE20" s="23"/>
      <c r="YF20" s="23"/>
      <c r="YG20" s="23"/>
      <c r="YH20" s="23"/>
      <c r="YI20" s="23"/>
      <c r="YJ20" s="23"/>
      <c r="YK20" s="23"/>
      <c r="YL20" s="23"/>
      <c r="YM20" s="23"/>
      <c r="YN20" s="23"/>
      <c r="YO20" s="23"/>
      <c r="YP20" s="23"/>
      <c r="YQ20" s="23"/>
      <c r="YR20" s="23"/>
      <c r="YS20" s="23"/>
      <c r="YT20" s="23"/>
      <c r="YU20" s="23"/>
      <c r="YV20" s="23"/>
      <c r="YW20" s="23"/>
      <c r="YX20" s="23"/>
      <c r="YY20" s="23"/>
      <c r="YZ20" s="23"/>
      <c r="ZA20" s="23"/>
      <c r="ZB20" s="23"/>
      <c r="ZC20" s="23"/>
      <c r="ZD20" s="23"/>
      <c r="ZE20" s="53"/>
    </row>
    <row r="21" spans="1:682" s="50" customFormat="1" ht="15" customHeight="1" x14ac:dyDescent="0.25">
      <c r="A21" s="30">
        <v>2000</v>
      </c>
      <c r="B21" s="104" t="s">
        <v>30</v>
      </c>
      <c r="C21" s="103" t="s">
        <v>66</v>
      </c>
      <c r="D21" s="5" t="s">
        <v>65</v>
      </c>
      <c r="E21" s="103" t="s">
        <v>66</v>
      </c>
      <c r="F21" s="5" t="s">
        <v>65</v>
      </c>
      <c r="G21" s="56">
        <v>2</v>
      </c>
      <c r="H21" s="100" t="s">
        <v>46</v>
      </c>
      <c r="I21" s="131"/>
      <c r="J21" s="250">
        <f ca="1">J20</f>
        <v>380</v>
      </c>
      <c r="K21" s="250">
        <f t="shared" ref="K21" ca="1" si="6">K20</f>
        <v>140</v>
      </c>
      <c r="L21" s="250">
        <f t="shared" ref="L21" ca="1" si="7">L20</f>
        <v>180</v>
      </c>
      <c r="M21" s="250">
        <f t="shared" ref="M21" ca="1" si="8">M20</f>
        <v>180</v>
      </c>
      <c r="N21" s="250">
        <f t="shared" ref="N21" ca="1" si="9">N20</f>
        <v>400</v>
      </c>
      <c r="O21" s="250">
        <f t="shared" ref="O21" ca="1" si="10">O20</f>
        <v>300</v>
      </c>
      <c r="P21" s="250">
        <f t="shared" ref="P21" ca="1" si="11">P20</f>
        <v>330</v>
      </c>
      <c r="Q21" s="250">
        <f t="shared" ref="Q21" ca="1" si="12">Q20</f>
        <v>140</v>
      </c>
      <c r="R21" s="250">
        <f t="shared" ref="R21" ca="1" si="13">R20</f>
        <v>320</v>
      </c>
      <c r="S21" s="250">
        <f t="shared" ref="S21" ca="1" si="14">S20</f>
        <v>240</v>
      </c>
      <c r="T21" s="250">
        <f t="shared" ref="T21" ca="1" si="15">T20</f>
        <v>180</v>
      </c>
      <c r="U21" s="250">
        <f t="shared" ref="U21" ca="1" si="16">U20</f>
        <v>420</v>
      </c>
      <c r="V21" s="250">
        <f t="shared" ref="V21" ca="1" si="17">V20</f>
        <v>210</v>
      </c>
      <c r="W21" s="250">
        <f t="shared" ref="W21" ca="1" si="18">W20</f>
        <v>140</v>
      </c>
      <c r="X21" s="250">
        <f t="shared" ref="X21" ca="1" si="19">X20</f>
        <v>240</v>
      </c>
      <c r="Y21" s="250">
        <f t="shared" ref="Y21" ca="1" si="20">Y20</f>
        <v>140</v>
      </c>
      <c r="Z21" s="250">
        <f t="shared" ref="Z21" ca="1" si="21">Z20</f>
        <v>150</v>
      </c>
      <c r="AA21" s="250">
        <f t="shared" ref="AA21" ca="1" si="22">AA20</f>
        <v>250</v>
      </c>
      <c r="AB21" s="250">
        <f t="shared" ref="AB21" ca="1" si="23">AB20</f>
        <v>270</v>
      </c>
      <c r="AC21" s="250">
        <f t="shared" ref="AC21" ca="1" si="24">AC20</f>
        <v>200</v>
      </c>
      <c r="AD21" s="250">
        <f t="shared" ref="AD21" ca="1" si="25">AD20</f>
        <v>250</v>
      </c>
      <c r="AE21" s="250">
        <f t="shared" ref="AE21" ca="1" si="26">AE20</f>
        <v>40</v>
      </c>
      <c r="AF21" s="250">
        <f t="shared" ref="AF21" ca="1" si="27">AF20</f>
        <v>0</v>
      </c>
      <c r="AG21" s="250">
        <f t="shared" ref="AG21" ca="1" si="28">AG20</f>
        <v>0</v>
      </c>
      <c r="AH21" s="246"/>
      <c r="AI21" s="246"/>
      <c r="AJ21" s="246"/>
      <c r="AK21" s="246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3"/>
      <c r="JE21" s="23"/>
      <c r="JF21" s="23"/>
      <c r="JG21" s="23"/>
      <c r="JH21" s="23"/>
      <c r="JI21" s="23"/>
      <c r="JJ21" s="23"/>
      <c r="JK21" s="23"/>
      <c r="JL21" s="23"/>
      <c r="JM21" s="23"/>
      <c r="JN21" s="23"/>
      <c r="JO21" s="23"/>
      <c r="JP21" s="23"/>
      <c r="JQ21" s="23"/>
      <c r="JR21" s="23"/>
      <c r="JS21" s="23"/>
      <c r="JT21" s="23"/>
      <c r="JU21" s="23"/>
      <c r="JV21" s="23"/>
      <c r="JW21" s="23"/>
      <c r="JX21" s="23"/>
      <c r="JY21" s="23"/>
      <c r="JZ21" s="23"/>
      <c r="KA21" s="23"/>
      <c r="KB21" s="23"/>
      <c r="KC21" s="23"/>
      <c r="KD21" s="23"/>
      <c r="KE21" s="23"/>
      <c r="KF21" s="23"/>
      <c r="KG21" s="23"/>
      <c r="KH21" s="23"/>
      <c r="KI21" s="23"/>
      <c r="KJ21" s="23"/>
      <c r="KK21" s="23"/>
      <c r="KL21" s="23"/>
      <c r="KM21" s="23"/>
      <c r="KN21" s="23"/>
      <c r="KO21" s="23"/>
      <c r="KP21" s="23"/>
      <c r="KQ21" s="23"/>
      <c r="KR21" s="23"/>
      <c r="KS21" s="23"/>
      <c r="KT21" s="23"/>
      <c r="KU21" s="23"/>
      <c r="KV21" s="23"/>
      <c r="KW21" s="23"/>
      <c r="KX21" s="23"/>
      <c r="KY21" s="23"/>
      <c r="KZ21" s="23"/>
      <c r="LA21" s="23"/>
      <c r="LB21" s="23"/>
      <c r="LC21" s="23"/>
      <c r="LD21" s="23"/>
      <c r="LE21" s="23"/>
      <c r="LF21" s="23"/>
      <c r="LG21" s="23"/>
      <c r="LH21" s="23"/>
      <c r="LI21" s="23"/>
      <c r="LJ21" s="23"/>
      <c r="LK21" s="23"/>
      <c r="LL21" s="23"/>
      <c r="LM21" s="23"/>
      <c r="LN21" s="23"/>
      <c r="LO21" s="23"/>
      <c r="LP21" s="23"/>
      <c r="LQ21" s="23"/>
      <c r="LR21" s="23"/>
      <c r="LS21" s="23"/>
      <c r="LT21" s="23"/>
      <c r="LU21" s="23"/>
      <c r="LV21" s="23"/>
      <c r="LW21" s="23"/>
      <c r="LX21" s="23"/>
      <c r="LY21" s="23"/>
      <c r="LZ21" s="23"/>
      <c r="MA21" s="23"/>
      <c r="MB21" s="23"/>
      <c r="MC21" s="23"/>
      <c r="MD21" s="23"/>
      <c r="ME21" s="23"/>
      <c r="MF21" s="23"/>
      <c r="MG21" s="23"/>
      <c r="MH21" s="23"/>
      <c r="MI21" s="23"/>
      <c r="MJ21" s="23"/>
      <c r="MK21" s="23"/>
      <c r="ML21" s="23"/>
      <c r="MM21" s="23"/>
      <c r="MN21" s="23"/>
      <c r="MO21" s="23"/>
      <c r="MP21" s="23"/>
      <c r="MQ21" s="23"/>
      <c r="MR21" s="23"/>
      <c r="MS21" s="23"/>
      <c r="MT21" s="23"/>
      <c r="MU21" s="23"/>
      <c r="MV21" s="23"/>
      <c r="MW21" s="23"/>
      <c r="MX21" s="23"/>
      <c r="MY21" s="23"/>
      <c r="MZ21" s="23"/>
      <c r="NA21" s="23"/>
      <c r="NB21" s="23"/>
      <c r="NC21" s="23"/>
      <c r="ND21" s="23"/>
      <c r="NE21" s="23"/>
      <c r="NF21" s="23"/>
      <c r="NG21" s="23"/>
      <c r="NH21" s="23"/>
      <c r="NI21" s="23"/>
      <c r="NJ21" s="23"/>
      <c r="NK21" s="23"/>
      <c r="NL21" s="23"/>
      <c r="NM21" s="23"/>
      <c r="NN21" s="23"/>
      <c r="NO21" s="23"/>
      <c r="NP21" s="23"/>
      <c r="NQ21" s="23"/>
      <c r="NR21" s="23"/>
      <c r="NS21" s="23"/>
      <c r="NT21" s="23"/>
      <c r="NU21" s="23"/>
      <c r="NV21" s="23"/>
      <c r="NW21" s="23"/>
      <c r="NX21" s="23"/>
      <c r="NY21" s="23"/>
      <c r="NZ21" s="23"/>
      <c r="OA21" s="23"/>
      <c r="OB21" s="23"/>
      <c r="OC21" s="23"/>
      <c r="OD21" s="23"/>
      <c r="OE21" s="23"/>
      <c r="OF21" s="23"/>
      <c r="OG21" s="23"/>
      <c r="OH21" s="23"/>
      <c r="OI21" s="23"/>
      <c r="OJ21" s="23"/>
      <c r="OK21" s="23"/>
      <c r="OL21" s="23"/>
      <c r="OM21" s="23"/>
      <c r="ON21" s="23"/>
      <c r="OO21" s="23"/>
      <c r="OP21" s="23"/>
      <c r="OQ21" s="23"/>
      <c r="OR21" s="23"/>
      <c r="OS21" s="23"/>
      <c r="OT21" s="23"/>
      <c r="OU21" s="23"/>
      <c r="OV21" s="23"/>
      <c r="OW21" s="23"/>
      <c r="OX21" s="23"/>
      <c r="OY21" s="23"/>
      <c r="OZ21" s="23"/>
      <c r="PA21" s="23"/>
      <c r="PB21" s="23"/>
      <c r="PC21" s="23"/>
      <c r="PD21" s="23"/>
      <c r="PE21" s="23"/>
      <c r="PF21" s="23"/>
      <c r="PG21" s="23"/>
      <c r="PH21" s="23"/>
      <c r="PI21" s="23"/>
      <c r="PJ21" s="23"/>
      <c r="PK21" s="23"/>
      <c r="PL21" s="23"/>
      <c r="PM21" s="23"/>
      <c r="PN21" s="23"/>
      <c r="PO21" s="23"/>
      <c r="PP21" s="23"/>
      <c r="PQ21" s="23"/>
      <c r="PR21" s="23"/>
      <c r="PS21" s="23"/>
      <c r="PT21" s="23"/>
      <c r="PU21" s="23"/>
      <c r="PV21" s="23"/>
      <c r="PW21" s="23"/>
      <c r="PX21" s="23"/>
      <c r="PY21" s="23"/>
      <c r="PZ21" s="23"/>
      <c r="QA21" s="23"/>
      <c r="QB21" s="23"/>
      <c r="QC21" s="23"/>
      <c r="QD21" s="23"/>
      <c r="QE21" s="23"/>
      <c r="QF21" s="23"/>
      <c r="QG21" s="23"/>
      <c r="QH21" s="23"/>
      <c r="QI21" s="23"/>
      <c r="QJ21" s="23"/>
      <c r="QK21" s="23"/>
      <c r="QL21" s="23"/>
      <c r="QM21" s="23"/>
      <c r="QN21" s="23"/>
      <c r="QO21" s="23"/>
      <c r="QP21" s="23"/>
      <c r="QQ21" s="23"/>
      <c r="QR21" s="23"/>
      <c r="QS21" s="23"/>
      <c r="QT21" s="23"/>
      <c r="QU21" s="23"/>
      <c r="QV21" s="23"/>
      <c r="QW21" s="23"/>
      <c r="QX21" s="23"/>
      <c r="QY21" s="23"/>
      <c r="QZ21" s="23"/>
      <c r="RA21" s="23"/>
      <c r="RB21" s="23"/>
      <c r="RC21" s="23"/>
      <c r="RD21" s="23"/>
      <c r="RE21" s="23"/>
      <c r="RF21" s="23"/>
      <c r="RG21" s="23"/>
      <c r="RH21" s="23"/>
      <c r="RI21" s="23"/>
      <c r="RJ21" s="23"/>
      <c r="RK21" s="23"/>
      <c r="RL21" s="23"/>
      <c r="RM21" s="23"/>
      <c r="RN21" s="23"/>
      <c r="RO21" s="23"/>
      <c r="RP21" s="23"/>
      <c r="RQ21" s="23"/>
      <c r="RR21" s="23"/>
      <c r="RS21" s="23"/>
      <c r="RT21" s="23"/>
      <c r="RU21" s="23"/>
      <c r="RV21" s="23"/>
      <c r="RW21" s="23"/>
      <c r="RX21" s="23"/>
      <c r="RY21" s="23"/>
      <c r="RZ21" s="23"/>
      <c r="SA21" s="23"/>
      <c r="SB21" s="23"/>
      <c r="SC21" s="23"/>
      <c r="SD21" s="23"/>
      <c r="SE21" s="23"/>
      <c r="SF21" s="23"/>
      <c r="SG21" s="23"/>
      <c r="SH21" s="23"/>
      <c r="SI21" s="23"/>
      <c r="SJ21" s="23"/>
      <c r="SK21" s="23"/>
      <c r="SL21" s="23"/>
      <c r="SM21" s="23"/>
      <c r="SN21" s="23"/>
      <c r="SO21" s="23"/>
      <c r="SP21" s="23"/>
      <c r="SQ21" s="23"/>
      <c r="SR21" s="23"/>
      <c r="SS21" s="23"/>
      <c r="ST21" s="23"/>
      <c r="SU21" s="23"/>
      <c r="SV21" s="23"/>
      <c r="SW21" s="23"/>
      <c r="SX21" s="23"/>
      <c r="SY21" s="23"/>
      <c r="SZ21" s="23"/>
      <c r="TA21" s="23"/>
      <c r="TB21" s="23"/>
      <c r="TC21" s="23"/>
      <c r="TD21" s="23"/>
      <c r="TE21" s="23"/>
      <c r="TF21" s="23"/>
      <c r="TG21" s="23"/>
      <c r="TH21" s="23"/>
      <c r="TI21" s="23"/>
      <c r="TJ21" s="23"/>
      <c r="TK21" s="23"/>
      <c r="TL21" s="23"/>
      <c r="TM21" s="23"/>
      <c r="TN21" s="23"/>
      <c r="TO21" s="23"/>
      <c r="TP21" s="23"/>
      <c r="TQ21" s="23"/>
      <c r="TR21" s="23"/>
      <c r="TS21" s="23"/>
      <c r="TT21" s="23"/>
      <c r="TU21" s="23"/>
      <c r="TV21" s="23"/>
      <c r="TW21" s="23"/>
      <c r="TX21" s="23"/>
      <c r="TY21" s="23"/>
      <c r="TZ21" s="23"/>
      <c r="UA21" s="23"/>
      <c r="UB21" s="23"/>
      <c r="UC21" s="23"/>
      <c r="UD21" s="23"/>
      <c r="UE21" s="23"/>
      <c r="UF21" s="23"/>
      <c r="UG21" s="23"/>
      <c r="UH21" s="23"/>
      <c r="UI21" s="23"/>
      <c r="UJ21" s="23"/>
      <c r="UK21" s="23"/>
      <c r="UL21" s="23"/>
      <c r="UM21" s="23"/>
      <c r="UN21" s="23"/>
      <c r="UO21" s="23"/>
      <c r="UP21" s="23"/>
      <c r="UQ21" s="23"/>
      <c r="UR21" s="23"/>
      <c r="US21" s="23"/>
      <c r="UT21" s="23"/>
      <c r="UU21" s="23"/>
      <c r="UV21" s="23"/>
      <c r="UW21" s="23"/>
      <c r="UX21" s="23"/>
      <c r="UY21" s="23"/>
      <c r="UZ21" s="23"/>
      <c r="VA21" s="23"/>
      <c r="VB21" s="23"/>
      <c r="VC21" s="23"/>
      <c r="VD21" s="23"/>
      <c r="VE21" s="23"/>
      <c r="VF21" s="23"/>
      <c r="VG21" s="23"/>
      <c r="VH21" s="23"/>
      <c r="VI21" s="23"/>
      <c r="VJ21" s="23"/>
      <c r="VK21" s="23"/>
      <c r="VL21" s="23"/>
      <c r="VM21" s="23"/>
      <c r="VN21" s="23"/>
      <c r="VO21" s="23"/>
      <c r="VP21" s="23"/>
      <c r="VQ21" s="23"/>
      <c r="VR21" s="23"/>
      <c r="VS21" s="23"/>
      <c r="VT21" s="23"/>
      <c r="VU21" s="23"/>
      <c r="VV21" s="23"/>
      <c r="VW21" s="23"/>
      <c r="VX21" s="23"/>
      <c r="VY21" s="23"/>
      <c r="VZ21" s="23"/>
      <c r="WA21" s="23"/>
      <c r="WB21" s="23"/>
      <c r="WC21" s="23"/>
      <c r="WD21" s="23"/>
      <c r="WE21" s="23"/>
      <c r="WF21" s="23"/>
      <c r="WG21" s="23"/>
      <c r="WH21" s="23"/>
      <c r="WI21" s="23"/>
      <c r="WJ21" s="23"/>
      <c r="WK21" s="23"/>
      <c r="WL21" s="23"/>
      <c r="WM21" s="23"/>
      <c r="WN21" s="23"/>
      <c r="WO21" s="23"/>
      <c r="WP21" s="23"/>
      <c r="WQ21" s="23"/>
      <c r="WR21" s="23"/>
      <c r="WS21" s="23"/>
      <c r="WT21" s="23"/>
      <c r="WU21" s="23"/>
      <c r="WV21" s="23"/>
      <c r="WW21" s="23"/>
      <c r="WX21" s="23"/>
      <c r="WY21" s="23"/>
      <c r="WZ21" s="23"/>
      <c r="XA21" s="23"/>
      <c r="XB21" s="23"/>
      <c r="XC21" s="23"/>
      <c r="XD21" s="23"/>
      <c r="XE21" s="23"/>
      <c r="XF21" s="23"/>
      <c r="XG21" s="23"/>
      <c r="XH21" s="23"/>
      <c r="XI21" s="23"/>
      <c r="XJ21" s="23"/>
      <c r="XK21" s="23"/>
      <c r="XL21" s="23"/>
      <c r="XM21" s="23"/>
      <c r="XN21" s="23"/>
      <c r="XO21" s="23"/>
      <c r="XP21" s="23"/>
      <c r="XQ21" s="23"/>
      <c r="XR21" s="23"/>
      <c r="XS21" s="23"/>
      <c r="XT21" s="23"/>
      <c r="XU21" s="23"/>
      <c r="XV21" s="23"/>
      <c r="XW21" s="23"/>
      <c r="XX21" s="23"/>
      <c r="XY21" s="23"/>
      <c r="XZ21" s="23"/>
      <c r="YA21" s="23"/>
      <c r="YB21" s="23"/>
      <c r="YC21" s="23"/>
      <c r="YD21" s="23"/>
      <c r="YE21" s="23"/>
      <c r="YF21" s="23"/>
      <c r="YG21" s="23"/>
      <c r="YH21" s="23"/>
      <c r="YI21" s="23"/>
      <c r="YJ21" s="23"/>
      <c r="YK21" s="23"/>
      <c r="YL21" s="23"/>
      <c r="YM21" s="23"/>
      <c r="YN21" s="23"/>
      <c r="YO21" s="23"/>
      <c r="YP21" s="23"/>
      <c r="YQ21" s="23"/>
      <c r="YR21" s="23"/>
      <c r="YS21" s="23"/>
      <c r="YT21" s="23"/>
      <c r="YU21" s="23"/>
      <c r="YV21" s="23"/>
      <c r="YW21" s="23"/>
      <c r="YX21" s="23"/>
      <c r="YY21" s="23"/>
      <c r="YZ21" s="23"/>
      <c r="ZA21" s="23"/>
      <c r="ZB21" s="23"/>
      <c r="ZC21" s="23"/>
      <c r="ZD21" s="23"/>
      <c r="ZE21" s="53"/>
    </row>
    <row r="22" spans="1:682" s="2" customFormat="1" ht="15" customHeight="1" x14ac:dyDescent="0.25">
      <c r="A22" s="30">
        <v>2000</v>
      </c>
      <c r="B22" s="104" t="s">
        <v>30</v>
      </c>
      <c r="C22" s="103" t="s">
        <v>66</v>
      </c>
      <c r="D22" s="5" t="s">
        <v>65</v>
      </c>
      <c r="E22" s="103" t="s">
        <v>66</v>
      </c>
      <c r="F22" s="5" t="s">
        <v>65</v>
      </c>
      <c r="G22" s="56">
        <v>2</v>
      </c>
      <c r="H22" s="100" t="s">
        <v>60</v>
      </c>
      <c r="I22" s="131"/>
      <c r="J22" s="97">
        <f t="shared" ref="J22:AG22" ca="1" si="29">J17+I22-J20</f>
        <v>0</v>
      </c>
      <c r="K22" s="97">
        <f t="shared" ca="1" si="29"/>
        <v>0</v>
      </c>
      <c r="L22" s="97">
        <f t="shared" ca="1" si="29"/>
        <v>0</v>
      </c>
      <c r="M22" s="97">
        <f t="shared" ca="1" si="29"/>
        <v>0</v>
      </c>
      <c r="N22" s="97">
        <f t="shared" ca="1" si="29"/>
        <v>0</v>
      </c>
      <c r="O22" s="97">
        <f t="shared" ca="1" si="29"/>
        <v>0</v>
      </c>
      <c r="P22" s="97">
        <f t="shared" ca="1" si="29"/>
        <v>0</v>
      </c>
      <c r="Q22" s="97">
        <f t="shared" ca="1" si="29"/>
        <v>0</v>
      </c>
      <c r="R22" s="97">
        <f t="shared" ca="1" si="29"/>
        <v>0</v>
      </c>
      <c r="S22" s="97">
        <f t="shared" ca="1" si="29"/>
        <v>0</v>
      </c>
      <c r="T22" s="97">
        <f t="shared" ca="1" si="29"/>
        <v>0</v>
      </c>
      <c r="U22" s="97">
        <f t="shared" ca="1" si="29"/>
        <v>0</v>
      </c>
      <c r="V22" s="97">
        <f t="shared" ca="1" si="29"/>
        <v>0</v>
      </c>
      <c r="W22" s="97">
        <f t="shared" ca="1" si="29"/>
        <v>0</v>
      </c>
      <c r="X22" s="97">
        <f t="shared" ca="1" si="29"/>
        <v>0</v>
      </c>
      <c r="Y22" s="97">
        <f t="shared" ca="1" si="29"/>
        <v>0</v>
      </c>
      <c r="Z22" s="97">
        <f t="shared" ca="1" si="29"/>
        <v>0</v>
      </c>
      <c r="AA22" s="97">
        <f t="shared" ca="1" si="29"/>
        <v>0</v>
      </c>
      <c r="AB22" s="97">
        <f t="shared" ca="1" si="29"/>
        <v>0</v>
      </c>
      <c r="AC22" s="97">
        <f t="shared" ca="1" si="29"/>
        <v>0</v>
      </c>
      <c r="AD22" s="97">
        <f t="shared" ca="1" si="29"/>
        <v>0</v>
      </c>
      <c r="AE22" s="97">
        <f t="shared" ca="1" si="29"/>
        <v>0</v>
      </c>
      <c r="AF22" s="97">
        <f t="shared" ca="1" si="29"/>
        <v>0</v>
      </c>
      <c r="AG22" s="97">
        <f t="shared" ca="1" si="29"/>
        <v>0</v>
      </c>
      <c r="AH22" s="250"/>
      <c r="AI22" s="250"/>
      <c r="AJ22" s="250"/>
      <c r="AK22" s="250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/>
      <c r="MP22" s="23"/>
      <c r="MQ22" s="23"/>
      <c r="MR22" s="23"/>
      <c r="MS22" s="23"/>
      <c r="MT22" s="23"/>
      <c r="MU22" s="23"/>
      <c r="MV22" s="23"/>
      <c r="MW22" s="23"/>
      <c r="MX22" s="23"/>
      <c r="MY22" s="23"/>
      <c r="MZ22" s="23"/>
      <c r="NA22" s="23"/>
      <c r="NB22" s="23"/>
      <c r="NC22" s="23"/>
      <c r="ND22" s="23"/>
      <c r="NE22" s="23"/>
      <c r="NF22" s="23"/>
      <c r="NG22" s="23"/>
      <c r="NH22" s="23"/>
      <c r="NI22" s="23"/>
      <c r="NJ22" s="23"/>
      <c r="NK22" s="23"/>
      <c r="NL22" s="23"/>
      <c r="NM22" s="23"/>
      <c r="NN22" s="23"/>
      <c r="NO22" s="23"/>
      <c r="NP22" s="23"/>
      <c r="NQ22" s="23"/>
      <c r="NR22" s="23"/>
      <c r="NS22" s="23"/>
      <c r="NT22" s="23"/>
      <c r="NU22" s="23"/>
      <c r="NV22" s="23"/>
      <c r="NW22" s="23"/>
      <c r="NX22" s="23"/>
      <c r="NY22" s="23"/>
      <c r="NZ22" s="23"/>
      <c r="OA22" s="23"/>
      <c r="OB22" s="23"/>
      <c r="OC22" s="23"/>
      <c r="OD22" s="23"/>
      <c r="OE22" s="23"/>
      <c r="OF22" s="23"/>
      <c r="OG22" s="23"/>
      <c r="OH22" s="23"/>
      <c r="OI22" s="23"/>
      <c r="OJ22" s="23"/>
      <c r="OK22" s="23"/>
      <c r="OL22" s="23"/>
      <c r="OM22" s="23"/>
      <c r="ON22" s="23"/>
      <c r="OO22" s="23"/>
      <c r="OP22" s="23"/>
      <c r="OQ22" s="23"/>
      <c r="OR22" s="23"/>
      <c r="OS22" s="23"/>
      <c r="OT22" s="23"/>
      <c r="OU22" s="23"/>
      <c r="OV22" s="23"/>
      <c r="OW22" s="23"/>
      <c r="OX22" s="23"/>
      <c r="OY22" s="23"/>
      <c r="OZ22" s="23"/>
      <c r="PA22" s="23"/>
      <c r="PB22" s="23"/>
      <c r="PC22" s="23"/>
      <c r="PD22" s="23"/>
      <c r="PE22" s="23"/>
      <c r="PF22" s="23"/>
      <c r="PG22" s="23"/>
      <c r="PH22" s="23"/>
      <c r="PI22" s="23"/>
      <c r="PJ22" s="23"/>
      <c r="PK22" s="23"/>
      <c r="PL22" s="23"/>
      <c r="PM22" s="23"/>
      <c r="PN22" s="23"/>
      <c r="PO22" s="23"/>
      <c r="PP22" s="23"/>
      <c r="PQ22" s="23"/>
      <c r="PR22" s="23"/>
      <c r="PS22" s="23"/>
      <c r="PT22" s="23"/>
      <c r="PU22" s="23"/>
      <c r="PV22" s="23"/>
      <c r="PW22" s="23"/>
      <c r="PX22" s="23"/>
      <c r="PY22" s="23"/>
      <c r="PZ22" s="23"/>
      <c r="QA22" s="23"/>
      <c r="QB22" s="23"/>
      <c r="QC22" s="23"/>
      <c r="QD22" s="23"/>
      <c r="QE22" s="23"/>
      <c r="QF22" s="23"/>
      <c r="QG22" s="23"/>
      <c r="QH22" s="23"/>
      <c r="QI22" s="23"/>
      <c r="QJ22" s="23"/>
      <c r="QK22" s="23"/>
      <c r="QL22" s="23"/>
      <c r="QM22" s="23"/>
      <c r="QN22" s="23"/>
      <c r="QO22" s="23"/>
      <c r="QP22" s="23"/>
      <c r="QQ22" s="23"/>
      <c r="QR22" s="23"/>
      <c r="QS22" s="23"/>
      <c r="QT22" s="23"/>
      <c r="QU22" s="23"/>
      <c r="QV22" s="23"/>
      <c r="QW22" s="23"/>
      <c r="QX22" s="23"/>
      <c r="QY22" s="23"/>
      <c r="QZ22" s="23"/>
      <c r="RA22" s="23"/>
      <c r="RB22" s="23"/>
      <c r="RC22" s="23"/>
      <c r="RD22" s="23"/>
      <c r="RE22" s="23"/>
      <c r="RF22" s="23"/>
      <c r="RG22" s="23"/>
      <c r="RH22" s="23"/>
      <c r="RI22" s="23"/>
      <c r="RJ22" s="23"/>
      <c r="RK22" s="23"/>
      <c r="RL22" s="23"/>
      <c r="RM22" s="23"/>
      <c r="RN22" s="23"/>
      <c r="RO22" s="23"/>
      <c r="RP22" s="23"/>
      <c r="RQ22" s="23"/>
      <c r="RR22" s="23"/>
      <c r="RS22" s="23"/>
      <c r="RT22" s="23"/>
      <c r="RU22" s="23"/>
      <c r="RV22" s="23"/>
      <c r="RW22" s="23"/>
      <c r="RX22" s="23"/>
      <c r="RY22" s="23"/>
      <c r="RZ22" s="23"/>
      <c r="SA22" s="23"/>
      <c r="SB22" s="23"/>
      <c r="SC22" s="23"/>
      <c r="SD22" s="23"/>
      <c r="SE22" s="23"/>
      <c r="SF22" s="23"/>
      <c r="SG22" s="23"/>
      <c r="SH22" s="23"/>
      <c r="SI22" s="23"/>
      <c r="SJ22" s="23"/>
      <c r="SK22" s="23"/>
      <c r="SL22" s="23"/>
      <c r="SM22" s="23"/>
      <c r="SN22" s="23"/>
      <c r="SO22" s="23"/>
      <c r="SP22" s="23"/>
      <c r="SQ22" s="23"/>
      <c r="SR22" s="23"/>
      <c r="SS22" s="23"/>
      <c r="ST22" s="23"/>
      <c r="SU22" s="23"/>
      <c r="SV22" s="23"/>
      <c r="SW22" s="23"/>
      <c r="SX22" s="23"/>
      <c r="SY22" s="23"/>
      <c r="SZ22" s="23"/>
      <c r="TA22" s="23"/>
      <c r="TB22" s="23"/>
      <c r="TC22" s="23"/>
      <c r="TD22" s="23"/>
      <c r="TE22" s="23"/>
      <c r="TF22" s="23"/>
      <c r="TG22" s="23"/>
      <c r="TH22" s="23"/>
      <c r="TI22" s="23"/>
      <c r="TJ22" s="23"/>
      <c r="TK22" s="23"/>
      <c r="TL22" s="23"/>
      <c r="TM22" s="23"/>
      <c r="TN22" s="23"/>
      <c r="TO22" s="23"/>
      <c r="TP22" s="23"/>
      <c r="TQ22" s="23"/>
      <c r="TR22" s="23"/>
      <c r="TS22" s="23"/>
      <c r="TT22" s="23"/>
      <c r="TU22" s="23"/>
      <c r="TV22" s="23"/>
      <c r="TW22" s="23"/>
      <c r="TX22" s="23"/>
      <c r="TY22" s="23"/>
      <c r="TZ22" s="23"/>
      <c r="UA22" s="23"/>
      <c r="UB22" s="23"/>
      <c r="UC22" s="23"/>
      <c r="UD22" s="23"/>
      <c r="UE22" s="23"/>
      <c r="UF22" s="23"/>
      <c r="UG22" s="23"/>
      <c r="UH22" s="23"/>
      <c r="UI22" s="23"/>
      <c r="UJ22" s="23"/>
      <c r="UK22" s="23"/>
      <c r="UL22" s="23"/>
      <c r="UM22" s="23"/>
      <c r="UN22" s="23"/>
      <c r="UO22" s="23"/>
      <c r="UP22" s="23"/>
      <c r="UQ22" s="23"/>
      <c r="UR22" s="23"/>
      <c r="US22" s="23"/>
      <c r="UT22" s="23"/>
      <c r="UU22" s="23"/>
      <c r="UV22" s="23"/>
      <c r="UW22" s="23"/>
      <c r="UX22" s="23"/>
      <c r="UY22" s="23"/>
      <c r="UZ22" s="23"/>
      <c r="VA22" s="23"/>
      <c r="VB22" s="23"/>
      <c r="VC22" s="23"/>
      <c r="VD22" s="23"/>
      <c r="VE22" s="23"/>
      <c r="VF22" s="23"/>
      <c r="VG22" s="23"/>
      <c r="VH22" s="23"/>
      <c r="VI22" s="23"/>
      <c r="VJ22" s="23"/>
      <c r="VK22" s="23"/>
      <c r="VL22" s="23"/>
      <c r="VM22" s="23"/>
      <c r="VN22" s="23"/>
      <c r="VO22" s="23"/>
      <c r="VP22" s="23"/>
      <c r="VQ22" s="23"/>
      <c r="VR22" s="23"/>
      <c r="VS22" s="23"/>
      <c r="VT22" s="23"/>
      <c r="VU22" s="23"/>
      <c r="VV22" s="23"/>
      <c r="VW22" s="23"/>
      <c r="VX22" s="23"/>
      <c r="VY22" s="23"/>
      <c r="VZ22" s="23"/>
      <c r="WA22" s="23"/>
      <c r="WB22" s="23"/>
      <c r="WC22" s="23"/>
      <c r="WD22" s="23"/>
      <c r="WE22" s="23"/>
      <c r="WF22" s="23"/>
      <c r="WG22" s="23"/>
      <c r="WH22" s="23"/>
      <c r="WI22" s="23"/>
      <c r="WJ22" s="23"/>
      <c r="WK22" s="23"/>
      <c r="WL22" s="23"/>
      <c r="WM22" s="23"/>
      <c r="WN22" s="23"/>
      <c r="WO22" s="23"/>
      <c r="WP22" s="23"/>
      <c r="WQ22" s="23"/>
      <c r="WR22" s="23"/>
      <c r="WS22" s="23"/>
      <c r="WT22" s="23"/>
      <c r="WU22" s="23"/>
      <c r="WV22" s="23"/>
      <c r="WW22" s="23"/>
      <c r="WX22" s="23"/>
      <c r="WY22" s="23"/>
      <c r="WZ22" s="23"/>
      <c r="XA22" s="23"/>
      <c r="XB22" s="23"/>
      <c r="XC22" s="23"/>
      <c r="XD22" s="23"/>
      <c r="XE22" s="23"/>
      <c r="XF22" s="23"/>
      <c r="XG22" s="23"/>
      <c r="XH22" s="23"/>
      <c r="XI22" s="23"/>
      <c r="XJ22" s="23"/>
      <c r="XK22" s="23"/>
      <c r="XL22" s="23"/>
      <c r="XM22" s="23"/>
      <c r="XN22" s="23"/>
      <c r="XO22" s="23"/>
      <c r="XP22" s="23"/>
      <c r="XQ22" s="23"/>
      <c r="XR22" s="23"/>
      <c r="XS22" s="23"/>
      <c r="XT22" s="23"/>
      <c r="XU22" s="23"/>
      <c r="XV22" s="23"/>
      <c r="XW22" s="23"/>
      <c r="XX22" s="23"/>
      <c r="XY22" s="23"/>
      <c r="XZ22" s="23"/>
      <c r="YA22" s="23"/>
      <c r="YB22" s="23"/>
      <c r="YC22" s="23"/>
      <c r="YD22" s="23"/>
      <c r="YE22" s="23"/>
      <c r="YF22" s="23"/>
      <c r="YG22" s="23"/>
      <c r="YH22" s="23"/>
      <c r="YI22" s="23"/>
      <c r="YJ22" s="23"/>
      <c r="YK22" s="23"/>
      <c r="YL22" s="23"/>
      <c r="YM22" s="23"/>
      <c r="YN22" s="23"/>
      <c r="YO22" s="23"/>
      <c r="YP22" s="23"/>
      <c r="YQ22" s="23"/>
      <c r="YR22" s="23"/>
      <c r="YS22" s="23"/>
      <c r="YT22" s="23"/>
      <c r="YU22" s="23"/>
      <c r="YV22" s="23"/>
      <c r="YW22" s="23"/>
      <c r="YX22" s="23"/>
      <c r="YY22" s="23"/>
      <c r="YZ22" s="23"/>
      <c r="ZA22" s="23"/>
      <c r="ZB22" s="23"/>
      <c r="ZC22" s="23"/>
      <c r="ZD22" s="23"/>
      <c r="ZE22" s="54"/>
    </row>
    <row r="23" spans="1:682" s="58" customFormat="1" ht="14.25" customHeight="1" x14ac:dyDescent="0.25">
      <c r="A23" s="77"/>
      <c r="B23" s="128"/>
      <c r="C23" s="77"/>
      <c r="D23" s="77"/>
      <c r="E23" s="77"/>
      <c r="F23" s="77"/>
      <c r="G23" s="136"/>
      <c r="H23" s="134"/>
      <c r="I23" s="77"/>
      <c r="J23" s="77"/>
      <c r="K23" s="77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253"/>
      <c r="AI23" s="253"/>
      <c r="AJ23" s="253"/>
      <c r="AK23" s="25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61"/>
    </row>
    <row r="24" spans="1:682" s="50" customFormat="1" ht="15" customHeight="1" thickBot="1" x14ac:dyDescent="0.3">
      <c r="A24" s="108">
        <v>3000</v>
      </c>
      <c r="B24" s="109" t="s">
        <v>31</v>
      </c>
      <c r="C24" s="103" t="s">
        <v>66</v>
      </c>
      <c r="D24" s="5" t="s">
        <v>65</v>
      </c>
      <c r="E24" s="103" t="s">
        <v>49</v>
      </c>
      <c r="F24" s="5" t="s">
        <v>48</v>
      </c>
      <c r="G24" s="56">
        <v>2</v>
      </c>
      <c r="H24" s="172" t="s">
        <v>119</v>
      </c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265"/>
      <c r="AI24" s="265"/>
      <c r="AJ24" s="265"/>
      <c r="AK24" s="265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/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24"/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24"/>
      <c r="GG24" s="24"/>
      <c r="GH24" s="24"/>
      <c r="GI24" s="24"/>
      <c r="GJ24" s="24"/>
      <c r="GK24" s="24"/>
      <c r="GL24" s="24"/>
      <c r="GM24" s="24"/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24"/>
      <c r="HD24" s="24"/>
      <c r="HE24" s="24"/>
      <c r="HF24" s="24"/>
      <c r="HG24" s="24"/>
      <c r="HH24" s="24"/>
      <c r="HI24" s="24"/>
      <c r="HJ24" s="24"/>
      <c r="HK24" s="24"/>
      <c r="HL24" s="24"/>
      <c r="HM24" s="24"/>
      <c r="HN24" s="24"/>
      <c r="HO24" s="24"/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24"/>
      <c r="IV24" s="24"/>
      <c r="IW24" s="24"/>
      <c r="IX24" s="24"/>
      <c r="IY24" s="24"/>
      <c r="IZ24" s="24"/>
      <c r="JA24" s="24"/>
      <c r="JB24" s="24"/>
      <c r="JC24" s="24"/>
      <c r="JD24" s="24"/>
      <c r="JE24" s="24"/>
      <c r="JF24" s="24"/>
      <c r="JG24" s="24"/>
      <c r="JH24" s="24"/>
      <c r="JI24" s="24"/>
      <c r="JJ24" s="24"/>
      <c r="JK24" s="24"/>
      <c r="JL24" s="24"/>
      <c r="JM24" s="24"/>
      <c r="JN24" s="24"/>
      <c r="JO24" s="24"/>
      <c r="JP24" s="24"/>
      <c r="JQ24" s="24"/>
      <c r="JR24" s="24"/>
      <c r="JS24" s="24"/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24"/>
      <c r="KO24" s="24"/>
      <c r="KP24" s="24"/>
      <c r="KQ24" s="24"/>
      <c r="KR24" s="24"/>
      <c r="KS24" s="24"/>
      <c r="KT24" s="24"/>
      <c r="KU24" s="24"/>
      <c r="KV24" s="24"/>
      <c r="KW24" s="24"/>
      <c r="KX24" s="24"/>
      <c r="KY24" s="24"/>
      <c r="KZ24" s="24"/>
      <c r="LA24" s="24"/>
      <c r="LB24" s="24"/>
      <c r="LC24" s="24"/>
      <c r="LD24" s="24"/>
      <c r="LE24" s="24"/>
      <c r="LF24" s="24"/>
      <c r="LG24" s="24"/>
      <c r="LH24" s="24"/>
      <c r="LI24" s="24"/>
      <c r="LJ24" s="24"/>
      <c r="LK24" s="24"/>
      <c r="LL24" s="24"/>
      <c r="LM24" s="24"/>
      <c r="LN24" s="24"/>
      <c r="LO24" s="24"/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24"/>
      <c r="MS24" s="24"/>
      <c r="MT24" s="24"/>
      <c r="MU24" s="24"/>
      <c r="MV24" s="24"/>
      <c r="MW24" s="24"/>
      <c r="MX24" s="24"/>
      <c r="MY24" s="24"/>
      <c r="MZ24" s="24"/>
      <c r="NA24" s="24"/>
      <c r="NB24" s="24"/>
      <c r="NC24" s="24"/>
      <c r="ND24" s="24"/>
      <c r="NE24" s="24"/>
      <c r="NF24" s="24"/>
      <c r="NG24" s="24"/>
      <c r="NH24" s="24"/>
      <c r="NI24" s="24"/>
      <c r="NJ24" s="24"/>
      <c r="NK24" s="24"/>
      <c r="NL24" s="24"/>
      <c r="NM24" s="24"/>
      <c r="NN24" s="24"/>
      <c r="NO24" s="24"/>
      <c r="NP24" s="24"/>
      <c r="NQ24" s="24"/>
      <c r="NR24" s="24"/>
      <c r="NS24" s="24"/>
      <c r="NT24" s="24"/>
      <c r="NU24" s="24"/>
      <c r="NV24" s="24"/>
      <c r="NW24" s="24"/>
      <c r="NX24" s="24"/>
      <c r="NY24" s="24"/>
      <c r="NZ24" s="24"/>
      <c r="OA24" s="24"/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24"/>
      <c r="OW24" s="24"/>
      <c r="OX24" s="24"/>
      <c r="OY24" s="24"/>
      <c r="OZ24" s="24"/>
      <c r="PA24" s="24"/>
      <c r="PB24" s="24"/>
      <c r="PC24" s="24"/>
      <c r="PD24" s="24"/>
      <c r="PE24" s="24"/>
      <c r="PF24" s="24"/>
      <c r="PG24" s="24"/>
      <c r="PH24" s="24"/>
      <c r="PI24" s="24"/>
      <c r="PJ24" s="24"/>
      <c r="PK24" s="24"/>
      <c r="PL24" s="24"/>
      <c r="PM24" s="24"/>
      <c r="PN24" s="24"/>
      <c r="PO24" s="24"/>
      <c r="PP24" s="24"/>
      <c r="PQ24" s="24"/>
      <c r="PR24" s="24"/>
      <c r="PS24" s="24"/>
      <c r="PT24" s="24"/>
      <c r="PU24" s="24"/>
      <c r="PV24" s="24"/>
      <c r="PW24" s="24"/>
      <c r="PX24" s="24"/>
      <c r="PY24" s="24"/>
      <c r="PZ24" s="24"/>
      <c r="QA24" s="24"/>
      <c r="QB24" s="24"/>
      <c r="QC24" s="24"/>
      <c r="QD24" s="24"/>
      <c r="QE24" s="24"/>
      <c r="QF24" s="24"/>
      <c r="QG24" s="24"/>
      <c r="QH24" s="24"/>
      <c r="QI24" s="24"/>
      <c r="QJ24" s="24"/>
      <c r="QK24" s="24"/>
      <c r="QL24" s="24"/>
      <c r="QM24" s="24"/>
      <c r="QN24" s="24"/>
      <c r="QO24" s="24"/>
      <c r="QP24" s="24"/>
      <c r="QQ24" s="24"/>
      <c r="QR24" s="24"/>
      <c r="QS24" s="24"/>
      <c r="QT24" s="24"/>
      <c r="QU24" s="24"/>
      <c r="QV24" s="24"/>
      <c r="QW24" s="24"/>
      <c r="QX24" s="24"/>
      <c r="QY24" s="24"/>
      <c r="QZ24" s="24"/>
      <c r="RA24" s="24"/>
      <c r="RB24" s="24"/>
      <c r="RC24" s="24"/>
      <c r="RD24" s="24"/>
      <c r="RE24" s="24"/>
      <c r="RF24" s="24"/>
      <c r="RG24" s="24"/>
      <c r="RH24" s="24"/>
      <c r="RI24" s="24"/>
      <c r="RJ24" s="24"/>
      <c r="RK24" s="24"/>
      <c r="RL24" s="24"/>
      <c r="RM24" s="24"/>
      <c r="RN24" s="24"/>
      <c r="RO24" s="24"/>
      <c r="RP24" s="24"/>
      <c r="RQ24" s="24"/>
      <c r="RR24" s="24"/>
      <c r="RS24" s="24"/>
      <c r="RT24" s="24"/>
      <c r="RU24" s="24"/>
      <c r="RV24" s="24"/>
      <c r="RW24" s="24"/>
      <c r="RX24" s="24"/>
      <c r="RY24" s="24"/>
      <c r="RZ24" s="24"/>
      <c r="SA24" s="24"/>
      <c r="SB24" s="24"/>
      <c r="SC24" s="24"/>
      <c r="SD24" s="24"/>
      <c r="SE24" s="24"/>
      <c r="SF24" s="24"/>
      <c r="SG24" s="24"/>
      <c r="SH24" s="24"/>
      <c r="SI24" s="24"/>
      <c r="SJ24" s="24"/>
      <c r="SK24" s="24"/>
      <c r="SL24" s="24"/>
      <c r="SM24" s="24"/>
      <c r="SN24" s="24"/>
      <c r="SO24" s="24"/>
      <c r="SP24" s="24"/>
      <c r="SQ24" s="24"/>
      <c r="SR24" s="24"/>
      <c r="SS24" s="24"/>
      <c r="ST24" s="24"/>
      <c r="SU24" s="24"/>
      <c r="SV24" s="24"/>
      <c r="SW24" s="24"/>
      <c r="SX24" s="24"/>
      <c r="SY24" s="24"/>
      <c r="SZ24" s="24"/>
      <c r="TA24" s="24"/>
      <c r="TB24" s="24"/>
      <c r="TC24" s="24"/>
      <c r="TD24" s="24"/>
      <c r="TE24" s="24"/>
      <c r="TF24" s="24"/>
      <c r="TG24" s="24"/>
      <c r="TH24" s="24"/>
      <c r="TI24" s="24"/>
      <c r="TJ24" s="24"/>
      <c r="TK24" s="24"/>
      <c r="TL24" s="24"/>
      <c r="TM24" s="24"/>
      <c r="TN24" s="24"/>
      <c r="TO24" s="24"/>
      <c r="TP24" s="24"/>
      <c r="TQ24" s="24"/>
      <c r="TR24" s="24"/>
      <c r="TS24" s="24"/>
      <c r="TT24" s="24"/>
      <c r="TU24" s="24"/>
      <c r="TV24" s="24"/>
      <c r="TW24" s="24"/>
      <c r="TX24" s="24"/>
      <c r="TY24" s="24"/>
      <c r="TZ24" s="24"/>
      <c r="UA24" s="24"/>
      <c r="UB24" s="24"/>
      <c r="UC24" s="24"/>
      <c r="UD24" s="24"/>
      <c r="UE24" s="24"/>
      <c r="UF24" s="24"/>
      <c r="UG24" s="24"/>
      <c r="UH24" s="24"/>
      <c r="UI24" s="24"/>
      <c r="UJ24" s="24"/>
      <c r="UK24" s="24"/>
      <c r="UL24" s="24"/>
      <c r="UM24" s="24"/>
      <c r="UN24" s="24"/>
      <c r="UO24" s="24"/>
      <c r="UP24" s="24"/>
      <c r="UQ24" s="24"/>
      <c r="UR24" s="24"/>
      <c r="US24" s="24"/>
      <c r="UT24" s="24"/>
      <c r="UU24" s="24"/>
      <c r="UV24" s="24"/>
      <c r="UW24" s="24"/>
      <c r="UX24" s="24"/>
      <c r="UY24" s="24"/>
      <c r="UZ24" s="24"/>
      <c r="VA24" s="24"/>
      <c r="VB24" s="24"/>
      <c r="VC24" s="24"/>
      <c r="VD24" s="24"/>
      <c r="VE24" s="24"/>
      <c r="VF24" s="24"/>
      <c r="VG24" s="24"/>
      <c r="VH24" s="24"/>
      <c r="VI24" s="24"/>
      <c r="VJ24" s="24"/>
      <c r="VK24" s="24"/>
      <c r="VL24" s="24"/>
      <c r="VM24" s="24"/>
      <c r="VN24" s="24"/>
      <c r="VO24" s="24"/>
      <c r="VP24" s="24"/>
      <c r="VQ24" s="24"/>
      <c r="VR24" s="24"/>
      <c r="VS24" s="24"/>
      <c r="VT24" s="24"/>
      <c r="VU24" s="24"/>
      <c r="VV24" s="24"/>
      <c r="VW24" s="24"/>
      <c r="VX24" s="24"/>
      <c r="VY24" s="24"/>
      <c r="VZ24" s="24"/>
      <c r="WA24" s="24"/>
      <c r="WB24" s="24"/>
      <c r="WC24" s="24"/>
      <c r="WD24" s="24"/>
      <c r="WE24" s="24"/>
      <c r="WF24" s="24"/>
      <c r="WG24" s="24"/>
      <c r="WH24" s="24"/>
      <c r="WI24" s="24"/>
      <c r="WJ24" s="24"/>
      <c r="WK24" s="24"/>
      <c r="WL24" s="24"/>
      <c r="WM24" s="24"/>
      <c r="WN24" s="24"/>
      <c r="WO24" s="24"/>
      <c r="WP24" s="24"/>
      <c r="WQ24" s="24"/>
      <c r="WR24" s="24"/>
      <c r="WS24" s="24"/>
      <c r="WT24" s="24"/>
      <c r="WU24" s="24"/>
      <c r="WV24" s="24"/>
      <c r="WW24" s="24"/>
      <c r="WX24" s="24"/>
      <c r="WY24" s="24"/>
      <c r="WZ24" s="24"/>
      <c r="XA24" s="24"/>
      <c r="XB24" s="24"/>
      <c r="XC24" s="24"/>
      <c r="XD24" s="24"/>
      <c r="XE24" s="24"/>
      <c r="XF24" s="24"/>
      <c r="XG24" s="24"/>
      <c r="XH24" s="24"/>
      <c r="XI24" s="24"/>
      <c r="XJ24" s="24"/>
      <c r="XK24" s="24"/>
      <c r="XL24" s="24"/>
      <c r="XM24" s="24"/>
      <c r="XN24" s="24"/>
      <c r="XO24" s="24"/>
      <c r="XP24" s="24"/>
      <c r="XQ24" s="24"/>
      <c r="XR24" s="24"/>
      <c r="XS24" s="24"/>
      <c r="XT24" s="24"/>
      <c r="XU24" s="24"/>
      <c r="XV24" s="24"/>
      <c r="XW24" s="24"/>
      <c r="XX24" s="24"/>
      <c r="XY24" s="24"/>
      <c r="XZ24" s="24"/>
      <c r="YA24" s="24"/>
      <c r="YB24" s="24"/>
      <c r="YC24" s="24"/>
      <c r="YD24" s="24"/>
      <c r="YE24" s="24"/>
      <c r="YF24" s="24"/>
      <c r="YG24" s="24"/>
      <c r="YH24" s="24"/>
      <c r="YI24" s="24"/>
      <c r="YJ24" s="24"/>
      <c r="YK24" s="24"/>
      <c r="YL24" s="24"/>
      <c r="YM24" s="24"/>
      <c r="YN24" s="24"/>
      <c r="YO24" s="24"/>
      <c r="YP24" s="24"/>
      <c r="YQ24" s="24"/>
      <c r="YR24" s="24"/>
      <c r="YS24" s="24"/>
      <c r="YT24" s="24"/>
      <c r="YU24" s="24"/>
      <c r="YV24" s="24"/>
      <c r="YW24" s="24"/>
      <c r="YX24" s="24"/>
      <c r="YY24" s="24"/>
      <c r="YZ24" s="24"/>
      <c r="ZA24" s="24"/>
      <c r="ZB24" s="24"/>
      <c r="ZC24" s="24"/>
      <c r="ZD24" s="24"/>
      <c r="ZE24" s="24"/>
      <c r="ZF24" s="53"/>
    </row>
    <row r="25" spans="1:682" s="45" customFormat="1" ht="15" customHeight="1" x14ac:dyDescent="0.25">
      <c r="A25" s="108">
        <v>3000</v>
      </c>
      <c r="B25" s="109" t="s">
        <v>31</v>
      </c>
      <c r="C25" s="103" t="s">
        <v>49</v>
      </c>
      <c r="D25" s="5" t="s">
        <v>48</v>
      </c>
      <c r="E25" s="103" t="s">
        <v>66</v>
      </c>
      <c r="F25" s="5" t="s">
        <v>65</v>
      </c>
      <c r="G25" s="56">
        <v>2</v>
      </c>
      <c r="H25" s="46" t="s">
        <v>25</v>
      </c>
      <c r="I25" s="47"/>
      <c r="J25" s="48">
        <f ca="1">OFFSET(CBN_CDC!I45,0,2)</f>
        <v>310</v>
      </c>
      <c r="K25" s="241">
        <f ca="1">OFFSET(CBN_CDC!J45,0,2)</f>
        <v>210</v>
      </c>
      <c r="L25" s="241">
        <f ca="1">OFFSET(CBN_CDC!K45,0,2)</f>
        <v>300</v>
      </c>
      <c r="M25" s="241">
        <f ca="1">OFFSET(CBN_CDC!L45,0,2)</f>
        <v>330</v>
      </c>
      <c r="N25" s="241">
        <f ca="1">OFFSET(CBN_CDC!M45,0,2)</f>
        <v>380</v>
      </c>
      <c r="O25" s="241">
        <f ca="1">OFFSET(CBN_CDC!N45,0,2)</f>
        <v>270</v>
      </c>
      <c r="P25" s="241">
        <f ca="1">OFFSET(CBN_CDC!O45,0,2)</f>
        <v>170</v>
      </c>
      <c r="Q25" s="241">
        <f ca="1">OFFSET(CBN_CDC!P45,0,2)</f>
        <v>120</v>
      </c>
      <c r="R25" s="241">
        <f ca="1">OFFSET(CBN_CDC!Q45,0,2)</f>
        <v>100</v>
      </c>
      <c r="S25" s="241">
        <f ca="1">OFFSET(CBN_CDC!R45,0,2)</f>
        <v>220</v>
      </c>
      <c r="T25" s="241">
        <f ca="1">OFFSET(CBN_CDC!S45,0,2)</f>
        <v>300</v>
      </c>
      <c r="U25" s="241">
        <f ca="1">OFFSET(CBN_CDC!T45,0,2)</f>
        <v>290</v>
      </c>
      <c r="V25" s="241">
        <f ca="1">OFFSET(CBN_CDC!U45,0,2)</f>
        <v>260</v>
      </c>
      <c r="W25" s="241">
        <f ca="1">OFFSET(CBN_CDC!V45,0,2)</f>
        <v>80</v>
      </c>
      <c r="X25" s="241">
        <f ca="1">OFFSET(CBN_CDC!W45,0,2)</f>
        <v>280</v>
      </c>
      <c r="Y25" s="241">
        <f ca="1">OFFSET(CBN_CDC!X45,0,2)</f>
        <v>150</v>
      </c>
      <c r="Z25" s="241">
        <f ca="1">OFFSET(CBN_CDC!Y45,0,2)</f>
        <v>360</v>
      </c>
      <c r="AA25" s="241">
        <f ca="1">OFFSET(CBN_CDC!Z45,0,2)</f>
        <v>280</v>
      </c>
      <c r="AB25" s="241">
        <f ca="1">OFFSET(CBN_CDC!AA45,0,2)</f>
        <v>280</v>
      </c>
      <c r="AC25" s="241">
        <f ca="1">OFFSET(CBN_CDC!AB45,0,2)</f>
        <v>220</v>
      </c>
      <c r="AD25" s="241">
        <f ca="1">OFFSET(CBN_CDC!AC45,0,2)</f>
        <v>20</v>
      </c>
      <c r="AE25" s="241">
        <f ca="1">OFFSET(CBN_CDC!AD45,0,2)</f>
        <v>30</v>
      </c>
      <c r="AF25" s="241">
        <f ca="1">OFFSET(CBN_CDC!AE45,0,2)</f>
        <v>0</v>
      </c>
      <c r="AG25" s="241">
        <f ca="1">OFFSET(CBN_CDC!AF45,0,2)</f>
        <v>0</v>
      </c>
      <c r="AH25" s="241"/>
      <c r="AI25" s="241"/>
      <c r="AJ25" s="241"/>
      <c r="AK25" s="241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3"/>
      <c r="JE25" s="23"/>
      <c r="JF25" s="23"/>
      <c r="JG25" s="23"/>
      <c r="JH25" s="23"/>
      <c r="JI25" s="23"/>
      <c r="JJ25" s="23"/>
      <c r="JK25" s="23"/>
      <c r="JL25" s="23"/>
      <c r="JM25" s="23"/>
      <c r="JN25" s="23"/>
      <c r="JO25" s="23"/>
      <c r="JP25" s="23"/>
      <c r="JQ25" s="23"/>
      <c r="JR25" s="23"/>
      <c r="JS25" s="23"/>
      <c r="JT25" s="23"/>
      <c r="JU25" s="23"/>
      <c r="JV25" s="23"/>
      <c r="JW25" s="23"/>
      <c r="JX25" s="23"/>
      <c r="JY25" s="23"/>
      <c r="JZ25" s="23"/>
      <c r="KA25" s="23"/>
      <c r="KB25" s="23"/>
      <c r="KC25" s="23"/>
      <c r="KD25" s="23"/>
      <c r="KE25" s="23"/>
      <c r="KF25" s="23"/>
      <c r="KG25" s="23"/>
      <c r="KH25" s="23"/>
      <c r="KI25" s="23"/>
      <c r="KJ25" s="23"/>
      <c r="KK25" s="23"/>
      <c r="KL25" s="23"/>
      <c r="KM25" s="23"/>
      <c r="KN25" s="23"/>
      <c r="KO25" s="23"/>
      <c r="KP25" s="23"/>
      <c r="KQ25" s="23"/>
      <c r="KR25" s="23"/>
      <c r="KS25" s="23"/>
      <c r="KT25" s="23"/>
      <c r="KU25" s="23"/>
      <c r="KV25" s="23"/>
      <c r="KW25" s="23"/>
      <c r="KX25" s="23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3"/>
      <c r="LM25" s="23"/>
      <c r="LN25" s="23"/>
      <c r="LO25" s="23"/>
      <c r="LP25" s="23"/>
      <c r="LQ25" s="23"/>
      <c r="LR25" s="23"/>
      <c r="LS25" s="23"/>
      <c r="LT25" s="23"/>
      <c r="LU25" s="23"/>
      <c r="LV25" s="23"/>
      <c r="LW25" s="23"/>
      <c r="LX25" s="23"/>
      <c r="LY25" s="23"/>
      <c r="LZ25" s="23"/>
      <c r="MA25" s="23"/>
      <c r="MB25" s="23"/>
      <c r="MC25" s="23"/>
      <c r="MD25" s="23"/>
      <c r="ME25" s="23"/>
      <c r="MF25" s="23"/>
      <c r="MG25" s="23"/>
      <c r="MH25" s="23"/>
      <c r="MI25" s="23"/>
      <c r="MJ25" s="23"/>
      <c r="MK25" s="23"/>
      <c r="ML25" s="23"/>
      <c r="MM25" s="23"/>
      <c r="MN25" s="23"/>
      <c r="MO25" s="23"/>
      <c r="MP25" s="23"/>
      <c r="MQ25" s="23"/>
      <c r="MR25" s="23"/>
      <c r="MS25" s="23"/>
      <c r="MT25" s="23"/>
      <c r="MU25" s="23"/>
      <c r="MV25" s="23"/>
      <c r="MW25" s="23"/>
      <c r="MX25" s="23"/>
      <c r="MY25" s="23"/>
      <c r="MZ25" s="23"/>
      <c r="NA25" s="23"/>
      <c r="NB25" s="23"/>
      <c r="NC25" s="23"/>
      <c r="ND25" s="23"/>
      <c r="NE25" s="23"/>
      <c r="NF25" s="23"/>
      <c r="NG25" s="23"/>
      <c r="NH25" s="23"/>
      <c r="NI25" s="23"/>
      <c r="NJ25" s="23"/>
      <c r="NK25" s="23"/>
      <c r="NL25" s="23"/>
      <c r="NM25" s="23"/>
      <c r="NN25" s="23"/>
      <c r="NO25" s="23"/>
      <c r="NP25" s="23"/>
      <c r="NQ25" s="23"/>
      <c r="NR25" s="23"/>
      <c r="NS25" s="23"/>
      <c r="NT25" s="23"/>
      <c r="NU25" s="23"/>
      <c r="NV25" s="23"/>
      <c r="NW25" s="23"/>
      <c r="NX25" s="23"/>
      <c r="NY25" s="23"/>
      <c r="NZ25" s="23"/>
      <c r="OA25" s="23"/>
      <c r="OB25" s="23"/>
      <c r="OC25" s="23"/>
      <c r="OD25" s="23"/>
      <c r="OE25" s="23"/>
      <c r="OF25" s="23"/>
      <c r="OG25" s="23"/>
      <c r="OH25" s="23"/>
      <c r="OI25" s="23"/>
      <c r="OJ25" s="23"/>
      <c r="OK25" s="23"/>
      <c r="OL25" s="23"/>
      <c r="OM25" s="23"/>
      <c r="ON25" s="23"/>
      <c r="OO25" s="23"/>
      <c r="OP25" s="23"/>
      <c r="OQ25" s="23"/>
      <c r="OR25" s="23"/>
      <c r="OS25" s="23"/>
      <c r="OT25" s="23"/>
      <c r="OU25" s="23"/>
      <c r="OV25" s="23"/>
      <c r="OW25" s="23"/>
      <c r="OX25" s="23"/>
      <c r="OY25" s="23"/>
      <c r="OZ25" s="23"/>
      <c r="PA25" s="23"/>
      <c r="PB25" s="23"/>
      <c r="PC25" s="23"/>
      <c r="PD25" s="23"/>
      <c r="PE25" s="23"/>
      <c r="PF25" s="23"/>
      <c r="PG25" s="23"/>
      <c r="PH25" s="23"/>
      <c r="PI25" s="23"/>
      <c r="PJ25" s="23"/>
      <c r="PK25" s="23"/>
      <c r="PL25" s="23"/>
      <c r="PM25" s="23"/>
      <c r="PN25" s="23"/>
      <c r="PO25" s="23"/>
      <c r="PP25" s="23"/>
      <c r="PQ25" s="23"/>
      <c r="PR25" s="23"/>
      <c r="PS25" s="23"/>
      <c r="PT25" s="23"/>
      <c r="PU25" s="23"/>
      <c r="PV25" s="23"/>
      <c r="PW25" s="23"/>
      <c r="PX25" s="23"/>
      <c r="PY25" s="23"/>
      <c r="PZ25" s="23"/>
      <c r="QA25" s="23"/>
      <c r="QB25" s="23"/>
      <c r="QC25" s="23"/>
      <c r="QD25" s="23"/>
      <c r="QE25" s="23"/>
      <c r="QF25" s="23"/>
      <c r="QG25" s="23"/>
      <c r="QH25" s="23"/>
      <c r="QI25" s="23"/>
      <c r="QJ25" s="23"/>
      <c r="QK25" s="23"/>
      <c r="QL25" s="23"/>
      <c r="QM25" s="23"/>
      <c r="QN25" s="23"/>
      <c r="QO25" s="23"/>
      <c r="QP25" s="23"/>
      <c r="QQ25" s="23"/>
      <c r="QR25" s="23"/>
      <c r="QS25" s="23"/>
      <c r="QT25" s="23"/>
      <c r="QU25" s="23"/>
      <c r="QV25" s="23"/>
      <c r="QW25" s="23"/>
      <c r="QX25" s="23"/>
      <c r="QY25" s="23"/>
      <c r="QZ25" s="23"/>
      <c r="RA25" s="23"/>
      <c r="RB25" s="23"/>
      <c r="RC25" s="23"/>
      <c r="RD25" s="23"/>
      <c r="RE25" s="23"/>
      <c r="RF25" s="23"/>
      <c r="RG25" s="23"/>
      <c r="RH25" s="23"/>
      <c r="RI25" s="23"/>
      <c r="RJ25" s="23"/>
      <c r="RK25" s="23"/>
      <c r="RL25" s="23"/>
      <c r="RM25" s="23"/>
      <c r="RN25" s="23"/>
      <c r="RO25" s="23"/>
      <c r="RP25" s="23"/>
      <c r="RQ25" s="23"/>
      <c r="RR25" s="23"/>
      <c r="RS25" s="23"/>
      <c r="RT25" s="23"/>
      <c r="RU25" s="23"/>
      <c r="RV25" s="23"/>
      <c r="RW25" s="23"/>
      <c r="RX25" s="23"/>
      <c r="RY25" s="23"/>
      <c r="RZ25" s="23"/>
      <c r="SA25" s="23"/>
      <c r="SB25" s="23"/>
      <c r="SC25" s="23"/>
      <c r="SD25" s="23"/>
      <c r="SE25" s="23"/>
      <c r="SF25" s="23"/>
      <c r="SG25" s="23"/>
      <c r="SH25" s="23"/>
      <c r="SI25" s="23"/>
      <c r="SJ25" s="23"/>
      <c r="SK25" s="23"/>
      <c r="SL25" s="23"/>
      <c r="SM25" s="23"/>
      <c r="SN25" s="23"/>
      <c r="SO25" s="23"/>
      <c r="SP25" s="23"/>
      <c r="SQ25" s="23"/>
      <c r="SR25" s="23"/>
      <c r="SS25" s="23"/>
      <c r="ST25" s="23"/>
      <c r="SU25" s="23"/>
      <c r="SV25" s="23"/>
      <c r="SW25" s="23"/>
      <c r="SX25" s="23"/>
      <c r="SY25" s="23"/>
      <c r="SZ25" s="23"/>
      <c r="TA25" s="23"/>
      <c r="TB25" s="23"/>
      <c r="TC25" s="23"/>
      <c r="TD25" s="23"/>
      <c r="TE25" s="23"/>
      <c r="TF25" s="23"/>
      <c r="TG25" s="23"/>
      <c r="TH25" s="23"/>
      <c r="TI25" s="23"/>
      <c r="TJ25" s="23"/>
      <c r="TK25" s="23"/>
      <c r="TL25" s="23"/>
      <c r="TM25" s="23"/>
      <c r="TN25" s="23"/>
      <c r="TO25" s="23"/>
      <c r="TP25" s="23"/>
      <c r="TQ25" s="23"/>
      <c r="TR25" s="23"/>
      <c r="TS25" s="23"/>
      <c r="TT25" s="23"/>
      <c r="TU25" s="23"/>
      <c r="TV25" s="23"/>
      <c r="TW25" s="23"/>
      <c r="TX25" s="23"/>
      <c r="TY25" s="23"/>
      <c r="TZ25" s="23"/>
      <c r="UA25" s="23"/>
      <c r="UB25" s="23"/>
      <c r="UC25" s="23"/>
      <c r="UD25" s="23"/>
      <c r="UE25" s="23"/>
      <c r="UF25" s="23"/>
      <c r="UG25" s="23"/>
      <c r="UH25" s="23"/>
      <c r="UI25" s="23"/>
      <c r="UJ25" s="23"/>
      <c r="UK25" s="23"/>
      <c r="UL25" s="23"/>
      <c r="UM25" s="23"/>
      <c r="UN25" s="23"/>
      <c r="UO25" s="23"/>
      <c r="UP25" s="23"/>
      <c r="UQ25" s="23"/>
      <c r="UR25" s="23"/>
      <c r="US25" s="23"/>
      <c r="UT25" s="23"/>
      <c r="UU25" s="23"/>
      <c r="UV25" s="23"/>
      <c r="UW25" s="23"/>
      <c r="UX25" s="23"/>
      <c r="UY25" s="23"/>
      <c r="UZ25" s="23"/>
      <c r="VA25" s="23"/>
      <c r="VB25" s="23"/>
      <c r="VC25" s="23"/>
      <c r="VD25" s="23"/>
      <c r="VE25" s="23"/>
      <c r="VF25" s="23"/>
      <c r="VG25" s="23"/>
      <c r="VH25" s="23"/>
      <c r="VI25" s="23"/>
      <c r="VJ25" s="23"/>
      <c r="VK25" s="23"/>
      <c r="VL25" s="23"/>
      <c r="VM25" s="23"/>
      <c r="VN25" s="23"/>
      <c r="VO25" s="23"/>
      <c r="VP25" s="23"/>
      <c r="VQ25" s="23"/>
      <c r="VR25" s="23"/>
      <c r="VS25" s="23"/>
      <c r="VT25" s="23"/>
      <c r="VU25" s="23"/>
      <c r="VV25" s="23"/>
      <c r="VW25" s="23"/>
      <c r="VX25" s="23"/>
      <c r="VY25" s="23"/>
      <c r="VZ25" s="23"/>
      <c r="WA25" s="23"/>
      <c r="WB25" s="23"/>
      <c r="WC25" s="23"/>
      <c r="WD25" s="23"/>
      <c r="WE25" s="23"/>
      <c r="WF25" s="23"/>
      <c r="WG25" s="23"/>
      <c r="WH25" s="23"/>
      <c r="WI25" s="23"/>
      <c r="WJ25" s="23"/>
      <c r="WK25" s="23"/>
      <c r="WL25" s="23"/>
      <c r="WM25" s="23"/>
      <c r="WN25" s="23"/>
      <c r="WO25" s="23"/>
      <c r="WP25" s="23"/>
      <c r="WQ25" s="23"/>
      <c r="WR25" s="23"/>
      <c r="WS25" s="23"/>
      <c r="WT25" s="23"/>
      <c r="WU25" s="23"/>
      <c r="WV25" s="23"/>
      <c r="WW25" s="23"/>
      <c r="WX25" s="23"/>
      <c r="WY25" s="23"/>
      <c r="WZ25" s="23"/>
      <c r="XA25" s="23"/>
      <c r="XB25" s="23"/>
      <c r="XC25" s="23"/>
      <c r="XD25" s="23"/>
      <c r="XE25" s="23"/>
      <c r="XF25" s="23"/>
      <c r="XG25" s="23"/>
      <c r="XH25" s="23"/>
      <c r="XI25" s="23"/>
      <c r="XJ25" s="23"/>
      <c r="XK25" s="23"/>
      <c r="XL25" s="23"/>
      <c r="XM25" s="23"/>
      <c r="XN25" s="23"/>
      <c r="XO25" s="23"/>
      <c r="XP25" s="23"/>
      <c r="XQ25" s="23"/>
      <c r="XR25" s="23"/>
      <c r="XS25" s="23"/>
      <c r="XT25" s="23"/>
      <c r="XU25" s="23"/>
      <c r="XV25" s="23"/>
      <c r="XW25" s="23"/>
      <c r="XX25" s="23"/>
      <c r="XY25" s="23"/>
      <c r="XZ25" s="23"/>
      <c r="YA25" s="23"/>
      <c r="YB25" s="23"/>
      <c r="YC25" s="23"/>
      <c r="YD25" s="23"/>
      <c r="YE25" s="23"/>
      <c r="YF25" s="23"/>
      <c r="YG25" s="23"/>
      <c r="YH25" s="23"/>
      <c r="YI25" s="23"/>
      <c r="YJ25" s="23"/>
      <c r="YK25" s="23"/>
      <c r="YL25" s="23"/>
      <c r="YM25" s="23"/>
      <c r="YN25" s="23"/>
      <c r="YO25" s="23"/>
      <c r="YP25" s="23"/>
      <c r="YQ25" s="23"/>
      <c r="YR25" s="23"/>
      <c r="YS25" s="23"/>
      <c r="YT25" s="23"/>
      <c r="YU25" s="23"/>
      <c r="YV25" s="23"/>
      <c r="YW25" s="23"/>
      <c r="YX25" s="23"/>
      <c r="YY25" s="23"/>
      <c r="YZ25" s="23"/>
      <c r="ZA25" s="23"/>
      <c r="ZB25" s="23"/>
      <c r="ZC25" s="23"/>
      <c r="ZD25" s="23"/>
      <c r="ZE25" s="52"/>
    </row>
    <row r="26" spans="1:682" s="50" customFormat="1" x14ac:dyDescent="0.25">
      <c r="A26" s="108">
        <v>3000</v>
      </c>
      <c r="B26" s="109" t="s">
        <v>31</v>
      </c>
      <c r="C26" s="103" t="s">
        <v>66</v>
      </c>
      <c r="D26" s="5" t="s">
        <v>65</v>
      </c>
      <c r="E26" s="103" t="s">
        <v>49</v>
      </c>
      <c r="F26" s="5" t="s">
        <v>48</v>
      </c>
      <c r="G26" s="56">
        <v>2</v>
      </c>
      <c r="H26" s="46" t="s">
        <v>42</v>
      </c>
      <c r="I26" s="47"/>
      <c r="J26" s="48">
        <f ca="1">OFFSET(MJ_Initialisation!D48,0,2)</f>
        <v>310</v>
      </c>
      <c r="K26" s="48">
        <f ca="1">OFFSET(MJ_Initialisation!E48,0,2)</f>
        <v>210</v>
      </c>
      <c r="L26" s="48">
        <f ca="1">OFFSET(MJ_Initialisation!F48,0,2)</f>
        <v>300</v>
      </c>
      <c r="M26" s="48">
        <f ca="1">OFFSET(MJ_Initialisation!G48,0,2)</f>
        <v>330</v>
      </c>
      <c r="N26" s="48">
        <f ca="1">OFFSET(MJ_Initialisation!H48,0,2)</f>
        <v>380</v>
      </c>
      <c r="O26" s="48">
        <f ca="1">OFFSET(MJ_Initialisation!I48,0,2)</f>
        <v>270</v>
      </c>
      <c r="P26" s="48">
        <f ca="1">OFFSET(MJ_Initialisation!J48,0,2)</f>
        <v>170</v>
      </c>
      <c r="Q26" s="48">
        <f ca="1">OFFSET(MJ_Initialisation!K48,0,2)</f>
        <v>120</v>
      </c>
      <c r="R26" s="48">
        <f ca="1">OFFSET(MJ_Initialisation!L48,0,2)</f>
        <v>100</v>
      </c>
      <c r="S26" s="48">
        <f ca="1">OFFSET(MJ_Initialisation!M48,0,2)</f>
        <v>220</v>
      </c>
      <c r="T26" s="48">
        <f ca="1">OFFSET(MJ_Initialisation!N48,0,2)</f>
        <v>300</v>
      </c>
      <c r="U26" s="48">
        <f ca="1">OFFSET(MJ_Initialisation!O48,0,2)</f>
        <v>290</v>
      </c>
      <c r="V26" s="48">
        <f ca="1">OFFSET(MJ_Initialisation!P48,0,2)</f>
        <v>260</v>
      </c>
      <c r="W26" s="48">
        <f ca="1">OFFSET(MJ_Initialisation!Q48,0,2)</f>
        <v>80</v>
      </c>
      <c r="X26" s="48">
        <f ca="1">OFFSET(MJ_Initialisation!R48,0,2)</f>
        <v>280</v>
      </c>
      <c r="Y26" s="48">
        <f ca="1">OFFSET(MJ_Initialisation!S48,0,2)</f>
        <v>150</v>
      </c>
      <c r="Z26" s="48">
        <f ca="1">OFFSET(MJ_Initialisation!T48,0,2)</f>
        <v>360</v>
      </c>
      <c r="AA26" s="48">
        <f ca="1">OFFSET(MJ_Initialisation!U48,0,2)</f>
        <v>280</v>
      </c>
      <c r="AB26" s="48">
        <f ca="1">OFFSET(MJ_Initialisation!V48,0,2)</f>
        <v>280</v>
      </c>
      <c r="AC26" s="48">
        <f ca="1">OFFSET(MJ_Initialisation!W48,0,2)</f>
        <v>220</v>
      </c>
      <c r="AD26" s="48">
        <f ca="1">OFFSET(MJ_Initialisation!X48,0,2)</f>
        <v>20</v>
      </c>
      <c r="AE26" s="48">
        <f ca="1">OFFSET(MJ_Initialisation!Y48,0,2)</f>
        <v>30</v>
      </c>
      <c r="AF26" s="48">
        <f ca="1">OFFSET(MJ_Initialisation!Z48,0,2)</f>
        <v>0</v>
      </c>
      <c r="AG26" s="48">
        <f ca="1">OFFSET(MJ_Initialisation!AA48,0,2)</f>
        <v>0</v>
      </c>
      <c r="AH26" s="241"/>
      <c r="AI26" s="241"/>
      <c r="AJ26" s="241"/>
      <c r="AK26" s="241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  <c r="FX26" s="23"/>
      <c r="FY26" s="23"/>
      <c r="FZ26" s="23"/>
      <c r="GA26" s="23"/>
      <c r="GB26" s="23"/>
      <c r="GC26" s="23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3"/>
      <c r="JE26" s="23"/>
      <c r="JF26" s="23"/>
      <c r="JG26" s="23"/>
      <c r="JH26" s="23"/>
      <c r="JI26" s="23"/>
      <c r="JJ26" s="23"/>
      <c r="JK26" s="23"/>
      <c r="JL26" s="23"/>
      <c r="JM26" s="23"/>
      <c r="JN26" s="23"/>
      <c r="JO26" s="23"/>
      <c r="JP26" s="23"/>
      <c r="JQ26" s="23"/>
      <c r="JR26" s="23"/>
      <c r="JS26" s="23"/>
      <c r="JT26" s="23"/>
      <c r="JU26" s="23"/>
      <c r="JV26" s="23"/>
      <c r="JW26" s="23"/>
      <c r="JX26" s="23"/>
      <c r="JY26" s="23"/>
      <c r="JZ26" s="23"/>
      <c r="KA26" s="23"/>
      <c r="KB26" s="23"/>
      <c r="KC26" s="23"/>
      <c r="KD26" s="23"/>
      <c r="KE26" s="23"/>
      <c r="KF26" s="23"/>
      <c r="KG26" s="23"/>
      <c r="KH26" s="23"/>
      <c r="KI26" s="23"/>
      <c r="KJ26" s="23"/>
      <c r="KK26" s="23"/>
      <c r="KL26" s="23"/>
      <c r="KM26" s="23"/>
      <c r="KN26" s="23"/>
      <c r="KO26" s="23"/>
      <c r="KP26" s="23"/>
      <c r="KQ26" s="23"/>
      <c r="KR26" s="23"/>
      <c r="KS26" s="23"/>
      <c r="KT26" s="23"/>
      <c r="KU26" s="23"/>
      <c r="KV26" s="23"/>
      <c r="KW26" s="23"/>
      <c r="KX26" s="23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3"/>
      <c r="LM26" s="23"/>
      <c r="LN26" s="23"/>
      <c r="LO26" s="23"/>
      <c r="LP26" s="23"/>
      <c r="LQ26" s="23"/>
      <c r="LR26" s="23"/>
      <c r="LS26" s="23"/>
      <c r="LT26" s="23"/>
      <c r="LU26" s="23"/>
      <c r="LV26" s="23"/>
      <c r="LW26" s="23"/>
      <c r="LX26" s="23"/>
      <c r="LY26" s="23"/>
      <c r="LZ26" s="23"/>
      <c r="MA26" s="23"/>
      <c r="MB26" s="23"/>
      <c r="MC26" s="23"/>
      <c r="MD26" s="23"/>
      <c r="ME26" s="23"/>
      <c r="MF26" s="23"/>
      <c r="MG26" s="23"/>
      <c r="MH26" s="23"/>
      <c r="MI26" s="23"/>
      <c r="MJ26" s="23"/>
      <c r="MK26" s="23"/>
      <c r="ML26" s="23"/>
      <c r="MM26" s="23"/>
      <c r="MN26" s="23"/>
      <c r="MO26" s="23"/>
      <c r="MP26" s="23"/>
      <c r="MQ26" s="23"/>
      <c r="MR26" s="23"/>
      <c r="MS26" s="23"/>
      <c r="MT26" s="23"/>
      <c r="MU26" s="23"/>
      <c r="MV26" s="23"/>
      <c r="MW26" s="23"/>
      <c r="MX26" s="23"/>
      <c r="MY26" s="23"/>
      <c r="MZ26" s="23"/>
      <c r="NA26" s="23"/>
      <c r="NB26" s="23"/>
      <c r="NC26" s="23"/>
      <c r="ND26" s="23"/>
      <c r="NE26" s="23"/>
      <c r="NF26" s="23"/>
      <c r="NG26" s="23"/>
      <c r="NH26" s="23"/>
      <c r="NI26" s="23"/>
      <c r="NJ26" s="23"/>
      <c r="NK26" s="23"/>
      <c r="NL26" s="23"/>
      <c r="NM26" s="23"/>
      <c r="NN26" s="23"/>
      <c r="NO26" s="23"/>
      <c r="NP26" s="23"/>
      <c r="NQ26" s="23"/>
      <c r="NR26" s="23"/>
      <c r="NS26" s="23"/>
      <c r="NT26" s="23"/>
      <c r="NU26" s="23"/>
      <c r="NV26" s="23"/>
      <c r="NW26" s="23"/>
      <c r="NX26" s="23"/>
      <c r="NY26" s="23"/>
      <c r="NZ26" s="23"/>
      <c r="OA26" s="23"/>
      <c r="OB26" s="23"/>
      <c r="OC26" s="23"/>
      <c r="OD26" s="23"/>
      <c r="OE26" s="23"/>
      <c r="OF26" s="23"/>
      <c r="OG26" s="23"/>
      <c r="OH26" s="23"/>
      <c r="OI26" s="23"/>
      <c r="OJ26" s="23"/>
      <c r="OK26" s="23"/>
      <c r="OL26" s="23"/>
      <c r="OM26" s="23"/>
      <c r="ON26" s="23"/>
      <c r="OO26" s="23"/>
      <c r="OP26" s="23"/>
      <c r="OQ26" s="23"/>
      <c r="OR26" s="23"/>
      <c r="OS26" s="23"/>
      <c r="OT26" s="23"/>
      <c r="OU26" s="23"/>
      <c r="OV26" s="23"/>
      <c r="OW26" s="23"/>
      <c r="OX26" s="23"/>
      <c r="OY26" s="23"/>
      <c r="OZ26" s="23"/>
      <c r="PA26" s="23"/>
      <c r="PB26" s="23"/>
      <c r="PC26" s="23"/>
      <c r="PD26" s="23"/>
      <c r="PE26" s="23"/>
      <c r="PF26" s="23"/>
      <c r="PG26" s="23"/>
      <c r="PH26" s="23"/>
      <c r="PI26" s="23"/>
      <c r="PJ26" s="23"/>
      <c r="PK26" s="23"/>
      <c r="PL26" s="23"/>
      <c r="PM26" s="23"/>
      <c r="PN26" s="23"/>
      <c r="PO26" s="23"/>
      <c r="PP26" s="23"/>
      <c r="PQ26" s="23"/>
      <c r="PR26" s="23"/>
      <c r="PS26" s="23"/>
      <c r="PT26" s="23"/>
      <c r="PU26" s="23"/>
      <c r="PV26" s="23"/>
      <c r="PW26" s="23"/>
      <c r="PX26" s="23"/>
      <c r="PY26" s="23"/>
      <c r="PZ26" s="23"/>
      <c r="QA26" s="23"/>
      <c r="QB26" s="23"/>
      <c r="QC26" s="23"/>
      <c r="QD26" s="23"/>
      <c r="QE26" s="23"/>
      <c r="QF26" s="23"/>
      <c r="QG26" s="23"/>
      <c r="QH26" s="23"/>
      <c r="QI26" s="23"/>
      <c r="QJ26" s="23"/>
      <c r="QK26" s="23"/>
      <c r="QL26" s="23"/>
      <c r="QM26" s="23"/>
      <c r="QN26" s="23"/>
      <c r="QO26" s="23"/>
      <c r="QP26" s="23"/>
      <c r="QQ26" s="23"/>
      <c r="QR26" s="23"/>
      <c r="QS26" s="23"/>
      <c r="QT26" s="23"/>
      <c r="QU26" s="23"/>
      <c r="QV26" s="23"/>
      <c r="QW26" s="23"/>
      <c r="QX26" s="23"/>
      <c r="QY26" s="23"/>
      <c r="QZ26" s="23"/>
      <c r="RA26" s="23"/>
      <c r="RB26" s="23"/>
      <c r="RC26" s="23"/>
      <c r="RD26" s="23"/>
      <c r="RE26" s="23"/>
      <c r="RF26" s="23"/>
      <c r="RG26" s="23"/>
      <c r="RH26" s="23"/>
      <c r="RI26" s="23"/>
      <c r="RJ26" s="23"/>
      <c r="RK26" s="23"/>
      <c r="RL26" s="23"/>
      <c r="RM26" s="23"/>
      <c r="RN26" s="23"/>
      <c r="RO26" s="23"/>
      <c r="RP26" s="23"/>
      <c r="RQ26" s="23"/>
      <c r="RR26" s="23"/>
      <c r="RS26" s="23"/>
      <c r="RT26" s="23"/>
      <c r="RU26" s="23"/>
      <c r="RV26" s="23"/>
      <c r="RW26" s="23"/>
      <c r="RX26" s="23"/>
      <c r="RY26" s="23"/>
      <c r="RZ26" s="23"/>
      <c r="SA26" s="23"/>
      <c r="SB26" s="23"/>
      <c r="SC26" s="23"/>
      <c r="SD26" s="23"/>
      <c r="SE26" s="23"/>
      <c r="SF26" s="23"/>
      <c r="SG26" s="23"/>
      <c r="SH26" s="23"/>
      <c r="SI26" s="23"/>
      <c r="SJ26" s="23"/>
      <c r="SK26" s="23"/>
      <c r="SL26" s="23"/>
      <c r="SM26" s="23"/>
      <c r="SN26" s="23"/>
      <c r="SO26" s="23"/>
      <c r="SP26" s="23"/>
      <c r="SQ26" s="23"/>
      <c r="SR26" s="23"/>
      <c r="SS26" s="23"/>
      <c r="ST26" s="23"/>
      <c r="SU26" s="23"/>
      <c r="SV26" s="23"/>
      <c r="SW26" s="23"/>
      <c r="SX26" s="23"/>
      <c r="SY26" s="23"/>
      <c r="SZ26" s="23"/>
      <c r="TA26" s="23"/>
      <c r="TB26" s="23"/>
      <c r="TC26" s="23"/>
      <c r="TD26" s="23"/>
      <c r="TE26" s="23"/>
      <c r="TF26" s="23"/>
      <c r="TG26" s="23"/>
      <c r="TH26" s="23"/>
      <c r="TI26" s="23"/>
      <c r="TJ26" s="23"/>
      <c r="TK26" s="23"/>
      <c r="TL26" s="23"/>
      <c r="TM26" s="23"/>
      <c r="TN26" s="23"/>
      <c r="TO26" s="23"/>
      <c r="TP26" s="23"/>
      <c r="TQ26" s="23"/>
      <c r="TR26" s="23"/>
      <c r="TS26" s="23"/>
      <c r="TT26" s="23"/>
      <c r="TU26" s="23"/>
      <c r="TV26" s="23"/>
      <c r="TW26" s="23"/>
      <c r="TX26" s="23"/>
      <c r="TY26" s="23"/>
      <c r="TZ26" s="23"/>
      <c r="UA26" s="23"/>
      <c r="UB26" s="23"/>
      <c r="UC26" s="23"/>
      <c r="UD26" s="23"/>
      <c r="UE26" s="23"/>
      <c r="UF26" s="23"/>
      <c r="UG26" s="23"/>
      <c r="UH26" s="23"/>
      <c r="UI26" s="23"/>
      <c r="UJ26" s="23"/>
      <c r="UK26" s="23"/>
      <c r="UL26" s="23"/>
      <c r="UM26" s="23"/>
      <c r="UN26" s="23"/>
      <c r="UO26" s="23"/>
      <c r="UP26" s="23"/>
      <c r="UQ26" s="23"/>
      <c r="UR26" s="23"/>
      <c r="US26" s="23"/>
      <c r="UT26" s="23"/>
      <c r="UU26" s="23"/>
      <c r="UV26" s="23"/>
      <c r="UW26" s="23"/>
      <c r="UX26" s="23"/>
      <c r="UY26" s="23"/>
      <c r="UZ26" s="23"/>
      <c r="VA26" s="23"/>
      <c r="VB26" s="23"/>
      <c r="VC26" s="23"/>
      <c r="VD26" s="23"/>
      <c r="VE26" s="23"/>
      <c r="VF26" s="23"/>
      <c r="VG26" s="23"/>
      <c r="VH26" s="23"/>
      <c r="VI26" s="23"/>
      <c r="VJ26" s="23"/>
      <c r="VK26" s="23"/>
      <c r="VL26" s="23"/>
      <c r="VM26" s="23"/>
      <c r="VN26" s="23"/>
      <c r="VO26" s="23"/>
      <c r="VP26" s="23"/>
      <c r="VQ26" s="23"/>
      <c r="VR26" s="23"/>
      <c r="VS26" s="23"/>
      <c r="VT26" s="23"/>
      <c r="VU26" s="23"/>
      <c r="VV26" s="23"/>
      <c r="VW26" s="23"/>
      <c r="VX26" s="23"/>
      <c r="VY26" s="23"/>
      <c r="VZ26" s="23"/>
      <c r="WA26" s="23"/>
      <c r="WB26" s="23"/>
      <c r="WC26" s="23"/>
      <c r="WD26" s="23"/>
      <c r="WE26" s="23"/>
      <c r="WF26" s="23"/>
      <c r="WG26" s="23"/>
      <c r="WH26" s="23"/>
      <c r="WI26" s="23"/>
      <c r="WJ26" s="23"/>
      <c r="WK26" s="23"/>
      <c r="WL26" s="23"/>
      <c r="WM26" s="23"/>
      <c r="WN26" s="23"/>
      <c r="WO26" s="23"/>
      <c r="WP26" s="23"/>
      <c r="WQ26" s="23"/>
      <c r="WR26" s="23"/>
      <c r="WS26" s="23"/>
      <c r="WT26" s="23"/>
      <c r="WU26" s="23"/>
      <c r="WV26" s="23"/>
      <c r="WW26" s="23"/>
      <c r="WX26" s="23"/>
      <c r="WY26" s="23"/>
      <c r="WZ26" s="23"/>
      <c r="XA26" s="23"/>
      <c r="XB26" s="23"/>
      <c r="XC26" s="23"/>
      <c r="XD26" s="23"/>
      <c r="XE26" s="23"/>
      <c r="XF26" s="23"/>
      <c r="XG26" s="23"/>
      <c r="XH26" s="23"/>
      <c r="XI26" s="23"/>
      <c r="XJ26" s="23"/>
      <c r="XK26" s="23"/>
      <c r="XL26" s="23"/>
      <c r="XM26" s="23"/>
      <c r="XN26" s="23"/>
      <c r="XO26" s="23"/>
      <c r="XP26" s="23"/>
      <c r="XQ26" s="23"/>
      <c r="XR26" s="23"/>
      <c r="XS26" s="23"/>
      <c r="XT26" s="23"/>
      <c r="XU26" s="23"/>
      <c r="XV26" s="23"/>
      <c r="XW26" s="23"/>
      <c r="XX26" s="23"/>
      <c r="XY26" s="23"/>
      <c r="XZ26" s="23"/>
      <c r="YA26" s="23"/>
      <c r="YB26" s="23"/>
      <c r="YC26" s="23"/>
      <c r="YD26" s="23"/>
      <c r="YE26" s="23"/>
      <c r="YF26" s="23"/>
      <c r="YG26" s="23"/>
      <c r="YH26" s="23"/>
      <c r="YI26" s="23"/>
      <c r="YJ26" s="23"/>
      <c r="YK26" s="23"/>
      <c r="YL26" s="23"/>
      <c r="YM26" s="23"/>
      <c r="YN26" s="23"/>
      <c r="YO26" s="23"/>
      <c r="YP26" s="23"/>
      <c r="YQ26" s="23"/>
      <c r="YR26" s="23"/>
      <c r="YS26" s="23"/>
      <c r="YT26" s="23"/>
      <c r="YU26" s="23"/>
      <c r="YV26" s="23"/>
      <c r="YW26" s="23"/>
      <c r="YX26" s="23"/>
      <c r="YY26" s="23"/>
      <c r="YZ26" s="23"/>
      <c r="ZA26" s="23"/>
      <c r="ZB26" s="23"/>
      <c r="ZC26" s="23"/>
      <c r="ZD26" s="23"/>
      <c r="ZE26" s="53"/>
    </row>
    <row r="27" spans="1:682" s="5" customFormat="1" ht="15" customHeight="1" x14ac:dyDescent="0.25">
      <c r="A27" s="108">
        <v>3000</v>
      </c>
      <c r="B27" s="109" t="s">
        <v>31</v>
      </c>
      <c r="C27" s="103" t="s">
        <v>66</v>
      </c>
      <c r="D27" s="5" t="s">
        <v>65</v>
      </c>
      <c r="E27" s="103" t="s">
        <v>49</v>
      </c>
      <c r="F27" s="5" t="s">
        <v>48</v>
      </c>
      <c r="G27" s="56">
        <v>2</v>
      </c>
      <c r="H27" s="46" t="s">
        <v>43</v>
      </c>
      <c r="I27" s="47"/>
      <c r="J27" s="48">
        <f ca="1">OFFSET(MJ_Initialisation!D49,0,2)</f>
        <v>0</v>
      </c>
      <c r="K27" s="48">
        <f ca="1">OFFSET(MJ_Initialisation!E49,0,2)</f>
        <v>0</v>
      </c>
      <c r="L27" s="48">
        <f ca="1">OFFSET(MJ_Initialisation!F49,0,2)</f>
        <v>0</v>
      </c>
      <c r="M27" s="48">
        <f ca="1">OFFSET(MJ_Initialisation!G49,0,2)</f>
        <v>0</v>
      </c>
      <c r="N27" s="48">
        <f ca="1">OFFSET(MJ_Initialisation!H49,0,2)</f>
        <v>0</v>
      </c>
      <c r="O27" s="48">
        <f ca="1">OFFSET(MJ_Initialisation!I49,0,2)</f>
        <v>0</v>
      </c>
      <c r="P27" s="48">
        <f ca="1">OFFSET(MJ_Initialisation!J49,0,2)</f>
        <v>0</v>
      </c>
      <c r="Q27" s="48">
        <f ca="1">OFFSET(MJ_Initialisation!K49,0,2)</f>
        <v>0</v>
      </c>
      <c r="R27" s="48">
        <f ca="1">OFFSET(MJ_Initialisation!L49,0,2)</f>
        <v>0</v>
      </c>
      <c r="S27" s="48">
        <f ca="1">OFFSET(MJ_Initialisation!M49,0,2)</f>
        <v>0</v>
      </c>
      <c r="T27" s="48">
        <f ca="1">OFFSET(MJ_Initialisation!N49,0,2)</f>
        <v>0</v>
      </c>
      <c r="U27" s="48">
        <f ca="1">OFFSET(MJ_Initialisation!O49,0,2)</f>
        <v>0</v>
      </c>
      <c r="V27" s="48">
        <f ca="1">OFFSET(MJ_Initialisation!P49,0,2)</f>
        <v>0</v>
      </c>
      <c r="W27" s="48">
        <f ca="1">OFFSET(MJ_Initialisation!Q49,0,2)</f>
        <v>0</v>
      </c>
      <c r="X27" s="48">
        <f ca="1">OFFSET(MJ_Initialisation!R49,0,2)</f>
        <v>0</v>
      </c>
      <c r="Y27" s="48">
        <f ca="1">OFFSET(MJ_Initialisation!S49,0,2)</f>
        <v>0</v>
      </c>
      <c r="Z27" s="48">
        <f ca="1">OFFSET(MJ_Initialisation!T49,0,2)</f>
        <v>0</v>
      </c>
      <c r="AA27" s="48">
        <f ca="1">OFFSET(MJ_Initialisation!U49,0,2)</f>
        <v>0</v>
      </c>
      <c r="AB27" s="48">
        <f ca="1">OFFSET(MJ_Initialisation!V49,0,2)</f>
        <v>0</v>
      </c>
      <c r="AC27" s="48">
        <f ca="1">OFFSET(MJ_Initialisation!W49,0,2)</f>
        <v>0</v>
      </c>
      <c r="AD27" s="48">
        <f ca="1">OFFSET(MJ_Initialisation!X49,0,2)</f>
        <v>0</v>
      </c>
      <c r="AE27" s="48">
        <f ca="1">OFFSET(MJ_Initialisation!Y49,0,2)</f>
        <v>0</v>
      </c>
      <c r="AF27" s="48">
        <f ca="1">OFFSET(MJ_Initialisation!Z49,0,2)</f>
        <v>0</v>
      </c>
      <c r="AG27" s="48">
        <f ca="1">OFFSET(MJ_Initialisation!AA49,0,2)</f>
        <v>0</v>
      </c>
      <c r="AH27" s="241"/>
      <c r="AI27" s="241"/>
      <c r="AJ27" s="241"/>
      <c r="AK27" s="241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  <c r="FX27" s="23"/>
      <c r="FY27" s="23"/>
      <c r="FZ27" s="23"/>
      <c r="GA27" s="23"/>
      <c r="GB27" s="23"/>
      <c r="GC27" s="23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3"/>
      <c r="JE27" s="23"/>
      <c r="JF27" s="23"/>
      <c r="JG27" s="23"/>
      <c r="JH27" s="23"/>
      <c r="JI27" s="23"/>
      <c r="JJ27" s="23"/>
      <c r="JK27" s="23"/>
      <c r="JL27" s="23"/>
      <c r="JM27" s="23"/>
      <c r="JN27" s="23"/>
      <c r="JO27" s="23"/>
      <c r="JP27" s="23"/>
      <c r="JQ27" s="23"/>
      <c r="JR27" s="23"/>
      <c r="JS27" s="23"/>
      <c r="JT27" s="23"/>
      <c r="JU27" s="23"/>
      <c r="JV27" s="23"/>
      <c r="JW27" s="23"/>
      <c r="JX27" s="23"/>
      <c r="JY27" s="23"/>
      <c r="JZ27" s="23"/>
      <c r="KA27" s="23"/>
      <c r="KB27" s="23"/>
      <c r="KC27" s="23"/>
      <c r="KD27" s="23"/>
      <c r="KE27" s="23"/>
      <c r="KF27" s="23"/>
      <c r="KG27" s="23"/>
      <c r="KH27" s="23"/>
      <c r="KI27" s="23"/>
      <c r="KJ27" s="23"/>
      <c r="KK27" s="23"/>
      <c r="KL27" s="23"/>
      <c r="KM27" s="23"/>
      <c r="KN27" s="23"/>
      <c r="KO27" s="23"/>
      <c r="KP27" s="23"/>
      <c r="KQ27" s="23"/>
      <c r="KR27" s="23"/>
      <c r="KS27" s="23"/>
      <c r="KT27" s="23"/>
      <c r="KU27" s="23"/>
      <c r="KV27" s="23"/>
      <c r="KW27" s="23"/>
      <c r="KX27" s="23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3"/>
      <c r="LM27" s="23"/>
      <c r="LN27" s="23"/>
      <c r="LO27" s="23"/>
      <c r="LP27" s="23"/>
      <c r="LQ27" s="23"/>
      <c r="LR27" s="23"/>
      <c r="LS27" s="23"/>
      <c r="LT27" s="23"/>
      <c r="LU27" s="23"/>
      <c r="LV27" s="23"/>
      <c r="LW27" s="23"/>
      <c r="LX27" s="23"/>
      <c r="LY27" s="23"/>
      <c r="LZ27" s="23"/>
      <c r="MA27" s="23"/>
      <c r="MB27" s="23"/>
      <c r="MC27" s="23"/>
      <c r="MD27" s="23"/>
      <c r="ME27" s="23"/>
      <c r="MF27" s="23"/>
      <c r="MG27" s="23"/>
      <c r="MH27" s="23"/>
      <c r="MI27" s="23"/>
      <c r="MJ27" s="23"/>
      <c r="MK27" s="23"/>
      <c r="ML27" s="23"/>
      <c r="MM27" s="23"/>
      <c r="MN27" s="23"/>
      <c r="MO27" s="23"/>
      <c r="MP27" s="23"/>
      <c r="MQ27" s="23"/>
      <c r="MR27" s="23"/>
      <c r="MS27" s="23"/>
      <c r="MT27" s="23"/>
      <c r="MU27" s="23"/>
      <c r="MV27" s="23"/>
      <c r="MW27" s="23"/>
      <c r="MX27" s="23"/>
      <c r="MY27" s="23"/>
      <c r="MZ27" s="23"/>
      <c r="NA27" s="23"/>
      <c r="NB27" s="23"/>
      <c r="NC27" s="23"/>
      <c r="ND27" s="23"/>
      <c r="NE27" s="23"/>
      <c r="NF27" s="23"/>
      <c r="NG27" s="23"/>
      <c r="NH27" s="23"/>
      <c r="NI27" s="23"/>
      <c r="NJ27" s="23"/>
      <c r="NK27" s="23"/>
      <c r="NL27" s="23"/>
      <c r="NM27" s="23"/>
      <c r="NN27" s="23"/>
      <c r="NO27" s="23"/>
      <c r="NP27" s="23"/>
      <c r="NQ27" s="23"/>
      <c r="NR27" s="23"/>
      <c r="NS27" s="23"/>
      <c r="NT27" s="23"/>
      <c r="NU27" s="23"/>
      <c r="NV27" s="23"/>
      <c r="NW27" s="23"/>
      <c r="NX27" s="23"/>
      <c r="NY27" s="23"/>
      <c r="NZ27" s="23"/>
      <c r="OA27" s="23"/>
      <c r="OB27" s="23"/>
      <c r="OC27" s="23"/>
      <c r="OD27" s="23"/>
      <c r="OE27" s="23"/>
      <c r="OF27" s="23"/>
      <c r="OG27" s="23"/>
      <c r="OH27" s="23"/>
      <c r="OI27" s="23"/>
      <c r="OJ27" s="23"/>
      <c r="OK27" s="23"/>
      <c r="OL27" s="23"/>
      <c r="OM27" s="23"/>
      <c r="ON27" s="23"/>
      <c r="OO27" s="23"/>
      <c r="OP27" s="23"/>
      <c r="OQ27" s="23"/>
      <c r="OR27" s="23"/>
      <c r="OS27" s="23"/>
      <c r="OT27" s="23"/>
      <c r="OU27" s="23"/>
      <c r="OV27" s="23"/>
      <c r="OW27" s="23"/>
      <c r="OX27" s="23"/>
      <c r="OY27" s="23"/>
      <c r="OZ27" s="23"/>
      <c r="PA27" s="23"/>
      <c r="PB27" s="23"/>
      <c r="PC27" s="23"/>
      <c r="PD27" s="23"/>
      <c r="PE27" s="23"/>
      <c r="PF27" s="23"/>
      <c r="PG27" s="23"/>
      <c r="PH27" s="23"/>
      <c r="PI27" s="23"/>
      <c r="PJ27" s="23"/>
      <c r="PK27" s="23"/>
      <c r="PL27" s="23"/>
      <c r="PM27" s="23"/>
      <c r="PN27" s="23"/>
      <c r="PO27" s="23"/>
      <c r="PP27" s="23"/>
      <c r="PQ27" s="23"/>
      <c r="PR27" s="23"/>
      <c r="PS27" s="23"/>
      <c r="PT27" s="23"/>
      <c r="PU27" s="23"/>
      <c r="PV27" s="23"/>
      <c r="PW27" s="23"/>
      <c r="PX27" s="23"/>
      <c r="PY27" s="23"/>
      <c r="PZ27" s="23"/>
      <c r="QA27" s="23"/>
      <c r="QB27" s="23"/>
      <c r="QC27" s="23"/>
      <c r="QD27" s="23"/>
      <c r="QE27" s="23"/>
      <c r="QF27" s="23"/>
      <c r="QG27" s="23"/>
      <c r="QH27" s="23"/>
      <c r="QI27" s="23"/>
      <c r="QJ27" s="23"/>
      <c r="QK27" s="23"/>
      <c r="QL27" s="23"/>
      <c r="QM27" s="23"/>
      <c r="QN27" s="23"/>
      <c r="QO27" s="23"/>
      <c r="QP27" s="23"/>
      <c r="QQ27" s="23"/>
      <c r="QR27" s="23"/>
      <c r="QS27" s="23"/>
      <c r="QT27" s="23"/>
      <c r="QU27" s="23"/>
      <c r="QV27" s="23"/>
      <c r="QW27" s="23"/>
      <c r="QX27" s="23"/>
      <c r="QY27" s="23"/>
      <c r="QZ27" s="23"/>
      <c r="RA27" s="23"/>
      <c r="RB27" s="23"/>
      <c r="RC27" s="23"/>
      <c r="RD27" s="23"/>
      <c r="RE27" s="23"/>
      <c r="RF27" s="23"/>
      <c r="RG27" s="23"/>
      <c r="RH27" s="23"/>
      <c r="RI27" s="23"/>
      <c r="RJ27" s="23"/>
      <c r="RK27" s="23"/>
      <c r="RL27" s="23"/>
      <c r="RM27" s="23"/>
      <c r="RN27" s="23"/>
      <c r="RO27" s="23"/>
      <c r="RP27" s="23"/>
      <c r="RQ27" s="23"/>
      <c r="RR27" s="23"/>
      <c r="RS27" s="23"/>
      <c r="RT27" s="23"/>
      <c r="RU27" s="23"/>
      <c r="RV27" s="23"/>
      <c r="RW27" s="23"/>
      <c r="RX27" s="23"/>
      <c r="RY27" s="23"/>
      <c r="RZ27" s="23"/>
      <c r="SA27" s="23"/>
      <c r="SB27" s="23"/>
      <c r="SC27" s="23"/>
      <c r="SD27" s="23"/>
      <c r="SE27" s="23"/>
      <c r="SF27" s="23"/>
      <c r="SG27" s="23"/>
      <c r="SH27" s="23"/>
      <c r="SI27" s="23"/>
      <c r="SJ27" s="23"/>
      <c r="SK27" s="23"/>
      <c r="SL27" s="23"/>
      <c r="SM27" s="23"/>
      <c r="SN27" s="23"/>
      <c r="SO27" s="23"/>
      <c r="SP27" s="23"/>
      <c r="SQ27" s="23"/>
      <c r="SR27" s="23"/>
      <c r="SS27" s="23"/>
      <c r="ST27" s="23"/>
      <c r="SU27" s="23"/>
      <c r="SV27" s="23"/>
      <c r="SW27" s="23"/>
      <c r="SX27" s="23"/>
      <c r="SY27" s="23"/>
      <c r="SZ27" s="23"/>
      <c r="TA27" s="23"/>
      <c r="TB27" s="23"/>
      <c r="TC27" s="23"/>
      <c r="TD27" s="23"/>
      <c r="TE27" s="23"/>
      <c r="TF27" s="23"/>
      <c r="TG27" s="23"/>
      <c r="TH27" s="23"/>
      <c r="TI27" s="23"/>
      <c r="TJ27" s="23"/>
      <c r="TK27" s="23"/>
      <c r="TL27" s="23"/>
      <c r="TM27" s="23"/>
      <c r="TN27" s="23"/>
      <c r="TO27" s="23"/>
      <c r="TP27" s="23"/>
      <c r="TQ27" s="23"/>
      <c r="TR27" s="23"/>
      <c r="TS27" s="23"/>
      <c r="TT27" s="23"/>
      <c r="TU27" s="23"/>
      <c r="TV27" s="23"/>
      <c r="TW27" s="23"/>
      <c r="TX27" s="23"/>
      <c r="TY27" s="23"/>
      <c r="TZ27" s="23"/>
      <c r="UA27" s="23"/>
      <c r="UB27" s="23"/>
      <c r="UC27" s="23"/>
      <c r="UD27" s="23"/>
      <c r="UE27" s="23"/>
      <c r="UF27" s="23"/>
      <c r="UG27" s="23"/>
      <c r="UH27" s="23"/>
      <c r="UI27" s="23"/>
      <c r="UJ27" s="23"/>
      <c r="UK27" s="23"/>
      <c r="UL27" s="23"/>
      <c r="UM27" s="23"/>
      <c r="UN27" s="23"/>
      <c r="UO27" s="23"/>
      <c r="UP27" s="23"/>
      <c r="UQ27" s="23"/>
      <c r="UR27" s="23"/>
      <c r="US27" s="23"/>
      <c r="UT27" s="23"/>
      <c r="UU27" s="23"/>
      <c r="UV27" s="23"/>
      <c r="UW27" s="23"/>
      <c r="UX27" s="23"/>
      <c r="UY27" s="23"/>
      <c r="UZ27" s="23"/>
      <c r="VA27" s="23"/>
      <c r="VB27" s="23"/>
      <c r="VC27" s="23"/>
      <c r="VD27" s="23"/>
      <c r="VE27" s="23"/>
      <c r="VF27" s="23"/>
      <c r="VG27" s="23"/>
      <c r="VH27" s="23"/>
      <c r="VI27" s="23"/>
      <c r="VJ27" s="23"/>
      <c r="VK27" s="23"/>
      <c r="VL27" s="23"/>
      <c r="VM27" s="23"/>
      <c r="VN27" s="23"/>
      <c r="VO27" s="23"/>
      <c r="VP27" s="23"/>
      <c r="VQ27" s="23"/>
      <c r="VR27" s="23"/>
      <c r="VS27" s="23"/>
      <c r="VT27" s="23"/>
      <c r="VU27" s="23"/>
      <c r="VV27" s="23"/>
      <c r="VW27" s="23"/>
      <c r="VX27" s="23"/>
      <c r="VY27" s="23"/>
      <c r="VZ27" s="23"/>
      <c r="WA27" s="23"/>
      <c r="WB27" s="23"/>
      <c r="WC27" s="23"/>
      <c r="WD27" s="23"/>
      <c r="WE27" s="23"/>
      <c r="WF27" s="23"/>
      <c r="WG27" s="23"/>
      <c r="WH27" s="23"/>
      <c r="WI27" s="23"/>
      <c r="WJ27" s="23"/>
      <c r="WK27" s="23"/>
      <c r="WL27" s="23"/>
      <c r="WM27" s="23"/>
      <c r="WN27" s="23"/>
      <c r="WO27" s="23"/>
      <c r="WP27" s="23"/>
      <c r="WQ27" s="23"/>
      <c r="WR27" s="23"/>
      <c r="WS27" s="23"/>
      <c r="WT27" s="23"/>
      <c r="WU27" s="23"/>
      <c r="WV27" s="23"/>
      <c r="WW27" s="23"/>
      <c r="WX27" s="23"/>
      <c r="WY27" s="23"/>
      <c r="WZ27" s="23"/>
      <c r="XA27" s="23"/>
      <c r="XB27" s="23"/>
      <c r="XC27" s="23"/>
      <c r="XD27" s="23"/>
      <c r="XE27" s="23"/>
      <c r="XF27" s="23"/>
      <c r="XG27" s="23"/>
      <c r="XH27" s="23"/>
      <c r="XI27" s="23"/>
      <c r="XJ27" s="23"/>
      <c r="XK27" s="23"/>
      <c r="XL27" s="23"/>
      <c r="XM27" s="23"/>
      <c r="XN27" s="23"/>
      <c r="XO27" s="23"/>
      <c r="XP27" s="23"/>
      <c r="XQ27" s="23"/>
      <c r="XR27" s="23"/>
      <c r="XS27" s="23"/>
      <c r="XT27" s="23"/>
      <c r="XU27" s="23"/>
      <c r="XV27" s="23"/>
      <c r="XW27" s="23"/>
      <c r="XX27" s="23"/>
      <c r="XY27" s="23"/>
      <c r="XZ27" s="23"/>
      <c r="YA27" s="23"/>
      <c r="YB27" s="23"/>
      <c r="YC27" s="23"/>
      <c r="YD27" s="23"/>
      <c r="YE27" s="23"/>
      <c r="YF27" s="23"/>
      <c r="YG27" s="23"/>
      <c r="YH27" s="23"/>
      <c r="YI27" s="23"/>
      <c r="YJ27" s="23"/>
      <c r="YK27" s="23"/>
      <c r="YL27" s="23"/>
      <c r="YM27" s="23"/>
      <c r="YN27" s="23"/>
      <c r="YO27" s="23"/>
      <c r="YP27" s="23"/>
      <c r="YQ27" s="23"/>
      <c r="YR27" s="23"/>
      <c r="YS27" s="23"/>
      <c r="YT27" s="23"/>
      <c r="YU27" s="23"/>
      <c r="YV27" s="23"/>
      <c r="YW27" s="23"/>
      <c r="YX27" s="23"/>
      <c r="YY27" s="23"/>
      <c r="YZ27" s="23"/>
      <c r="ZA27" s="23"/>
      <c r="ZB27" s="23"/>
      <c r="ZC27" s="23"/>
      <c r="ZD27" s="23"/>
      <c r="ZE27" s="33"/>
    </row>
    <row r="28" spans="1:682" s="50" customFormat="1" ht="15" customHeight="1" x14ac:dyDescent="0.25">
      <c r="A28" s="108">
        <v>3000</v>
      </c>
      <c r="B28" s="109" t="s">
        <v>31</v>
      </c>
      <c r="C28" s="103" t="s">
        <v>66</v>
      </c>
      <c r="D28" s="5" t="s">
        <v>65</v>
      </c>
      <c r="E28" s="103" t="s">
        <v>49</v>
      </c>
      <c r="F28" s="5" t="s">
        <v>48</v>
      </c>
      <c r="G28" s="56">
        <v>2</v>
      </c>
      <c r="H28" s="106" t="s">
        <v>47</v>
      </c>
      <c r="I28" s="47"/>
      <c r="J28" s="250">
        <f ca="1">J26</f>
        <v>310</v>
      </c>
      <c r="K28" s="250">
        <f ca="1">K26</f>
        <v>210</v>
      </c>
      <c r="L28" s="246">
        <f ca="1">ROUNDDOWN(IF(L$8&gt;L$5, MIN( ((L25+K30)/L$8)*L$5, MAX(L25+K30,L26)), MAX(L25+K30,L26)),0)</f>
        <v>300</v>
      </c>
      <c r="M28" s="246">
        <f ca="1">ROUNDDOWN(IF(M$8&gt;M$5, MIN( ((M25+L30)/M$8)*M$5, MAX(M25+L30,M26)), MAX(M25+L30,M26)),0)</f>
        <v>330</v>
      </c>
      <c r="N28" s="246">
        <f t="shared" ref="N28:AG28" ca="1" si="30">ROUNDDOWN(IF(N$8&gt;N$5, MIN( ((N25+M30)/N$8)*N$5, MAX(N25+M30,N26)), MAX(N25+M30,N26)),0)</f>
        <v>380</v>
      </c>
      <c r="O28" s="246">
        <f t="shared" ca="1" si="30"/>
        <v>270</v>
      </c>
      <c r="P28" s="246">
        <f t="shared" ca="1" si="30"/>
        <v>170</v>
      </c>
      <c r="Q28" s="246">
        <f t="shared" ca="1" si="30"/>
        <v>120</v>
      </c>
      <c r="R28" s="246">
        <f t="shared" ca="1" si="30"/>
        <v>100</v>
      </c>
      <c r="S28" s="246">
        <f t="shared" ca="1" si="30"/>
        <v>220</v>
      </c>
      <c r="T28" s="246">
        <f t="shared" ca="1" si="30"/>
        <v>300</v>
      </c>
      <c r="U28" s="246">
        <f t="shared" ca="1" si="30"/>
        <v>290</v>
      </c>
      <c r="V28" s="246">
        <f t="shared" ca="1" si="30"/>
        <v>260</v>
      </c>
      <c r="W28" s="246">
        <f t="shared" ca="1" si="30"/>
        <v>80</v>
      </c>
      <c r="X28" s="246">
        <f t="shared" ca="1" si="30"/>
        <v>280</v>
      </c>
      <c r="Y28" s="246">
        <f t="shared" ca="1" si="30"/>
        <v>150</v>
      </c>
      <c r="Z28" s="246">
        <f t="shared" ca="1" si="30"/>
        <v>360</v>
      </c>
      <c r="AA28" s="246">
        <f t="shared" ca="1" si="30"/>
        <v>280</v>
      </c>
      <c r="AB28" s="246">
        <f t="shared" ca="1" si="30"/>
        <v>280</v>
      </c>
      <c r="AC28" s="246">
        <f t="shared" ca="1" si="30"/>
        <v>220</v>
      </c>
      <c r="AD28" s="246">
        <f t="shared" ca="1" si="30"/>
        <v>20</v>
      </c>
      <c r="AE28" s="246">
        <f t="shared" ca="1" si="30"/>
        <v>30</v>
      </c>
      <c r="AF28" s="246">
        <f t="shared" ca="1" si="30"/>
        <v>0</v>
      </c>
      <c r="AG28" s="246">
        <f t="shared" ca="1" si="30"/>
        <v>0</v>
      </c>
      <c r="AH28" s="246"/>
      <c r="AI28" s="246"/>
      <c r="AJ28" s="246"/>
      <c r="AK28" s="246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53"/>
    </row>
    <row r="29" spans="1:682" s="50" customFormat="1" ht="15" customHeight="1" x14ac:dyDescent="0.25">
      <c r="A29" s="108">
        <v>3000</v>
      </c>
      <c r="B29" s="109" t="s">
        <v>31</v>
      </c>
      <c r="C29" s="103" t="s">
        <v>66</v>
      </c>
      <c r="D29" s="5" t="s">
        <v>65</v>
      </c>
      <c r="E29" s="103" t="s">
        <v>66</v>
      </c>
      <c r="F29" s="5" t="s">
        <v>65</v>
      </c>
      <c r="G29" s="56">
        <v>2</v>
      </c>
      <c r="H29" s="100" t="s">
        <v>46</v>
      </c>
      <c r="I29" s="131"/>
      <c r="J29" s="250">
        <f ca="1">J28</f>
        <v>310</v>
      </c>
      <c r="K29" s="250">
        <f t="shared" ref="K29" ca="1" si="31">K28</f>
        <v>210</v>
      </c>
      <c r="L29" s="250">
        <f t="shared" ref="L29" ca="1" si="32">L28</f>
        <v>300</v>
      </c>
      <c r="M29" s="250">
        <f t="shared" ref="M29" ca="1" si="33">M28</f>
        <v>330</v>
      </c>
      <c r="N29" s="250">
        <f t="shared" ref="N29" ca="1" si="34">N28</f>
        <v>380</v>
      </c>
      <c r="O29" s="250">
        <f t="shared" ref="O29" ca="1" si="35">O28</f>
        <v>270</v>
      </c>
      <c r="P29" s="250">
        <f t="shared" ref="P29" ca="1" si="36">P28</f>
        <v>170</v>
      </c>
      <c r="Q29" s="250">
        <f t="shared" ref="Q29" ca="1" si="37">Q28</f>
        <v>120</v>
      </c>
      <c r="R29" s="250">
        <f t="shared" ref="R29" ca="1" si="38">R28</f>
        <v>100</v>
      </c>
      <c r="S29" s="250">
        <f t="shared" ref="S29" ca="1" si="39">S28</f>
        <v>220</v>
      </c>
      <c r="T29" s="250">
        <f t="shared" ref="T29" ca="1" si="40">T28</f>
        <v>300</v>
      </c>
      <c r="U29" s="250">
        <f t="shared" ref="U29" ca="1" si="41">U28</f>
        <v>290</v>
      </c>
      <c r="V29" s="250">
        <f t="shared" ref="V29" ca="1" si="42">V28</f>
        <v>260</v>
      </c>
      <c r="W29" s="250">
        <f t="shared" ref="W29" ca="1" si="43">W28</f>
        <v>80</v>
      </c>
      <c r="X29" s="250">
        <f t="shared" ref="X29" ca="1" si="44">X28</f>
        <v>280</v>
      </c>
      <c r="Y29" s="250">
        <f t="shared" ref="Y29" ca="1" si="45">Y28</f>
        <v>150</v>
      </c>
      <c r="Z29" s="250">
        <f t="shared" ref="Z29" ca="1" si="46">Z28</f>
        <v>360</v>
      </c>
      <c r="AA29" s="250">
        <f t="shared" ref="AA29" ca="1" si="47">AA28</f>
        <v>280</v>
      </c>
      <c r="AB29" s="250">
        <f t="shared" ref="AB29" ca="1" si="48">AB28</f>
        <v>280</v>
      </c>
      <c r="AC29" s="250">
        <f t="shared" ref="AC29" ca="1" si="49">AC28</f>
        <v>220</v>
      </c>
      <c r="AD29" s="250">
        <f t="shared" ref="AD29" ca="1" si="50">AD28</f>
        <v>20</v>
      </c>
      <c r="AE29" s="250">
        <f t="shared" ref="AE29" ca="1" si="51">AE28</f>
        <v>30</v>
      </c>
      <c r="AF29" s="250">
        <f t="shared" ref="AF29" ca="1" si="52">AF28</f>
        <v>0</v>
      </c>
      <c r="AG29" s="250">
        <f t="shared" ref="AG29" ca="1" si="53">AG28</f>
        <v>0</v>
      </c>
      <c r="AH29" s="246"/>
      <c r="AI29" s="246"/>
      <c r="AJ29" s="246"/>
      <c r="AK29" s="246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  <c r="FX29" s="23"/>
      <c r="FY29" s="23"/>
      <c r="FZ29" s="23"/>
      <c r="GA29" s="23"/>
      <c r="GB29" s="23"/>
      <c r="GC29" s="23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3"/>
      <c r="JE29" s="23"/>
      <c r="JF29" s="23"/>
      <c r="JG29" s="23"/>
      <c r="JH29" s="23"/>
      <c r="JI29" s="23"/>
      <c r="JJ29" s="23"/>
      <c r="JK29" s="23"/>
      <c r="JL29" s="23"/>
      <c r="JM29" s="23"/>
      <c r="JN29" s="23"/>
      <c r="JO29" s="23"/>
      <c r="JP29" s="23"/>
      <c r="JQ29" s="23"/>
      <c r="JR29" s="23"/>
      <c r="JS29" s="23"/>
      <c r="JT29" s="23"/>
      <c r="JU29" s="23"/>
      <c r="JV29" s="23"/>
      <c r="JW29" s="23"/>
      <c r="JX29" s="23"/>
      <c r="JY29" s="23"/>
      <c r="JZ29" s="23"/>
      <c r="KA29" s="23"/>
      <c r="KB29" s="23"/>
      <c r="KC29" s="23"/>
      <c r="KD29" s="23"/>
      <c r="KE29" s="23"/>
      <c r="KF29" s="23"/>
      <c r="KG29" s="23"/>
      <c r="KH29" s="23"/>
      <c r="KI29" s="23"/>
      <c r="KJ29" s="23"/>
      <c r="KK29" s="23"/>
      <c r="KL29" s="23"/>
      <c r="KM29" s="23"/>
      <c r="KN29" s="23"/>
      <c r="KO29" s="23"/>
      <c r="KP29" s="23"/>
      <c r="KQ29" s="23"/>
      <c r="KR29" s="23"/>
      <c r="KS29" s="23"/>
      <c r="KT29" s="23"/>
      <c r="KU29" s="23"/>
      <c r="KV29" s="23"/>
      <c r="KW29" s="23"/>
      <c r="KX29" s="23"/>
      <c r="KY29" s="23"/>
      <c r="KZ29" s="23"/>
      <c r="LA29" s="23"/>
      <c r="LB29" s="23"/>
      <c r="LC29" s="23"/>
      <c r="LD29" s="23"/>
      <c r="LE29" s="23"/>
      <c r="LF29" s="23"/>
      <c r="LG29" s="23"/>
      <c r="LH29" s="23"/>
      <c r="LI29" s="23"/>
      <c r="LJ29" s="23"/>
      <c r="LK29" s="23"/>
      <c r="LL29" s="23"/>
      <c r="LM29" s="23"/>
      <c r="LN29" s="23"/>
      <c r="LO29" s="23"/>
      <c r="LP29" s="23"/>
      <c r="LQ29" s="23"/>
      <c r="LR29" s="23"/>
      <c r="LS29" s="23"/>
      <c r="LT29" s="23"/>
      <c r="LU29" s="23"/>
      <c r="LV29" s="23"/>
      <c r="LW29" s="23"/>
      <c r="LX29" s="23"/>
      <c r="LY29" s="23"/>
      <c r="LZ29" s="23"/>
      <c r="MA29" s="23"/>
      <c r="MB29" s="23"/>
      <c r="MC29" s="23"/>
      <c r="MD29" s="23"/>
      <c r="ME29" s="23"/>
      <c r="MF29" s="23"/>
      <c r="MG29" s="23"/>
      <c r="MH29" s="23"/>
      <c r="MI29" s="23"/>
      <c r="MJ29" s="23"/>
      <c r="MK29" s="23"/>
      <c r="ML29" s="23"/>
      <c r="MM29" s="23"/>
      <c r="MN29" s="23"/>
      <c r="MO29" s="23"/>
      <c r="MP29" s="23"/>
      <c r="MQ29" s="23"/>
      <c r="MR29" s="23"/>
      <c r="MS29" s="23"/>
      <c r="MT29" s="23"/>
      <c r="MU29" s="23"/>
      <c r="MV29" s="23"/>
      <c r="MW29" s="23"/>
      <c r="MX29" s="23"/>
      <c r="MY29" s="23"/>
      <c r="MZ29" s="23"/>
      <c r="NA29" s="23"/>
      <c r="NB29" s="23"/>
      <c r="NC29" s="23"/>
      <c r="ND29" s="23"/>
      <c r="NE29" s="23"/>
      <c r="NF29" s="23"/>
      <c r="NG29" s="23"/>
      <c r="NH29" s="23"/>
      <c r="NI29" s="23"/>
      <c r="NJ29" s="23"/>
      <c r="NK29" s="23"/>
      <c r="NL29" s="23"/>
      <c r="NM29" s="23"/>
      <c r="NN29" s="23"/>
      <c r="NO29" s="23"/>
      <c r="NP29" s="23"/>
      <c r="NQ29" s="23"/>
      <c r="NR29" s="23"/>
      <c r="NS29" s="23"/>
      <c r="NT29" s="23"/>
      <c r="NU29" s="23"/>
      <c r="NV29" s="23"/>
      <c r="NW29" s="23"/>
      <c r="NX29" s="23"/>
      <c r="NY29" s="23"/>
      <c r="NZ29" s="23"/>
      <c r="OA29" s="23"/>
      <c r="OB29" s="23"/>
      <c r="OC29" s="23"/>
      <c r="OD29" s="23"/>
      <c r="OE29" s="23"/>
      <c r="OF29" s="23"/>
      <c r="OG29" s="23"/>
      <c r="OH29" s="23"/>
      <c r="OI29" s="23"/>
      <c r="OJ29" s="23"/>
      <c r="OK29" s="23"/>
      <c r="OL29" s="23"/>
      <c r="OM29" s="23"/>
      <c r="ON29" s="23"/>
      <c r="OO29" s="23"/>
      <c r="OP29" s="23"/>
      <c r="OQ29" s="23"/>
      <c r="OR29" s="23"/>
      <c r="OS29" s="23"/>
      <c r="OT29" s="23"/>
      <c r="OU29" s="23"/>
      <c r="OV29" s="23"/>
      <c r="OW29" s="23"/>
      <c r="OX29" s="23"/>
      <c r="OY29" s="23"/>
      <c r="OZ29" s="23"/>
      <c r="PA29" s="23"/>
      <c r="PB29" s="23"/>
      <c r="PC29" s="23"/>
      <c r="PD29" s="23"/>
      <c r="PE29" s="23"/>
      <c r="PF29" s="23"/>
      <c r="PG29" s="23"/>
      <c r="PH29" s="23"/>
      <c r="PI29" s="23"/>
      <c r="PJ29" s="23"/>
      <c r="PK29" s="23"/>
      <c r="PL29" s="23"/>
      <c r="PM29" s="23"/>
      <c r="PN29" s="23"/>
      <c r="PO29" s="23"/>
      <c r="PP29" s="23"/>
      <c r="PQ29" s="23"/>
      <c r="PR29" s="23"/>
      <c r="PS29" s="23"/>
      <c r="PT29" s="23"/>
      <c r="PU29" s="23"/>
      <c r="PV29" s="23"/>
      <c r="PW29" s="23"/>
      <c r="PX29" s="23"/>
      <c r="PY29" s="23"/>
      <c r="PZ29" s="23"/>
      <c r="QA29" s="23"/>
      <c r="QB29" s="23"/>
      <c r="QC29" s="23"/>
      <c r="QD29" s="23"/>
      <c r="QE29" s="23"/>
      <c r="QF29" s="23"/>
      <c r="QG29" s="23"/>
      <c r="QH29" s="23"/>
      <c r="QI29" s="23"/>
      <c r="QJ29" s="23"/>
      <c r="QK29" s="23"/>
      <c r="QL29" s="23"/>
      <c r="QM29" s="23"/>
      <c r="QN29" s="23"/>
      <c r="QO29" s="23"/>
      <c r="QP29" s="23"/>
      <c r="QQ29" s="23"/>
      <c r="QR29" s="23"/>
      <c r="QS29" s="23"/>
      <c r="QT29" s="23"/>
      <c r="QU29" s="23"/>
      <c r="QV29" s="23"/>
      <c r="QW29" s="23"/>
      <c r="QX29" s="23"/>
      <c r="QY29" s="23"/>
      <c r="QZ29" s="23"/>
      <c r="RA29" s="23"/>
      <c r="RB29" s="23"/>
      <c r="RC29" s="23"/>
      <c r="RD29" s="23"/>
      <c r="RE29" s="23"/>
      <c r="RF29" s="23"/>
      <c r="RG29" s="23"/>
      <c r="RH29" s="23"/>
      <c r="RI29" s="23"/>
      <c r="RJ29" s="23"/>
      <c r="RK29" s="23"/>
      <c r="RL29" s="23"/>
      <c r="RM29" s="23"/>
      <c r="RN29" s="23"/>
      <c r="RO29" s="23"/>
      <c r="RP29" s="23"/>
      <c r="RQ29" s="23"/>
      <c r="RR29" s="23"/>
      <c r="RS29" s="23"/>
      <c r="RT29" s="23"/>
      <c r="RU29" s="23"/>
      <c r="RV29" s="23"/>
      <c r="RW29" s="23"/>
      <c r="RX29" s="23"/>
      <c r="RY29" s="23"/>
      <c r="RZ29" s="23"/>
      <c r="SA29" s="23"/>
      <c r="SB29" s="23"/>
      <c r="SC29" s="23"/>
      <c r="SD29" s="23"/>
      <c r="SE29" s="23"/>
      <c r="SF29" s="23"/>
      <c r="SG29" s="23"/>
      <c r="SH29" s="23"/>
      <c r="SI29" s="23"/>
      <c r="SJ29" s="23"/>
      <c r="SK29" s="23"/>
      <c r="SL29" s="23"/>
      <c r="SM29" s="23"/>
      <c r="SN29" s="23"/>
      <c r="SO29" s="23"/>
      <c r="SP29" s="23"/>
      <c r="SQ29" s="23"/>
      <c r="SR29" s="23"/>
      <c r="SS29" s="23"/>
      <c r="ST29" s="23"/>
      <c r="SU29" s="23"/>
      <c r="SV29" s="23"/>
      <c r="SW29" s="23"/>
      <c r="SX29" s="23"/>
      <c r="SY29" s="23"/>
      <c r="SZ29" s="23"/>
      <c r="TA29" s="23"/>
      <c r="TB29" s="23"/>
      <c r="TC29" s="23"/>
      <c r="TD29" s="23"/>
      <c r="TE29" s="23"/>
      <c r="TF29" s="23"/>
      <c r="TG29" s="23"/>
      <c r="TH29" s="23"/>
      <c r="TI29" s="23"/>
      <c r="TJ29" s="23"/>
      <c r="TK29" s="23"/>
      <c r="TL29" s="23"/>
      <c r="TM29" s="23"/>
      <c r="TN29" s="23"/>
      <c r="TO29" s="23"/>
      <c r="TP29" s="23"/>
      <c r="TQ29" s="23"/>
      <c r="TR29" s="23"/>
      <c r="TS29" s="23"/>
      <c r="TT29" s="23"/>
      <c r="TU29" s="23"/>
      <c r="TV29" s="23"/>
      <c r="TW29" s="23"/>
      <c r="TX29" s="23"/>
      <c r="TY29" s="23"/>
      <c r="TZ29" s="23"/>
      <c r="UA29" s="23"/>
      <c r="UB29" s="23"/>
      <c r="UC29" s="23"/>
      <c r="UD29" s="23"/>
      <c r="UE29" s="23"/>
      <c r="UF29" s="23"/>
      <c r="UG29" s="23"/>
      <c r="UH29" s="23"/>
      <c r="UI29" s="23"/>
      <c r="UJ29" s="23"/>
      <c r="UK29" s="23"/>
      <c r="UL29" s="23"/>
      <c r="UM29" s="23"/>
      <c r="UN29" s="23"/>
      <c r="UO29" s="23"/>
      <c r="UP29" s="23"/>
      <c r="UQ29" s="23"/>
      <c r="UR29" s="23"/>
      <c r="US29" s="23"/>
      <c r="UT29" s="23"/>
      <c r="UU29" s="23"/>
      <c r="UV29" s="23"/>
      <c r="UW29" s="23"/>
      <c r="UX29" s="23"/>
      <c r="UY29" s="23"/>
      <c r="UZ29" s="23"/>
      <c r="VA29" s="23"/>
      <c r="VB29" s="23"/>
      <c r="VC29" s="23"/>
      <c r="VD29" s="23"/>
      <c r="VE29" s="23"/>
      <c r="VF29" s="23"/>
      <c r="VG29" s="23"/>
      <c r="VH29" s="23"/>
      <c r="VI29" s="23"/>
      <c r="VJ29" s="23"/>
      <c r="VK29" s="23"/>
      <c r="VL29" s="23"/>
      <c r="VM29" s="23"/>
      <c r="VN29" s="23"/>
      <c r="VO29" s="23"/>
      <c r="VP29" s="23"/>
      <c r="VQ29" s="23"/>
      <c r="VR29" s="23"/>
      <c r="VS29" s="23"/>
      <c r="VT29" s="23"/>
      <c r="VU29" s="23"/>
      <c r="VV29" s="23"/>
      <c r="VW29" s="23"/>
      <c r="VX29" s="23"/>
      <c r="VY29" s="23"/>
      <c r="VZ29" s="23"/>
      <c r="WA29" s="23"/>
      <c r="WB29" s="23"/>
      <c r="WC29" s="23"/>
      <c r="WD29" s="23"/>
      <c r="WE29" s="23"/>
      <c r="WF29" s="23"/>
      <c r="WG29" s="23"/>
      <c r="WH29" s="23"/>
      <c r="WI29" s="23"/>
      <c r="WJ29" s="23"/>
      <c r="WK29" s="23"/>
      <c r="WL29" s="23"/>
      <c r="WM29" s="23"/>
      <c r="WN29" s="23"/>
      <c r="WO29" s="23"/>
      <c r="WP29" s="23"/>
      <c r="WQ29" s="23"/>
      <c r="WR29" s="23"/>
      <c r="WS29" s="23"/>
      <c r="WT29" s="23"/>
      <c r="WU29" s="23"/>
      <c r="WV29" s="23"/>
      <c r="WW29" s="23"/>
      <c r="WX29" s="23"/>
      <c r="WY29" s="23"/>
      <c r="WZ29" s="23"/>
      <c r="XA29" s="23"/>
      <c r="XB29" s="23"/>
      <c r="XC29" s="23"/>
      <c r="XD29" s="23"/>
      <c r="XE29" s="23"/>
      <c r="XF29" s="23"/>
      <c r="XG29" s="23"/>
      <c r="XH29" s="23"/>
      <c r="XI29" s="23"/>
      <c r="XJ29" s="23"/>
      <c r="XK29" s="23"/>
      <c r="XL29" s="23"/>
      <c r="XM29" s="23"/>
      <c r="XN29" s="23"/>
      <c r="XO29" s="23"/>
      <c r="XP29" s="23"/>
      <c r="XQ29" s="23"/>
      <c r="XR29" s="23"/>
      <c r="XS29" s="23"/>
      <c r="XT29" s="23"/>
      <c r="XU29" s="23"/>
      <c r="XV29" s="23"/>
      <c r="XW29" s="23"/>
      <c r="XX29" s="23"/>
      <c r="XY29" s="23"/>
      <c r="XZ29" s="23"/>
      <c r="YA29" s="23"/>
      <c r="YB29" s="23"/>
      <c r="YC29" s="23"/>
      <c r="YD29" s="23"/>
      <c r="YE29" s="23"/>
      <c r="YF29" s="23"/>
      <c r="YG29" s="23"/>
      <c r="YH29" s="23"/>
      <c r="YI29" s="23"/>
      <c r="YJ29" s="23"/>
      <c r="YK29" s="23"/>
      <c r="YL29" s="23"/>
      <c r="YM29" s="23"/>
      <c r="YN29" s="23"/>
      <c r="YO29" s="23"/>
      <c r="YP29" s="23"/>
      <c r="YQ29" s="23"/>
      <c r="YR29" s="23"/>
      <c r="YS29" s="23"/>
      <c r="YT29" s="23"/>
      <c r="YU29" s="23"/>
      <c r="YV29" s="23"/>
      <c r="YW29" s="23"/>
      <c r="YX29" s="23"/>
      <c r="YY29" s="23"/>
      <c r="YZ29" s="23"/>
      <c r="ZA29" s="23"/>
      <c r="ZB29" s="23"/>
      <c r="ZC29" s="23"/>
      <c r="ZD29" s="23"/>
      <c r="ZE29" s="53"/>
    </row>
    <row r="30" spans="1:682" s="2" customFormat="1" ht="15" customHeight="1" x14ac:dyDescent="0.25">
      <c r="A30" s="108">
        <v>3000</v>
      </c>
      <c r="B30" s="109" t="s">
        <v>31</v>
      </c>
      <c r="C30" s="103" t="s">
        <v>66</v>
      </c>
      <c r="D30" s="5" t="s">
        <v>65</v>
      </c>
      <c r="E30" s="103" t="s">
        <v>66</v>
      </c>
      <c r="F30" s="5" t="s">
        <v>65</v>
      </c>
      <c r="G30" s="56">
        <v>2</v>
      </c>
      <c r="H30" s="100" t="s">
        <v>60</v>
      </c>
      <c r="I30" s="131"/>
      <c r="J30" s="97">
        <f t="shared" ref="J30:AG30" ca="1" si="54">J25+I30-J28</f>
        <v>0</v>
      </c>
      <c r="K30" s="97">
        <f t="shared" ca="1" si="54"/>
        <v>0</v>
      </c>
      <c r="L30" s="97">
        <f t="shared" ca="1" si="54"/>
        <v>0</v>
      </c>
      <c r="M30" s="97">
        <f t="shared" ca="1" si="54"/>
        <v>0</v>
      </c>
      <c r="N30" s="97">
        <f t="shared" ca="1" si="54"/>
        <v>0</v>
      </c>
      <c r="O30" s="97">
        <f t="shared" ca="1" si="54"/>
        <v>0</v>
      </c>
      <c r="P30" s="97">
        <f t="shared" ca="1" si="54"/>
        <v>0</v>
      </c>
      <c r="Q30" s="97">
        <f t="shared" ca="1" si="54"/>
        <v>0</v>
      </c>
      <c r="R30" s="97">
        <f t="shared" ca="1" si="54"/>
        <v>0</v>
      </c>
      <c r="S30" s="97">
        <f t="shared" ca="1" si="54"/>
        <v>0</v>
      </c>
      <c r="T30" s="97">
        <f t="shared" ca="1" si="54"/>
        <v>0</v>
      </c>
      <c r="U30" s="97">
        <f t="shared" ca="1" si="54"/>
        <v>0</v>
      </c>
      <c r="V30" s="97">
        <f t="shared" ca="1" si="54"/>
        <v>0</v>
      </c>
      <c r="W30" s="97">
        <f t="shared" ca="1" si="54"/>
        <v>0</v>
      </c>
      <c r="X30" s="97">
        <f t="shared" ca="1" si="54"/>
        <v>0</v>
      </c>
      <c r="Y30" s="97">
        <f t="shared" ca="1" si="54"/>
        <v>0</v>
      </c>
      <c r="Z30" s="97">
        <f t="shared" ca="1" si="54"/>
        <v>0</v>
      </c>
      <c r="AA30" s="97">
        <f t="shared" ca="1" si="54"/>
        <v>0</v>
      </c>
      <c r="AB30" s="97">
        <f t="shared" ca="1" si="54"/>
        <v>0</v>
      </c>
      <c r="AC30" s="97">
        <f t="shared" ca="1" si="54"/>
        <v>0</v>
      </c>
      <c r="AD30" s="97">
        <f t="shared" ca="1" si="54"/>
        <v>0</v>
      </c>
      <c r="AE30" s="97">
        <f t="shared" ca="1" si="54"/>
        <v>0</v>
      </c>
      <c r="AF30" s="97">
        <f t="shared" ca="1" si="54"/>
        <v>0</v>
      </c>
      <c r="AG30" s="97">
        <f t="shared" ca="1" si="54"/>
        <v>0</v>
      </c>
      <c r="AH30" s="250"/>
      <c r="AI30" s="250"/>
      <c r="AJ30" s="250"/>
      <c r="AK30" s="250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3"/>
      <c r="JE30" s="23"/>
      <c r="JF30" s="23"/>
      <c r="JG30" s="23"/>
      <c r="JH30" s="23"/>
      <c r="JI30" s="23"/>
      <c r="JJ30" s="23"/>
      <c r="JK30" s="23"/>
      <c r="JL30" s="23"/>
      <c r="JM30" s="23"/>
      <c r="JN30" s="23"/>
      <c r="JO30" s="23"/>
      <c r="JP30" s="23"/>
      <c r="JQ30" s="23"/>
      <c r="JR30" s="23"/>
      <c r="JS30" s="23"/>
      <c r="JT30" s="23"/>
      <c r="JU30" s="23"/>
      <c r="JV30" s="23"/>
      <c r="JW30" s="23"/>
      <c r="JX30" s="23"/>
      <c r="JY30" s="23"/>
      <c r="JZ30" s="23"/>
      <c r="KA30" s="23"/>
      <c r="KB30" s="23"/>
      <c r="KC30" s="23"/>
      <c r="KD30" s="23"/>
      <c r="KE30" s="23"/>
      <c r="KF30" s="23"/>
      <c r="KG30" s="23"/>
      <c r="KH30" s="23"/>
      <c r="KI30" s="23"/>
      <c r="KJ30" s="23"/>
      <c r="KK30" s="23"/>
      <c r="KL30" s="23"/>
      <c r="KM30" s="23"/>
      <c r="KN30" s="23"/>
      <c r="KO30" s="23"/>
      <c r="KP30" s="23"/>
      <c r="KQ30" s="23"/>
      <c r="KR30" s="23"/>
      <c r="KS30" s="23"/>
      <c r="KT30" s="23"/>
      <c r="KU30" s="23"/>
      <c r="KV30" s="23"/>
      <c r="KW30" s="23"/>
      <c r="KX30" s="23"/>
      <c r="KY30" s="23"/>
      <c r="KZ30" s="23"/>
      <c r="LA30" s="23"/>
      <c r="LB30" s="23"/>
      <c r="LC30" s="23"/>
      <c r="LD30" s="23"/>
      <c r="LE30" s="23"/>
      <c r="LF30" s="23"/>
      <c r="LG30" s="23"/>
      <c r="LH30" s="23"/>
      <c r="LI30" s="23"/>
      <c r="LJ30" s="23"/>
      <c r="LK30" s="23"/>
      <c r="LL30" s="23"/>
      <c r="LM30" s="23"/>
      <c r="LN30" s="23"/>
      <c r="LO30" s="23"/>
      <c r="LP30" s="23"/>
      <c r="LQ30" s="23"/>
      <c r="LR30" s="23"/>
      <c r="LS30" s="23"/>
      <c r="LT30" s="23"/>
      <c r="LU30" s="23"/>
      <c r="LV30" s="23"/>
      <c r="LW30" s="23"/>
      <c r="LX30" s="23"/>
      <c r="LY30" s="23"/>
      <c r="LZ30" s="23"/>
      <c r="MA30" s="23"/>
      <c r="MB30" s="23"/>
      <c r="MC30" s="23"/>
      <c r="MD30" s="23"/>
      <c r="ME30" s="23"/>
      <c r="MF30" s="23"/>
      <c r="MG30" s="23"/>
      <c r="MH30" s="23"/>
      <c r="MI30" s="23"/>
      <c r="MJ30" s="23"/>
      <c r="MK30" s="23"/>
      <c r="ML30" s="23"/>
      <c r="MM30" s="23"/>
      <c r="MN30" s="23"/>
      <c r="MO30" s="23"/>
      <c r="MP30" s="23"/>
      <c r="MQ30" s="23"/>
      <c r="MR30" s="23"/>
      <c r="MS30" s="23"/>
      <c r="MT30" s="23"/>
      <c r="MU30" s="23"/>
      <c r="MV30" s="23"/>
      <c r="MW30" s="23"/>
      <c r="MX30" s="23"/>
      <c r="MY30" s="23"/>
      <c r="MZ30" s="23"/>
      <c r="NA30" s="23"/>
      <c r="NB30" s="23"/>
      <c r="NC30" s="23"/>
      <c r="ND30" s="23"/>
      <c r="NE30" s="23"/>
      <c r="NF30" s="23"/>
      <c r="NG30" s="23"/>
      <c r="NH30" s="23"/>
      <c r="NI30" s="23"/>
      <c r="NJ30" s="23"/>
      <c r="NK30" s="23"/>
      <c r="NL30" s="23"/>
      <c r="NM30" s="23"/>
      <c r="NN30" s="23"/>
      <c r="NO30" s="23"/>
      <c r="NP30" s="23"/>
      <c r="NQ30" s="23"/>
      <c r="NR30" s="23"/>
      <c r="NS30" s="23"/>
      <c r="NT30" s="23"/>
      <c r="NU30" s="23"/>
      <c r="NV30" s="23"/>
      <c r="NW30" s="23"/>
      <c r="NX30" s="23"/>
      <c r="NY30" s="23"/>
      <c r="NZ30" s="23"/>
      <c r="OA30" s="23"/>
      <c r="OB30" s="23"/>
      <c r="OC30" s="23"/>
      <c r="OD30" s="23"/>
      <c r="OE30" s="23"/>
      <c r="OF30" s="23"/>
      <c r="OG30" s="23"/>
      <c r="OH30" s="23"/>
      <c r="OI30" s="23"/>
      <c r="OJ30" s="23"/>
      <c r="OK30" s="23"/>
      <c r="OL30" s="23"/>
      <c r="OM30" s="23"/>
      <c r="ON30" s="23"/>
      <c r="OO30" s="23"/>
      <c r="OP30" s="23"/>
      <c r="OQ30" s="23"/>
      <c r="OR30" s="23"/>
      <c r="OS30" s="23"/>
      <c r="OT30" s="23"/>
      <c r="OU30" s="23"/>
      <c r="OV30" s="23"/>
      <c r="OW30" s="23"/>
      <c r="OX30" s="23"/>
      <c r="OY30" s="23"/>
      <c r="OZ30" s="23"/>
      <c r="PA30" s="23"/>
      <c r="PB30" s="23"/>
      <c r="PC30" s="23"/>
      <c r="PD30" s="23"/>
      <c r="PE30" s="23"/>
      <c r="PF30" s="23"/>
      <c r="PG30" s="23"/>
      <c r="PH30" s="23"/>
      <c r="PI30" s="23"/>
      <c r="PJ30" s="23"/>
      <c r="PK30" s="23"/>
      <c r="PL30" s="23"/>
      <c r="PM30" s="23"/>
      <c r="PN30" s="23"/>
      <c r="PO30" s="23"/>
      <c r="PP30" s="23"/>
      <c r="PQ30" s="23"/>
      <c r="PR30" s="23"/>
      <c r="PS30" s="23"/>
      <c r="PT30" s="23"/>
      <c r="PU30" s="23"/>
      <c r="PV30" s="23"/>
      <c r="PW30" s="23"/>
      <c r="PX30" s="23"/>
      <c r="PY30" s="23"/>
      <c r="PZ30" s="23"/>
      <c r="QA30" s="23"/>
      <c r="QB30" s="23"/>
      <c r="QC30" s="23"/>
      <c r="QD30" s="23"/>
      <c r="QE30" s="23"/>
      <c r="QF30" s="23"/>
      <c r="QG30" s="23"/>
      <c r="QH30" s="23"/>
      <c r="QI30" s="23"/>
      <c r="QJ30" s="23"/>
      <c r="QK30" s="23"/>
      <c r="QL30" s="23"/>
      <c r="QM30" s="23"/>
      <c r="QN30" s="23"/>
      <c r="QO30" s="23"/>
      <c r="QP30" s="23"/>
      <c r="QQ30" s="23"/>
      <c r="QR30" s="23"/>
      <c r="QS30" s="23"/>
      <c r="QT30" s="23"/>
      <c r="QU30" s="23"/>
      <c r="QV30" s="23"/>
      <c r="QW30" s="23"/>
      <c r="QX30" s="23"/>
      <c r="QY30" s="23"/>
      <c r="QZ30" s="23"/>
      <c r="RA30" s="23"/>
      <c r="RB30" s="23"/>
      <c r="RC30" s="23"/>
      <c r="RD30" s="23"/>
      <c r="RE30" s="23"/>
      <c r="RF30" s="23"/>
      <c r="RG30" s="23"/>
      <c r="RH30" s="23"/>
      <c r="RI30" s="23"/>
      <c r="RJ30" s="23"/>
      <c r="RK30" s="23"/>
      <c r="RL30" s="23"/>
      <c r="RM30" s="23"/>
      <c r="RN30" s="23"/>
      <c r="RO30" s="23"/>
      <c r="RP30" s="23"/>
      <c r="RQ30" s="23"/>
      <c r="RR30" s="23"/>
      <c r="RS30" s="23"/>
      <c r="RT30" s="23"/>
      <c r="RU30" s="23"/>
      <c r="RV30" s="23"/>
      <c r="RW30" s="23"/>
      <c r="RX30" s="23"/>
      <c r="RY30" s="23"/>
      <c r="RZ30" s="23"/>
      <c r="SA30" s="23"/>
      <c r="SB30" s="23"/>
      <c r="SC30" s="23"/>
      <c r="SD30" s="23"/>
      <c r="SE30" s="23"/>
      <c r="SF30" s="23"/>
      <c r="SG30" s="23"/>
      <c r="SH30" s="23"/>
      <c r="SI30" s="23"/>
      <c r="SJ30" s="23"/>
      <c r="SK30" s="23"/>
      <c r="SL30" s="23"/>
      <c r="SM30" s="23"/>
      <c r="SN30" s="23"/>
      <c r="SO30" s="23"/>
      <c r="SP30" s="23"/>
      <c r="SQ30" s="23"/>
      <c r="SR30" s="23"/>
      <c r="SS30" s="23"/>
      <c r="ST30" s="23"/>
      <c r="SU30" s="23"/>
      <c r="SV30" s="23"/>
      <c r="SW30" s="23"/>
      <c r="SX30" s="23"/>
      <c r="SY30" s="23"/>
      <c r="SZ30" s="23"/>
      <c r="TA30" s="23"/>
      <c r="TB30" s="23"/>
      <c r="TC30" s="23"/>
      <c r="TD30" s="23"/>
      <c r="TE30" s="23"/>
      <c r="TF30" s="23"/>
      <c r="TG30" s="23"/>
      <c r="TH30" s="23"/>
      <c r="TI30" s="23"/>
      <c r="TJ30" s="23"/>
      <c r="TK30" s="23"/>
      <c r="TL30" s="23"/>
      <c r="TM30" s="23"/>
      <c r="TN30" s="23"/>
      <c r="TO30" s="23"/>
      <c r="TP30" s="23"/>
      <c r="TQ30" s="23"/>
      <c r="TR30" s="23"/>
      <c r="TS30" s="23"/>
      <c r="TT30" s="23"/>
      <c r="TU30" s="23"/>
      <c r="TV30" s="23"/>
      <c r="TW30" s="23"/>
      <c r="TX30" s="23"/>
      <c r="TY30" s="23"/>
      <c r="TZ30" s="23"/>
      <c r="UA30" s="23"/>
      <c r="UB30" s="23"/>
      <c r="UC30" s="23"/>
      <c r="UD30" s="23"/>
      <c r="UE30" s="23"/>
      <c r="UF30" s="23"/>
      <c r="UG30" s="23"/>
      <c r="UH30" s="23"/>
      <c r="UI30" s="23"/>
      <c r="UJ30" s="23"/>
      <c r="UK30" s="23"/>
      <c r="UL30" s="23"/>
      <c r="UM30" s="23"/>
      <c r="UN30" s="23"/>
      <c r="UO30" s="23"/>
      <c r="UP30" s="23"/>
      <c r="UQ30" s="23"/>
      <c r="UR30" s="23"/>
      <c r="US30" s="23"/>
      <c r="UT30" s="23"/>
      <c r="UU30" s="23"/>
      <c r="UV30" s="23"/>
      <c r="UW30" s="23"/>
      <c r="UX30" s="23"/>
      <c r="UY30" s="23"/>
      <c r="UZ30" s="23"/>
      <c r="VA30" s="23"/>
      <c r="VB30" s="23"/>
      <c r="VC30" s="23"/>
      <c r="VD30" s="23"/>
      <c r="VE30" s="23"/>
      <c r="VF30" s="23"/>
      <c r="VG30" s="23"/>
      <c r="VH30" s="23"/>
      <c r="VI30" s="23"/>
      <c r="VJ30" s="23"/>
      <c r="VK30" s="23"/>
      <c r="VL30" s="23"/>
      <c r="VM30" s="23"/>
      <c r="VN30" s="23"/>
      <c r="VO30" s="23"/>
      <c r="VP30" s="23"/>
      <c r="VQ30" s="23"/>
      <c r="VR30" s="23"/>
      <c r="VS30" s="23"/>
      <c r="VT30" s="23"/>
      <c r="VU30" s="23"/>
      <c r="VV30" s="23"/>
      <c r="VW30" s="23"/>
      <c r="VX30" s="23"/>
      <c r="VY30" s="23"/>
      <c r="VZ30" s="23"/>
      <c r="WA30" s="23"/>
      <c r="WB30" s="23"/>
      <c r="WC30" s="23"/>
      <c r="WD30" s="23"/>
      <c r="WE30" s="23"/>
      <c r="WF30" s="23"/>
      <c r="WG30" s="23"/>
      <c r="WH30" s="23"/>
      <c r="WI30" s="23"/>
      <c r="WJ30" s="23"/>
      <c r="WK30" s="23"/>
      <c r="WL30" s="23"/>
      <c r="WM30" s="23"/>
      <c r="WN30" s="23"/>
      <c r="WO30" s="23"/>
      <c r="WP30" s="23"/>
      <c r="WQ30" s="23"/>
      <c r="WR30" s="23"/>
      <c r="WS30" s="23"/>
      <c r="WT30" s="23"/>
      <c r="WU30" s="23"/>
      <c r="WV30" s="23"/>
      <c r="WW30" s="23"/>
      <c r="WX30" s="23"/>
      <c r="WY30" s="23"/>
      <c r="WZ30" s="23"/>
      <c r="XA30" s="23"/>
      <c r="XB30" s="23"/>
      <c r="XC30" s="23"/>
      <c r="XD30" s="23"/>
      <c r="XE30" s="23"/>
      <c r="XF30" s="23"/>
      <c r="XG30" s="23"/>
      <c r="XH30" s="23"/>
      <c r="XI30" s="23"/>
      <c r="XJ30" s="23"/>
      <c r="XK30" s="23"/>
      <c r="XL30" s="23"/>
      <c r="XM30" s="23"/>
      <c r="XN30" s="23"/>
      <c r="XO30" s="23"/>
      <c r="XP30" s="23"/>
      <c r="XQ30" s="23"/>
      <c r="XR30" s="23"/>
      <c r="XS30" s="23"/>
      <c r="XT30" s="23"/>
      <c r="XU30" s="23"/>
      <c r="XV30" s="23"/>
      <c r="XW30" s="23"/>
      <c r="XX30" s="23"/>
      <c r="XY30" s="23"/>
      <c r="XZ30" s="23"/>
      <c r="YA30" s="23"/>
      <c r="YB30" s="23"/>
      <c r="YC30" s="23"/>
      <c r="YD30" s="23"/>
      <c r="YE30" s="23"/>
      <c r="YF30" s="23"/>
      <c r="YG30" s="23"/>
      <c r="YH30" s="23"/>
      <c r="YI30" s="23"/>
      <c r="YJ30" s="23"/>
      <c r="YK30" s="23"/>
      <c r="YL30" s="23"/>
      <c r="YM30" s="23"/>
      <c r="YN30" s="23"/>
      <c r="YO30" s="23"/>
      <c r="YP30" s="23"/>
      <c r="YQ30" s="23"/>
      <c r="YR30" s="23"/>
      <c r="YS30" s="23"/>
      <c r="YT30" s="23"/>
      <c r="YU30" s="23"/>
      <c r="YV30" s="23"/>
      <c r="YW30" s="23"/>
      <c r="YX30" s="23"/>
      <c r="YY30" s="23"/>
      <c r="YZ30" s="23"/>
      <c r="ZA30" s="23"/>
      <c r="ZB30" s="23"/>
      <c r="ZC30" s="23"/>
      <c r="ZD30" s="23"/>
      <c r="ZE30" s="54"/>
    </row>
    <row r="31" spans="1:682" s="58" customFormat="1" ht="14.25" customHeight="1" x14ac:dyDescent="0.25">
      <c r="A31" s="77"/>
      <c r="B31" s="128"/>
      <c r="C31" s="77"/>
      <c r="D31" s="77"/>
      <c r="E31" s="77"/>
      <c r="F31" s="77"/>
      <c r="G31" s="136"/>
      <c r="H31" s="134"/>
      <c r="I31" s="77"/>
      <c r="J31" s="77"/>
      <c r="K31" s="77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253"/>
      <c r="AI31" s="253"/>
      <c r="AJ31" s="253"/>
      <c r="AK31" s="25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  <c r="FX31" s="23"/>
      <c r="FY31" s="23"/>
      <c r="FZ31" s="23"/>
      <c r="GA31" s="23"/>
      <c r="GB31" s="23"/>
      <c r="GC31" s="23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61"/>
    </row>
    <row r="32" spans="1:682" s="50" customFormat="1" ht="15.75" thickBot="1" x14ac:dyDescent="0.3">
      <c r="A32" s="30">
        <v>4000</v>
      </c>
      <c r="B32" s="129" t="s">
        <v>44</v>
      </c>
      <c r="C32" s="103" t="s">
        <v>66</v>
      </c>
      <c r="D32" s="5" t="s">
        <v>65</v>
      </c>
      <c r="E32" s="103" t="s">
        <v>49</v>
      </c>
      <c r="F32" s="5" t="s">
        <v>48</v>
      </c>
      <c r="G32" s="56">
        <v>2</v>
      </c>
      <c r="H32" s="172" t="s">
        <v>119</v>
      </c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265"/>
      <c r="AI32" s="265"/>
      <c r="AJ32" s="265"/>
      <c r="AK32" s="265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24"/>
      <c r="FP32" s="24"/>
      <c r="FQ32" s="24"/>
      <c r="FR32" s="24"/>
      <c r="FS32" s="24"/>
      <c r="FT32" s="24"/>
      <c r="FU32" s="24"/>
      <c r="FV32" s="24"/>
      <c r="FW32" s="24"/>
      <c r="FX32" s="24"/>
      <c r="FY32" s="24"/>
      <c r="FZ32" s="24"/>
      <c r="GA32" s="24"/>
      <c r="GB32" s="24"/>
      <c r="GC32" s="24"/>
      <c r="GD32" s="24"/>
      <c r="GE32" s="24"/>
      <c r="GF32" s="24"/>
      <c r="GG32" s="24"/>
      <c r="GH32" s="24"/>
      <c r="GI32" s="24"/>
      <c r="GJ32" s="24"/>
      <c r="GK32" s="24"/>
      <c r="GL32" s="24"/>
      <c r="GM32" s="24"/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24"/>
      <c r="HD32" s="24"/>
      <c r="HE32" s="24"/>
      <c r="HF32" s="24"/>
      <c r="HG32" s="24"/>
      <c r="HH32" s="24"/>
      <c r="HI32" s="24"/>
      <c r="HJ32" s="24"/>
      <c r="HK32" s="24"/>
      <c r="HL32" s="24"/>
      <c r="HM32" s="24"/>
      <c r="HN32" s="24"/>
      <c r="HO32" s="24"/>
      <c r="HP32" s="24"/>
      <c r="HQ32" s="24"/>
      <c r="HR32" s="24"/>
      <c r="HS32" s="24"/>
      <c r="HT32" s="24"/>
      <c r="HU32" s="24"/>
      <c r="HV32" s="24"/>
      <c r="HW32" s="24"/>
      <c r="HX32" s="24"/>
      <c r="HY32" s="24"/>
      <c r="HZ32" s="24"/>
      <c r="IA32" s="24"/>
      <c r="IB32" s="24"/>
      <c r="IC32" s="24"/>
      <c r="ID32" s="24"/>
      <c r="IE32" s="24"/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24"/>
      <c r="IV32" s="24"/>
      <c r="IW32" s="24"/>
      <c r="IX32" s="24"/>
      <c r="IY32" s="24"/>
      <c r="IZ32" s="24"/>
      <c r="JA32" s="24"/>
      <c r="JB32" s="24"/>
      <c r="JC32" s="24"/>
      <c r="JD32" s="24"/>
      <c r="JE32" s="24"/>
      <c r="JF32" s="24"/>
      <c r="JG32" s="24"/>
      <c r="JH32" s="24"/>
      <c r="JI32" s="24"/>
      <c r="JJ32" s="24"/>
      <c r="JK32" s="24"/>
      <c r="JL32" s="24"/>
      <c r="JM32" s="24"/>
      <c r="JN32" s="24"/>
      <c r="JO32" s="24"/>
      <c r="JP32" s="24"/>
      <c r="JQ32" s="24"/>
      <c r="JR32" s="24"/>
      <c r="JS32" s="24"/>
      <c r="JT32" s="24"/>
      <c r="JU32" s="24"/>
      <c r="JV32" s="24"/>
      <c r="JW32" s="24"/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24"/>
      <c r="KN32" s="24"/>
      <c r="KO32" s="24"/>
      <c r="KP32" s="24"/>
      <c r="KQ32" s="24"/>
      <c r="KR32" s="24"/>
      <c r="KS32" s="24"/>
      <c r="KT32" s="24"/>
      <c r="KU32" s="24"/>
      <c r="KV32" s="24"/>
      <c r="KW32" s="24"/>
      <c r="KX32" s="24"/>
      <c r="KY32" s="24"/>
      <c r="KZ32" s="24"/>
      <c r="LA32" s="24"/>
      <c r="LB32" s="24"/>
      <c r="LC32" s="24"/>
      <c r="LD32" s="24"/>
      <c r="LE32" s="24"/>
      <c r="LF32" s="24"/>
      <c r="LG32" s="24"/>
      <c r="LH32" s="24"/>
      <c r="LI32" s="24"/>
      <c r="LJ32" s="24"/>
      <c r="LK32" s="24"/>
      <c r="LL32" s="24"/>
      <c r="LM32" s="24"/>
      <c r="LN32" s="24"/>
      <c r="LO32" s="24"/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24"/>
      <c r="MF32" s="24"/>
      <c r="MG32" s="24"/>
      <c r="MH32" s="24"/>
      <c r="MI32" s="24"/>
      <c r="MJ32" s="24"/>
      <c r="MK32" s="24"/>
      <c r="ML32" s="24"/>
      <c r="MM32" s="24"/>
      <c r="MN32" s="24"/>
      <c r="MO32" s="24"/>
      <c r="MP32" s="24"/>
      <c r="MQ32" s="24"/>
      <c r="MR32" s="24"/>
      <c r="MS32" s="24"/>
      <c r="MT32" s="24"/>
      <c r="MU32" s="24"/>
      <c r="MV32" s="24"/>
      <c r="MW32" s="24"/>
      <c r="MX32" s="24"/>
      <c r="MY32" s="24"/>
      <c r="MZ32" s="24"/>
      <c r="NA32" s="24"/>
      <c r="NB32" s="24"/>
      <c r="NC32" s="24"/>
      <c r="ND32" s="24"/>
      <c r="NE32" s="24"/>
      <c r="NF32" s="24"/>
      <c r="NG32" s="24"/>
      <c r="NH32" s="24"/>
      <c r="NI32" s="24"/>
      <c r="NJ32" s="24"/>
      <c r="NK32" s="24"/>
      <c r="NL32" s="24"/>
      <c r="NM32" s="24"/>
      <c r="NN32" s="24"/>
      <c r="NO32" s="24"/>
      <c r="NP32" s="24"/>
      <c r="NQ32" s="24"/>
      <c r="NR32" s="24"/>
      <c r="NS32" s="24"/>
      <c r="NT32" s="24"/>
      <c r="NU32" s="24"/>
      <c r="NV32" s="24"/>
      <c r="NW32" s="24"/>
      <c r="NX32" s="24"/>
      <c r="NY32" s="24"/>
      <c r="NZ32" s="24"/>
      <c r="OA32" s="24"/>
      <c r="OB32" s="24"/>
      <c r="OC32" s="24"/>
      <c r="OD32" s="24"/>
      <c r="OE32" s="24"/>
      <c r="OF32" s="24"/>
      <c r="OG32" s="24"/>
      <c r="OH32" s="24"/>
      <c r="OI32" s="24"/>
      <c r="OJ32" s="24"/>
      <c r="OK32" s="24"/>
      <c r="OL32" s="24"/>
      <c r="OM32" s="24"/>
      <c r="ON32" s="24"/>
      <c r="OO32" s="24"/>
      <c r="OP32" s="24"/>
      <c r="OQ32" s="24"/>
      <c r="OR32" s="24"/>
      <c r="OS32" s="24"/>
      <c r="OT32" s="24"/>
      <c r="OU32" s="24"/>
      <c r="OV32" s="24"/>
      <c r="OW32" s="24"/>
      <c r="OX32" s="24"/>
      <c r="OY32" s="24"/>
      <c r="OZ32" s="24"/>
      <c r="PA32" s="24"/>
      <c r="PB32" s="24"/>
      <c r="PC32" s="24"/>
      <c r="PD32" s="24"/>
      <c r="PE32" s="24"/>
      <c r="PF32" s="24"/>
      <c r="PG32" s="24"/>
      <c r="PH32" s="24"/>
      <c r="PI32" s="24"/>
      <c r="PJ32" s="24"/>
      <c r="PK32" s="24"/>
      <c r="PL32" s="24"/>
      <c r="PM32" s="24"/>
      <c r="PN32" s="24"/>
      <c r="PO32" s="24"/>
      <c r="PP32" s="24"/>
      <c r="PQ32" s="24"/>
      <c r="PR32" s="24"/>
      <c r="PS32" s="24"/>
      <c r="PT32" s="24"/>
      <c r="PU32" s="24"/>
      <c r="PV32" s="24"/>
      <c r="PW32" s="24"/>
      <c r="PX32" s="24"/>
      <c r="PY32" s="24"/>
      <c r="PZ32" s="24"/>
      <c r="QA32" s="24"/>
      <c r="QB32" s="24"/>
      <c r="QC32" s="24"/>
      <c r="QD32" s="24"/>
      <c r="QE32" s="24"/>
      <c r="QF32" s="24"/>
      <c r="QG32" s="24"/>
      <c r="QH32" s="24"/>
      <c r="QI32" s="24"/>
      <c r="QJ32" s="24"/>
      <c r="QK32" s="24"/>
      <c r="QL32" s="24"/>
      <c r="QM32" s="24"/>
      <c r="QN32" s="24"/>
      <c r="QO32" s="24"/>
      <c r="QP32" s="24"/>
      <c r="QQ32" s="24"/>
      <c r="QR32" s="24"/>
      <c r="QS32" s="24"/>
      <c r="QT32" s="24"/>
      <c r="QU32" s="24"/>
      <c r="QV32" s="24"/>
      <c r="QW32" s="24"/>
      <c r="QX32" s="24"/>
      <c r="QY32" s="24"/>
      <c r="QZ32" s="24"/>
      <c r="RA32" s="24"/>
      <c r="RB32" s="24"/>
      <c r="RC32" s="24"/>
      <c r="RD32" s="24"/>
      <c r="RE32" s="24"/>
      <c r="RF32" s="24"/>
      <c r="RG32" s="24"/>
      <c r="RH32" s="24"/>
      <c r="RI32" s="24"/>
      <c r="RJ32" s="24"/>
      <c r="RK32" s="24"/>
      <c r="RL32" s="24"/>
      <c r="RM32" s="24"/>
      <c r="RN32" s="24"/>
      <c r="RO32" s="24"/>
      <c r="RP32" s="24"/>
      <c r="RQ32" s="24"/>
      <c r="RR32" s="24"/>
      <c r="RS32" s="24"/>
      <c r="RT32" s="24"/>
      <c r="RU32" s="24"/>
      <c r="RV32" s="24"/>
      <c r="RW32" s="24"/>
      <c r="RX32" s="24"/>
      <c r="RY32" s="24"/>
      <c r="RZ32" s="24"/>
      <c r="SA32" s="24"/>
      <c r="SB32" s="24"/>
      <c r="SC32" s="24"/>
      <c r="SD32" s="24"/>
      <c r="SE32" s="24"/>
      <c r="SF32" s="24"/>
      <c r="SG32" s="24"/>
      <c r="SH32" s="24"/>
      <c r="SI32" s="24"/>
      <c r="SJ32" s="24"/>
      <c r="SK32" s="24"/>
      <c r="SL32" s="24"/>
      <c r="SM32" s="24"/>
      <c r="SN32" s="24"/>
      <c r="SO32" s="24"/>
      <c r="SP32" s="24"/>
      <c r="SQ32" s="24"/>
      <c r="SR32" s="24"/>
      <c r="SS32" s="24"/>
      <c r="ST32" s="24"/>
      <c r="SU32" s="24"/>
      <c r="SV32" s="24"/>
      <c r="SW32" s="24"/>
      <c r="SX32" s="24"/>
      <c r="SY32" s="24"/>
      <c r="SZ32" s="24"/>
      <c r="TA32" s="24"/>
      <c r="TB32" s="24"/>
      <c r="TC32" s="24"/>
      <c r="TD32" s="24"/>
      <c r="TE32" s="24"/>
      <c r="TF32" s="24"/>
      <c r="TG32" s="24"/>
      <c r="TH32" s="24"/>
      <c r="TI32" s="24"/>
      <c r="TJ32" s="24"/>
      <c r="TK32" s="24"/>
      <c r="TL32" s="24"/>
      <c r="TM32" s="24"/>
      <c r="TN32" s="24"/>
      <c r="TO32" s="24"/>
      <c r="TP32" s="24"/>
      <c r="TQ32" s="24"/>
      <c r="TR32" s="24"/>
      <c r="TS32" s="24"/>
      <c r="TT32" s="24"/>
      <c r="TU32" s="24"/>
      <c r="TV32" s="24"/>
      <c r="TW32" s="24"/>
      <c r="TX32" s="24"/>
      <c r="TY32" s="24"/>
      <c r="TZ32" s="24"/>
      <c r="UA32" s="24"/>
      <c r="UB32" s="24"/>
      <c r="UC32" s="24"/>
      <c r="UD32" s="24"/>
      <c r="UE32" s="24"/>
      <c r="UF32" s="24"/>
      <c r="UG32" s="24"/>
      <c r="UH32" s="24"/>
      <c r="UI32" s="24"/>
      <c r="UJ32" s="24"/>
      <c r="UK32" s="24"/>
      <c r="UL32" s="24"/>
      <c r="UM32" s="24"/>
      <c r="UN32" s="24"/>
      <c r="UO32" s="24"/>
      <c r="UP32" s="24"/>
      <c r="UQ32" s="24"/>
      <c r="UR32" s="24"/>
      <c r="US32" s="24"/>
      <c r="UT32" s="24"/>
      <c r="UU32" s="24"/>
      <c r="UV32" s="24"/>
      <c r="UW32" s="24"/>
      <c r="UX32" s="24"/>
      <c r="UY32" s="24"/>
      <c r="UZ32" s="24"/>
      <c r="VA32" s="24"/>
      <c r="VB32" s="24"/>
      <c r="VC32" s="24"/>
      <c r="VD32" s="24"/>
      <c r="VE32" s="24"/>
      <c r="VF32" s="24"/>
      <c r="VG32" s="24"/>
      <c r="VH32" s="24"/>
      <c r="VI32" s="24"/>
      <c r="VJ32" s="24"/>
      <c r="VK32" s="24"/>
      <c r="VL32" s="24"/>
      <c r="VM32" s="24"/>
      <c r="VN32" s="24"/>
      <c r="VO32" s="24"/>
      <c r="VP32" s="24"/>
      <c r="VQ32" s="24"/>
      <c r="VR32" s="24"/>
      <c r="VS32" s="24"/>
      <c r="VT32" s="24"/>
      <c r="VU32" s="24"/>
      <c r="VV32" s="24"/>
      <c r="VW32" s="24"/>
      <c r="VX32" s="24"/>
      <c r="VY32" s="24"/>
      <c r="VZ32" s="24"/>
      <c r="WA32" s="24"/>
      <c r="WB32" s="24"/>
      <c r="WC32" s="24"/>
      <c r="WD32" s="24"/>
      <c r="WE32" s="24"/>
      <c r="WF32" s="24"/>
      <c r="WG32" s="24"/>
      <c r="WH32" s="24"/>
      <c r="WI32" s="24"/>
      <c r="WJ32" s="24"/>
      <c r="WK32" s="24"/>
      <c r="WL32" s="24"/>
      <c r="WM32" s="24"/>
      <c r="WN32" s="24"/>
      <c r="WO32" s="24"/>
      <c r="WP32" s="24"/>
      <c r="WQ32" s="24"/>
      <c r="WR32" s="24"/>
      <c r="WS32" s="24"/>
      <c r="WT32" s="24"/>
      <c r="WU32" s="24"/>
      <c r="WV32" s="24"/>
      <c r="WW32" s="24"/>
      <c r="WX32" s="24"/>
      <c r="WY32" s="24"/>
      <c r="WZ32" s="24"/>
      <c r="XA32" s="24"/>
      <c r="XB32" s="24"/>
      <c r="XC32" s="24"/>
      <c r="XD32" s="24"/>
      <c r="XE32" s="24"/>
      <c r="XF32" s="24"/>
      <c r="XG32" s="24"/>
      <c r="XH32" s="24"/>
      <c r="XI32" s="24"/>
      <c r="XJ32" s="24"/>
      <c r="XK32" s="24"/>
      <c r="XL32" s="24"/>
      <c r="XM32" s="24"/>
      <c r="XN32" s="24"/>
      <c r="XO32" s="24"/>
      <c r="XP32" s="24"/>
      <c r="XQ32" s="24"/>
      <c r="XR32" s="24"/>
      <c r="XS32" s="24"/>
      <c r="XT32" s="24"/>
      <c r="XU32" s="24"/>
      <c r="XV32" s="24"/>
      <c r="XW32" s="24"/>
      <c r="XX32" s="24"/>
      <c r="XY32" s="24"/>
      <c r="XZ32" s="24"/>
      <c r="YA32" s="24"/>
      <c r="YB32" s="24"/>
      <c r="YC32" s="24"/>
      <c r="YD32" s="24"/>
      <c r="YE32" s="24"/>
      <c r="YF32" s="24"/>
      <c r="YG32" s="24"/>
      <c r="YH32" s="24"/>
      <c r="YI32" s="24"/>
      <c r="YJ32" s="24"/>
      <c r="YK32" s="24"/>
      <c r="YL32" s="24"/>
      <c r="YM32" s="24"/>
      <c r="YN32" s="24"/>
      <c r="YO32" s="24"/>
      <c r="YP32" s="24"/>
      <c r="YQ32" s="24"/>
      <c r="YR32" s="24"/>
      <c r="YS32" s="24"/>
      <c r="YT32" s="24"/>
      <c r="YU32" s="24"/>
      <c r="YV32" s="24"/>
      <c r="YW32" s="24"/>
      <c r="YX32" s="24"/>
      <c r="YY32" s="24"/>
      <c r="YZ32" s="24"/>
      <c r="ZA32" s="24"/>
      <c r="ZB32" s="24"/>
      <c r="ZC32" s="24"/>
      <c r="ZD32" s="24"/>
      <c r="ZE32" s="24"/>
      <c r="ZF32" s="53"/>
    </row>
    <row r="33" spans="1:681" s="45" customFormat="1" ht="15" customHeight="1" x14ac:dyDescent="0.25">
      <c r="A33" s="30">
        <v>4000</v>
      </c>
      <c r="B33" s="129" t="s">
        <v>44</v>
      </c>
      <c r="C33" s="103" t="s">
        <v>49</v>
      </c>
      <c r="D33" s="5" t="s">
        <v>48</v>
      </c>
      <c r="E33" s="103" t="s">
        <v>66</v>
      </c>
      <c r="F33" s="5" t="s">
        <v>65</v>
      </c>
      <c r="G33" s="56">
        <v>2</v>
      </c>
      <c r="H33" s="46" t="s">
        <v>25</v>
      </c>
      <c r="I33" s="47"/>
      <c r="J33" s="48">
        <f ca="1">OFFSET(CBN_CDC!I55,0,2)</f>
        <v>80</v>
      </c>
      <c r="K33" s="241">
        <f ca="1">OFFSET(CBN_CDC!J55,0,2)</f>
        <v>10</v>
      </c>
      <c r="L33" s="241">
        <f ca="1">OFFSET(CBN_CDC!K55,0,2)</f>
        <v>160</v>
      </c>
      <c r="M33" s="241">
        <f ca="1">OFFSET(CBN_CDC!L55,0,2)</f>
        <v>80</v>
      </c>
      <c r="N33" s="241">
        <f ca="1">OFFSET(CBN_CDC!M55,0,2)</f>
        <v>40</v>
      </c>
      <c r="O33" s="241">
        <f ca="1">OFFSET(CBN_CDC!N55,0,2)</f>
        <v>120</v>
      </c>
      <c r="P33" s="241">
        <f ca="1">OFFSET(CBN_CDC!O55,0,2)</f>
        <v>170</v>
      </c>
      <c r="Q33" s="241">
        <f ca="1">OFFSET(CBN_CDC!P55,0,2)</f>
        <v>80</v>
      </c>
      <c r="R33" s="241">
        <f ca="1">OFFSET(CBN_CDC!Q55,0,2)</f>
        <v>150</v>
      </c>
      <c r="S33" s="241">
        <f ca="1">OFFSET(CBN_CDC!R55,0,2)</f>
        <v>40</v>
      </c>
      <c r="T33" s="241">
        <f ca="1">OFFSET(CBN_CDC!S55,0,2)</f>
        <v>40</v>
      </c>
      <c r="U33" s="241">
        <f ca="1">OFFSET(CBN_CDC!T55,0,2)</f>
        <v>70</v>
      </c>
      <c r="V33" s="241">
        <f ca="1">OFFSET(CBN_CDC!U55,0,2)</f>
        <v>120</v>
      </c>
      <c r="W33" s="241">
        <f ca="1">OFFSET(CBN_CDC!V55,0,2)</f>
        <v>170</v>
      </c>
      <c r="X33" s="241">
        <f ca="1">OFFSET(CBN_CDC!W55,0,2)</f>
        <v>170</v>
      </c>
      <c r="Y33" s="241">
        <f ca="1">OFFSET(CBN_CDC!X55,0,2)</f>
        <v>180</v>
      </c>
      <c r="Z33" s="241">
        <f ca="1">OFFSET(CBN_CDC!Y55,0,2)</f>
        <v>10</v>
      </c>
      <c r="AA33" s="241">
        <f ca="1">OFFSET(CBN_CDC!Z55,0,2)</f>
        <v>130</v>
      </c>
      <c r="AB33" s="241">
        <f ca="1">OFFSET(CBN_CDC!AA55,0,2)</f>
        <v>10</v>
      </c>
      <c r="AC33" s="241">
        <f ca="1">OFFSET(CBN_CDC!AB55,0,2)</f>
        <v>190</v>
      </c>
      <c r="AD33" s="241">
        <f ca="1">OFFSET(CBN_CDC!AC55,0,2)</f>
        <v>110</v>
      </c>
      <c r="AE33" s="241">
        <f ca="1">OFFSET(CBN_CDC!AD55,0,2)</f>
        <v>100</v>
      </c>
      <c r="AF33" s="241">
        <f ca="1">OFFSET(CBN_CDC!AE55,0,2)</f>
        <v>0</v>
      </c>
      <c r="AG33" s="241">
        <f ca="1">OFFSET(CBN_CDC!AF55,0,2)</f>
        <v>0</v>
      </c>
      <c r="AH33" s="241"/>
      <c r="AI33" s="241"/>
      <c r="AJ33" s="241"/>
      <c r="AK33" s="241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  <c r="FX33" s="23"/>
      <c r="FY33" s="23"/>
      <c r="FZ33" s="23"/>
      <c r="GA33" s="23"/>
      <c r="GB33" s="23"/>
      <c r="GC33" s="23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3"/>
      <c r="JE33" s="23"/>
      <c r="JF33" s="23"/>
      <c r="JG33" s="23"/>
      <c r="JH33" s="23"/>
      <c r="JI33" s="23"/>
      <c r="JJ33" s="23"/>
      <c r="JK33" s="23"/>
      <c r="JL33" s="23"/>
      <c r="JM33" s="23"/>
      <c r="JN33" s="23"/>
      <c r="JO33" s="23"/>
      <c r="JP33" s="23"/>
      <c r="JQ33" s="23"/>
      <c r="JR33" s="23"/>
      <c r="JS33" s="23"/>
      <c r="JT33" s="23"/>
      <c r="JU33" s="23"/>
      <c r="JV33" s="23"/>
      <c r="JW33" s="23"/>
      <c r="JX33" s="23"/>
      <c r="JY33" s="23"/>
      <c r="JZ33" s="23"/>
      <c r="KA33" s="23"/>
      <c r="KB33" s="23"/>
      <c r="KC33" s="23"/>
      <c r="KD33" s="23"/>
      <c r="KE33" s="23"/>
      <c r="KF33" s="23"/>
      <c r="KG33" s="23"/>
      <c r="KH33" s="23"/>
      <c r="KI33" s="23"/>
      <c r="KJ33" s="23"/>
      <c r="KK33" s="23"/>
      <c r="KL33" s="23"/>
      <c r="KM33" s="23"/>
      <c r="KN33" s="23"/>
      <c r="KO33" s="23"/>
      <c r="KP33" s="23"/>
      <c r="KQ33" s="23"/>
      <c r="KR33" s="23"/>
      <c r="KS33" s="23"/>
      <c r="KT33" s="23"/>
      <c r="KU33" s="23"/>
      <c r="KV33" s="23"/>
      <c r="KW33" s="23"/>
      <c r="KX33" s="23"/>
      <c r="KY33" s="23"/>
      <c r="KZ33" s="23"/>
      <c r="LA33" s="23"/>
      <c r="LB33" s="23"/>
      <c r="LC33" s="23"/>
      <c r="LD33" s="23"/>
      <c r="LE33" s="23"/>
      <c r="LF33" s="23"/>
      <c r="LG33" s="23"/>
      <c r="LH33" s="23"/>
      <c r="LI33" s="23"/>
      <c r="LJ33" s="23"/>
      <c r="LK33" s="23"/>
      <c r="LL33" s="23"/>
      <c r="LM33" s="23"/>
      <c r="LN33" s="23"/>
      <c r="LO33" s="23"/>
      <c r="LP33" s="23"/>
      <c r="LQ33" s="23"/>
      <c r="LR33" s="23"/>
      <c r="LS33" s="23"/>
      <c r="LT33" s="23"/>
      <c r="LU33" s="23"/>
      <c r="LV33" s="23"/>
      <c r="LW33" s="23"/>
      <c r="LX33" s="23"/>
      <c r="LY33" s="23"/>
      <c r="LZ33" s="23"/>
      <c r="MA33" s="23"/>
      <c r="MB33" s="23"/>
      <c r="MC33" s="23"/>
      <c r="MD33" s="23"/>
      <c r="ME33" s="23"/>
      <c r="MF33" s="23"/>
      <c r="MG33" s="23"/>
      <c r="MH33" s="23"/>
      <c r="MI33" s="23"/>
      <c r="MJ33" s="23"/>
      <c r="MK33" s="23"/>
      <c r="ML33" s="23"/>
      <c r="MM33" s="23"/>
      <c r="MN33" s="23"/>
      <c r="MO33" s="23"/>
      <c r="MP33" s="23"/>
      <c r="MQ33" s="23"/>
      <c r="MR33" s="23"/>
      <c r="MS33" s="23"/>
      <c r="MT33" s="23"/>
      <c r="MU33" s="23"/>
      <c r="MV33" s="23"/>
      <c r="MW33" s="23"/>
      <c r="MX33" s="23"/>
      <c r="MY33" s="23"/>
      <c r="MZ33" s="23"/>
      <c r="NA33" s="23"/>
      <c r="NB33" s="23"/>
      <c r="NC33" s="23"/>
      <c r="ND33" s="23"/>
      <c r="NE33" s="23"/>
      <c r="NF33" s="23"/>
      <c r="NG33" s="23"/>
      <c r="NH33" s="23"/>
      <c r="NI33" s="23"/>
      <c r="NJ33" s="23"/>
      <c r="NK33" s="23"/>
      <c r="NL33" s="23"/>
      <c r="NM33" s="23"/>
      <c r="NN33" s="23"/>
      <c r="NO33" s="23"/>
      <c r="NP33" s="23"/>
      <c r="NQ33" s="23"/>
      <c r="NR33" s="23"/>
      <c r="NS33" s="23"/>
      <c r="NT33" s="23"/>
      <c r="NU33" s="23"/>
      <c r="NV33" s="23"/>
      <c r="NW33" s="23"/>
      <c r="NX33" s="23"/>
      <c r="NY33" s="23"/>
      <c r="NZ33" s="23"/>
      <c r="OA33" s="23"/>
      <c r="OB33" s="23"/>
      <c r="OC33" s="23"/>
      <c r="OD33" s="23"/>
      <c r="OE33" s="23"/>
      <c r="OF33" s="23"/>
      <c r="OG33" s="23"/>
      <c r="OH33" s="23"/>
      <c r="OI33" s="23"/>
      <c r="OJ33" s="23"/>
      <c r="OK33" s="23"/>
      <c r="OL33" s="23"/>
      <c r="OM33" s="23"/>
      <c r="ON33" s="23"/>
      <c r="OO33" s="23"/>
      <c r="OP33" s="23"/>
      <c r="OQ33" s="23"/>
      <c r="OR33" s="23"/>
      <c r="OS33" s="23"/>
      <c r="OT33" s="23"/>
      <c r="OU33" s="23"/>
      <c r="OV33" s="23"/>
      <c r="OW33" s="23"/>
      <c r="OX33" s="23"/>
      <c r="OY33" s="23"/>
      <c r="OZ33" s="23"/>
      <c r="PA33" s="23"/>
      <c r="PB33" s="23"/>
      <c r="PC33" s="23"/>
      <c r="PD33" s="23"/>
      <c r="PE33" s="23"/>
      <c r="PF33" s="23"/>
      <c r="PG33" s="23"/>
      <c r="PH33" s="23"/>
      <c r="PI33" s="23"/>
      <c r="PJ33" s="23"/>
      <c r="PK33" s="23"/>
      <c r="PL33" s="23"/>
      <c r="PM33" s="23"/>
      <c r="PN33" s="23"/>
      <c r="PO33" s="23"/>
      <c r="PP33" s="23"/>
      <c r="PQ33" s="23"/>
      <c r="PR33" s="23"/>
      <c r="PS33" s="23"/>
      <c r="PT33" s="23"/>
      <c r="PU33" s="23"/>
      <c r="PV33" s="23"/>
      <c r="PW33" s="23"/>
      <c r="PX33" s="23"/>
      <c r="PY33" s="23"/>
      <c r="PZ33" s="23"/>
      <c r="QA33" s="23"/>
      <c r="QB33" s="23"/>
      <c r="QC33" s="23"/>
      <c r="QD33" s="23"/>
      <c r="QE33" s="23"/>
      <c r="QF33" s="23"/>
      <c r="QG33" s="23"/>
      <c r="QH33" s="23"/>
      <c r="QI33" s="23"/>
      <c r="QJ33" s="23"/>
      <c r="QK33" s="23"/>
      <c r="QL33" s="23"/>
      <c r="QM33" s="23"/>
      <c r="QN33" s="23"/>
      <c r="QO33" s="23"/>
      <c r="QP33" s="23"/>
      <c r="QQ33" s="23"/>
      <c r="QR33" s="23"/>
      <c r="QS33" s="23"/>
      <c r="QT33" s="23"/>
      <c r="QU33" s="23"/>
      <c r="QV33" s="23"/>
      <c r="QW33" s="23"/>
      <c r="QX33" s="23"/>
      <c r="QY33" s="23"/>
      <c r="QZ33" s="23"/>
      <c r="RA33" s="23"/>
      <c r="RB33" s="23"/>
      <c r="RC33" s="23"/>
      <c r="RD33" s="23"/>
      <c r="RE33" s="23"/>
      <c r="RF33" s="23"/>
      <c r="RG33" s="23"/>
      <c r="RH33" s="23"/>
      <c r="RI33" s="23"/>
      <c r="RJ33" s="23"/>
      <c r="RK33" s="23"/>
      <c r="RL33" s="23"/>
      <c r="RM33" s="23"/>
      <c r="RN33" s="23"/>
      <c r="RO33" s="23"/>
      <c r="RP33" s="23"/>
      <c r="RQ33" s="23"/>
      <c r="RR33" s="23"/>
      <c r="RS33" s="23"/>
      <c r="RT33" s="23"/>
      <c r="RU33" s="23"/>
      <c r="RV33" s="23"/>
      <c r="RW33" s="23"/>
      <c r="RX33" s="23"/>
      <c r="RY33" s="23"/>
      <c r="RZ33" s="23"/>
      <c r="SA33" s="23"/>
      <c r="SB33" s="23"/>
      <c r="SC33" s="23"/>
      <c r="SD33" s="23"/>
      <c r="SE33" s="23"/>
      <c r="SF33" s="23"/>
      <c r="SG33" s="23"/>
      <c r="SH33" s="23"/>
      <c r="SI33" s="23"/>
      <c r="SJ33" s="23"/>
      <c r="SK33" s="23"/>
      <c r="SL33" s="23"/>
      <c r="SM33" s="23"/>
      <c r="SN33" s="23"/>
      <c r="SO33" s="23"/>
      <c r="SP33" s="23"/>
      <c r="SQ33" s="23"/>
      <c r="SR33" s="23"/>
      <c r="SS33" s="23"/>
      <c r="ST33" s="23"/>
      <c r="SU33" s="23"/>
      <c r="SV33" s="23"/>
      <c r="SW33" s="23"/>
      <c r="SX33" s="23"/>
      <c r="SY33" s="23"/>
      <c r="SZ33" s="23"/>
      <c r="TA33" s="23"/>
      <c r="TB33" s="23"/>
      <c r="TC33" s="23"/>
      <c r="TD33" s="23"/>
      <c r="TE33" s="23"/>
      <c r="TF33" s="23"/>
      <c r="TG33" s="23"/>
      <c r="TH33" s="23"/>
      <c r="TI33" s="23"/>
      <c r="TJ33" s="23"/>
      <c r="TK33" s="23"/>
      <c r="TL33" s="23"/>
      <c r="TM33" s="23"/>
      <c r="TN33" s="23"/>
      <c r="TO33" s="23"/>
      <c r="TP33" s="23"/>
      <c r="TQ33" s="23"/>
      <c r="TR33" s="23"/>
      <c r="TS33" s="23"/>
      <c r="TT33" s="23"/>
      <c r="TU33" s="23"/>
      <c r="TV33" s="23"/>
      <c r="TW33" s="23"/>
      <c r="TX33" s="23"/>
      <c r="TY33" s="23"/>
      <c r="TZ33" s="23"/>
      <c r="UA33" s="23"/>
      <c r="UB33" s="23"/>
      <c r="UC33" s="23"/>
      <c r="UD33" s="23"/>
      <c r="UE33" s="23"/>
      <c r="UF33" s="23"/>
      <c r="UG33" s="23"/>
      <c r="UH33" s="23"/>
      <c r="UI33" s="23"/>
      <c r="UJ33" s="23"/>
      <c r="UK33" s="23"/>
      <c r="UL33" s="23"/>
      <c r="UM33" s="23"/>
      <c r="UN33" s="23"/>
      <c r="UO33" s="23"/>
      <c r="UP33" s="23"/>
      <c r="UQ33" s="23"/>
      <c r="UR33" s="23"/>
      <c r="US33" s="23"/>
      <c r="UT33" s="23"/>
      <c r="UU33" s="23"/>
      <c r="UV33" s="23"/>
      <c r="UW33" s="23"/>
      <c r="UX33" s="23"/>
      <c r="UY33" s="23"/>
      <c r="UZ33" s="23"/>
      <c r="VA33" s="23"/>
      <c r="VB33" s="23"/>
      <c r="VC33" s="23"/>
      <c r="VD33" s="23"/>
      <c r="VE33" s="23"/>
      <c r="VF33" s="23"/>
      <c r="VG33" s="23"/>
      <c r="VH33" s="23"/>
      <c r="VI33" s="23"/>
      <c r="VJ33" s="23"/>
      <c r="VK33" s="23"/>
      <c r="VL33" s="23"/>
      <c r="VM33" s="23"/>
      <c r="VN33" s="23"/>
      <c r="VO33" s="23"/>
      <c r="VP33" s="23"/>
      <c r="VQ33" s="23"/>
      <c r="VR33" s="23"/>
      <c r="VS33" s="23"/>
      <c r="VT33" s="23"/>
      <c r="VU33" s="23"/>
      <c r="VV33" s="23"/>
      <c r="VW33" s="23"/>
      <c r="VX33" s="23"/>
      <c r="VY33" s="23"/>
      <c r="VZ33" s="23"/>
      <c r="WA33" s="23"/>
      <c r="WB33" s="23"/>
      <c r="WC33" s="23"/>
      <c r="WD33" s="23"/>
      <c r="WE33" s="23"/>
      <c r="WF33" s="23"/>
      <c r="WG33" s="23"/>
      <c r="WH33" s="23"/>
      <c r="WI33" s="23"/>
      <c r="WJ33" s="23"/>
      <c r="WK33" s="23"/>
      <c r="WL33" s="23"/>
      <c r="WM33" s="23"/>
      <c r="WN33" s="23"/>
      <c r="WO33" s="23"/>
      <c r="WP33" s="23"/>
      <c r="WQ33" s="23"/>
      <c r="WR33" s="23"/>
      <c r="WS33" s="23"/>
      <c r="WT33" s="23"/>
      <c r="WU33" s="23"/>
      <c r="WV33" s="23"/>
      <c r="WW33" s="23"/>
      <c r="WX33" s="23"/>
      <c r="WY33" s="23"/>
      <c r="WZ33" s="23"/>
      <c r="XA33" s="23"/>
      <c r="XB33" s="23"/>
      <c r="XC33" s="23"/>
      <c r="XD33" s="23"/>
      <c r="XE33" s="23"/>
      <c r="XF33" s="23"/>
      <c r="XG33" s="23"/>
      <c r="XH33" s="23"/>
      <c r="XI33" s="23"/>
      <c r="XJ33" s="23"/>
      <c r="XK33" s="23"/>
      <c r="XL33" s="23"/>
      <c r="XM33" s="23"/>
      <c r="XN33" s="23"/>
      <c r="XO33" s="23"/>
      <c r="XP33" s="23"/>
      <c r="XQ33" s="23"/>
      <c r="XR33" s="23"/>
      <c r="XS33" s="23"/>
      <c r="XT33" s="23"/>
      <c r="XU33" s="23"/>
      <c r="XV33" s="23"/>
      <c r="XW33" s="23"/>
      <c r="XX33" s="23"/>
      <c r="XY33" s="23"/>
      <c r="XZ33" s="23"/>
      <c r="YA33" s="23"/>
      <c r="YB33" s="23"/>
      <c r="YC33" s="23"/>
      <c r="YD33" s="23"/>
      <c r="YE33" s="23"/>
      <c r="YF33" s="23"/>
      <c r="YG33" s="23"/>
      <c r="YH33" s="23"/>
      <c r="YI33" s="23"/>
      <c r="YJ33" s="23"/>
      <c r="YK33" s="23"/>
      <c r="YL33" s="23"/>
      <c r="YM33" s="23"/>
      <c r="YN33" s="23"/>
      <c r="YO33" s="23"/>
      <c r="YP33" s="23"/>
      <c r="YQ33" s="23"/>
      <c r="YR33" s="23"/>
      <c r="YS33" s="23"/>
      <c r="YT33" s="23"/>
      <c r="YU33" s="23"/>
      <c r="YV33" s="23"/>
      <c r="YW33" s="23"/>
      <c r="YX33" s="23"/>
      <c r="YY33" s="23"/>
      <c r="YZ33" s="23"/>
      <c r="ZA33" s="23"/>
      <c r="ZB33" s="23"/>
      <c r="ZC33" s="23"/>
      <c r="ZD33" s="23"/>
      <c r="ZE33" s="52"/>
    </row>
    <row r="34" spans="1:681" s="50" customFormat="1" x14ac:dyDescent="0.25">
      <c r="A34" s="30">
        <v>4000</v>
      </c>
      <c r="B34" s="129" t="s">
        <v>44</v>
      </c>
      <c r="C34" s="103" t="s">
        <v>66</v>
      </c>
      <c r="D34" s="5" t="s">
        <v>65</v>
      </c>
      <c r="E34" s="103" t="s">
        <v>49</v>
      </c>
      <c r="F34" s="5" t="s">
        <v>48</v>
      </c>
      <c r="G34" s="56">
        <v>2</v>
      </c>
      <c r="H34" s="46" t="s">
        <v>42</v>
      </c>
      <c r="I34" s="47"/>
      <c r="J34" s="48">
        <f ca="1">OFFSET(MJ_Initialisation!D50,0,2)</f>
        <v>80</v>
      </c>
      <c r="K34" s="48">
        <f ca="1">OFFSET(MJ_Initialisation!E50,0,2)</f>
        <v>10</v>
      </c>
      <c r="L34" s="48">
        <f ca="1">OFFSET(MJ_Initialisation!F50,0,2)</f>
        <v>160</v>
      </c>
      <c r="M34" s="48">
        <f ca="1">OFFSET(MJ_Initialisation!G50,0,2)</f>
        <v>80</v>
      </c>
      <c r="N34" s="48">
        <f ca="1">OFFSET(MJ_Initialisation!H50,0,2)</f>
        <v>40</v>
      </c>
      <c r="O34" s="48">
        <f ca="1">OFFSET(MJ_Initialisation!I50,0,2)</f>
        <v>120</v>
      </c>
      <c r="P34" s="48">
        <f ca="1">OFFSET(MJ_Initialisation!J50,0,2)</f>
        <v>170</v>
      </c>
      <c r="Q34" s="48">
        <f ca="1">OFFSET(MJ_Initialisation!K50,0,2)</f>
        <v>80</v>
      </c>
      <c r="R34" s="48">
        <f ca="1">OFFSET(MJ_Initialisation!L50,0,2)</f>
        <v>150</v>
      </c>
      <c r="S34" s="48">
        <f ca="1">OFFSET(MJ_Initialisation!M50,0,2)</f>
        <v>40</v>
      </c>
      <c r="T34" s="48">
        <f ca="1">OFFSET(MJ_Initialisation!N50,0,2)</f>
        <v>40</v>
      </c>
      <c r="U34" s="48">
        <f ca="1">OFFSET(MJ_Initialisation!O50,0,2)</f>
        <v>70</v>
      </c>
      <c r="V34" s="48">
        <f ca="1">OFFSET(MJ_Initialisation!P50,0,2)</f>
        <v>120</v>
      </c>
      <c r="W34" s="48">
        <f ca="1">OFFSET(MJ_Initialisation!Q50,0,2)</f>
        <v>170</v>
      </c>
      <c r="X34" s="48">
        <f ca="1">OFFSET(MJ_Initialisation!R50,0,2)</f>
        <v>170</v>
      </c>
      <c r="Y34" s="48">
        <f ca="1">OFFSET(MJ_Initialisation!S50,0,2)</f>
        <v>180</v>
      </c>
      <c r="Z34" s="48">
        <f ca="1">OFFSET(MJ_Initialisation!T50,0,2)</f>
        <v>10</v>
      </c>
      <c r="AA34" s="48">
        <f ca="1">OFFSET(MJ_Initialisation!U50,0,2)</f>
        <v>130</v>
      </c>
      <c r="AB34" s="48">
        <f ca="1">OFFSET(MJ_Initialisation!V50,0,2)</f>
        <v>10</v>
      </c>
      <c r="AC34" s="48">
        <f ca="1">OFFSET(MJ_Initialisation!W50,0,2)</f>
        <v>190</v>
      </c>
      <c r="AD34" s="48">
        <f ca="1">OFFSET(MJ_Initialisation!X50,0,2)</f>
        <v>110</v>
      </c>
      <c r="AE34" s="48">
        <f ca="1">OFFSET(MJ_Initialisation!Y50,0,2)</f>
        <v>100</v>
      </c>
      <c r="AF34" s="48">
        <f ca="1">OFFSET(MJ_Initialisation!Z50,0,2)</f>
        <v>0</v>
      </c>
      <c r="AG34" s="48">
        <f ca="1">OFFSET(MJ_Initialisation!AA50,0,2)</f>
        <v>0</v>
      </c>
      <c r="AH34" s="241"/>
      <c r="AI34" s="241"/>
      <c r="AJ34" s="241"/>
      <c r="AK34" s="241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  <c r="FX34" s="23"/>
      <c r="FY34" s="23"/>
      <c r="FZ34" s="23"/>
      <c r="GA34" s="23"/>
      <c r="GB34" s="23"/>
      <c r="GC34" s="23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3"/>
      <c r="JE34" s="23"/>
      <c r="JF34" s="23"/>
      <c r="JG34" s="23"/>
      <c r="JH34" s="23"/>
      <c r="JI34" s="23"/>
      <c r="JJ34" s="23"/>
      <c r="JK34" s="23"/>
      <c r="JL34" s="23"/>
      <c r="JM34" s="23"/>
      <c r="JN34" s="23"/>
      <c r="JO34" s="23"/>
      <c r="JP34" s="23"/>
      <c r="JQ34" s="23"/>
      <c r="JR34" s="23"/>
      <c r="JS34" s="23"/>
      <c r="JT34" s="23"/>
      <c r="JU34" s="23"/>
      <c r="JV34" s="23"/>
      <c r="JW34" s="23"/>
      <c r="JX34" s="23"/>
      <c r="JY34" s="23"/>
      <c r="JZ34" s="23"/>
      <c r="KA34" s="23"/>
      <c r="KB34" s="23"/>
      <c r="KC34" s="23"/>
      <c r="KD34" s="23"/>
      <c r="KE34" s="23"/>
      <c r="KF34" s="23"/>
      <c r="KG34" s="23"/>
      <c r="KH34" s="23"/>
      <c r="KI34" s="23"/>
      <c r="KJ34" s="23"/>
      <c r="KK34" s="23"/>
      <c r="KL34" s="23"/>
      <c r="KM34" s="23"/>
      <c r="KN34" s="23"/>
      <c r="KO34" s="23"/>
      <c r="KP34" s="23"/>
      <c r="KQ34" s="23"/>
      <c r="KR34" s="23"/>
      <c r="KS34" s="23"/>
      <c r="KT34" s="23"/>
      <c r="KU34" s="23"/>
      <c r="KV34" s="23"/>
      <c r="KW34" s="23"/>
      <c r="KX34" s="23"/>
      <c r="KY34" s="23"/>
      <c r="KZ34" s="23"/>
      <c r="LA34" s="23"/>
      <c r="LB34" s="23"/>
      <c r="LC34" s="23"/>
      <c r="LD34" s="23"/>
      <c r="LE34" s="23"/>
      <c r="LF34" s="23"/>
      <c r="LG34" s="23"/>
      <c r="LH34" s="23"/>
      <c r="LI34" s="23"/>
      <c r="LJ34" s="23"/>
      <c r="LK34" s="23"/>
      <c r="LL34" s="23"/>
      <c r="LM34" s="23"/>
      <c r="LN34" s="23"/>
      <c r="LO34" s="23"/>
      <c r="LP34" s="23"/>
      <c r="LQ34" s="23"/>
      <c r="LR34" s="23"/>
      <c r="LS34" s="23"/>
      <c r="LT34" s="23"/>
      <c r="LU34" s="23"/>
      <c r="LV34" s="23"/>
      <c r="LW34" s="23"/>
      <c r="LX34" s="23"/>
      <c r="LY34" s="23"/>
      <c r="LZ34" s="23"/>
      <c r="MA34" s="23"/>
      <c r="MB34" s="23"/>
      <c r="MC34" s="23"/>
      <c r="MD34" s="23"/>
      <c r="ME34" s="23"/>
      <c r="MF34" s="23"/>
      <c r="MG34" s="23"/>
      <c r="MH34" s="23"/>
      <c r="MI34" s="23"/>
      <c r="MJ34" s="23"/>
      <c r="MK34" s="23"/>
      <c r="ML34" s="23"/>
      <c r="MM34" s="23"/>
      <c r="MN34" s="23"/>
      <c r="MO34" s="23"/>
      <c r="MP34" s="23"/>
      <c r="MQ34" s="23"/>
      <c r="MR34" s="23"/>
      <c r="MS34" s="23"/>
      <c r="MT34" s="23"/>
      <c r="MU34" s="23"/>
      <c r="MV34" s="23"/>
      <c r="MW34" s="23"/>
      <c r="MX34" s="23"/>
      <c r="MY34" s="23"/>
      <c r="MZ34" s="23"/>
      <c r="NA34" s="23"/>
      <c r="NB34" s="23"/>
      <c r="NC34" s="23"/>
      <c r="ND34" s="23"/>
      <c r="NE34" s="23"/>
      <c r="NF34" s="23"/>
      <c r="NG34" s="23"/>
      <c r="NH34" s="23"/>
      <c r="NI34" s="23"/>
      <c r="NJ34" s="23"/>
      <c r="NK34" s="23"/>
      <c r="NL34" s="23"/>
      <c r="NM34" s="23"/>
      <c r="NN34" s="23"/>
      <c r="NO34" s="23"/>
      <c r="NP34" s="23"/>
      <c r="NQ34" s="23"/>
      <c r="NR34" s="23"/>
      <c r="NS34" s="23"/>
      <c r="NT34" s="23"/>
      <c r="NU34" s="23"/>
      <c r="NV34" s="23"/>
      <c r="NW34" s="23"/>
      <c r="NX34" s="23"/>
      <c r="NY34" s="23"/>
      <c r="NZ34" s="23"/>
      <c r="OA34" s="23"/>
      <c r="OB34" s="23"/>
      <c r="OC34" s="23"/>
      <c r="OD34" s="23"/>
      <c r="OE34" s="23"/>
      <c r="OF34" s="23"/>
      <c r="OG34" s="23"/>
      <c r="OH34" s="23"/>
      <c r="OI34" s="23"/>
      <c r="OJ34" s="23"/>
      <c r="OK34" s="23"/>
      <c r="OL34" s="23"/>
      <c r="OM34" s="23"/>
      <c r="ON34" s="23"/>
      <c r="OO34" s="23"/>
      <c r="OP34" s="23"/>
      <c r="OQ34" s="23"/>
      <c r="OR34" s="23"/>
      <c r="OS34" s="23"/>
      <c r="OT34" s="23"/>
      <c r="OU34" s="23"/>
      <c r="OV34" s="23"/>
      <c r="OW34" s="23"/>
      <c r="OX34" s="23"/>
      <c r="OY34" s="23"/>
      <c r="OZ34" s="23"/>
      <c r="PA34" s="23"/>
      <c r="PB34" s="23"/>
      <c r="PC34" s="23"/>
      <c r="PD34" s="23"/>
      <c r="PE34" s="23"/>
      <c r="PF34" s="23"/>
      <c r="PG34" s="23"/>
      <c r="PH34" s="23"/>
      <c r="PI34" s="23"/>
      <c r="PJ34" s="23"/>
      <c r="PK34" s="23"/>
      <c r="PL34" s="23"/>
      <c r="PM34" s="23"/>
      <c r="PN34" s="23"/>
      <c r="PO34" s="23"/>
      <c r="PP34" s="23"/>
      <c r="PQ34" s="23"/>
      <c r="PR34" s="23"/>
      <c r="PS34" s="23"/>
      <c r="PT34" s="23"/>
      <c r="PU34" s="23"/>
      <c r="PV34" s="23"/>
      <c r="PW34" s="23"/>
      <c r="PX34" s="23"/>
      <c r="PY34" s="23"/>
      <c r="PZ34" s="23"/>
      <c r="QA34" s="23"/>
      <c r="QB34" s="23"/>
      <c r="QC34" s="23"/>
      <c r="QD34" s="23"/>
      <c r="QE34" s="23"/>
      <c r="QF34" s="23"/>
      <c r="QG34" s="23"/>
      <c r="QH34" s="23"/>
      <c r="QI34" s="23"/>
      <c r="QJ34" s="23"/>
      <c r="QK34" s="23"/>
      <c r="QL34" s="23"/>
      <c r="QM34" s="23"/>
      <c r="QN34" s="23"/>
      <c r="QO34" s="23"/>
      <c r="QP34" s="23"/>
      <c r="QQ34" s="23"/>
      <c r="QR34" s="23"/>
      <c r="QS34" s="23"/>
      <c r="QT34" s="23"/>
      <c r="QU34" s="23"/>
      <c r="QV34" s="23"/>
      <c r="QW34" s="23"/>
      <c r="QX34" s="23"/>
      <c r="QY34" s="23"/>
      <c r="QZ34" s="23"/>
      <c r="RA34" s="23"/>
      <c r="RB34" s="23"/>
      <c r="RC34" s="23"/>
      <c r="RD34" s="23"/>
      <c r="RE34" s="23"/>
      <c r="RF34" s="23"/>
      <c r="RG34" s="23"/>
      <c r="RH34" s="23"/>
      <c r="RI34" s="23"/>
      <c r="RJ34" s="23"/>
      <c r="RK34" s="23"/>
      <c r="RL34" s="23"/>
      <c r="RM34" s="23"/>
      <c r="RN34" s="23"/>
      <c r="RO34" s="23"/>
      <c r="RP34" s="23"/>
      <c r="RQ34" s="23"/>
      <c r="RR34" s="23"/>
      <c r="RS34" s="23"/>
      <c r="RT34" s="23"/>
      <c r="RU34" s="23"/>
      <c r="RV34" s="23"/>
      <c r="RW34" s="23"/>
      <c r="RX34" s="23"/>
      <c r="RY34" s="23"/>
      <c r="RZ34" s="23"/>
      <c r="SA34" s="23"/>
      <c r="SB34" s="23"/>
      <c r="SC34" s="23"/>
      <c r="SD34" s="23"/>
      <c r="SE34" s="23"/>
      <c r="SF34" s="23"/>
      <c r="SG34" s="23"/>
      <c r="SH34" s="23"/>
      <c r="SI34" s="23"/>
      <c r="SJ34" s="23"/>
      <c r="SK34" s="23"/>
      <c r="SL34" s="23"/>
      <c r="SM34" s="23"/>
      <c r="SN34" s="23"/>
      <c r="SO34" s="23"/>
      <c r="SP34" s="23"/>
      <c r="SQ34" s="23"/>
      <c r="SR34" s="23"/>
      <c r="SS34" s="23"/>
      <c r="ST34" s="23"/>
      <c r="SU34" s="23"/>
      <c r="SV34" s="23"/>
      <c r="SW34" s="23"/>
      <c r="SX34" s="23"/>
      <c r="SY34" s="23"/>
      <c r="SZ34" s="23"/>
      <c r="TA34" s="23"/>
      <c r="TB34" s="23"/>
      <c r="TC34" s="23"/>
      <c r="TD34" s="23"/>
      <c r="TE34" s="23"/>
      <c r="TF34" s="23"/>
      <c r="TG34" s="23"/>
      <c r="TH34" s="23"/>
      <c r="TI34" s="23"/>
      <c r="TJ34" s="23"/>
      <c r="TK34" s="23"/>
      <c r="TL34" s="23"/>
      <c r="TM34" s="23"/>
      <c r="TN34" s="23"/>
      <c r="TO34" s="23"/>
      <c r="TP34" s="23"/>
      <c r="TQ34" s="23"/>
      <c r="TR34" s="23"/>
      <c r="TS34" s="23"/>
      <c r="TT34" s="23"/>
      <c r="TU34" s="23"/>
      <c r="TV34" s="23"/>
      <c r="TW34" s="23"/>
      <c r="TX34" s="23"/>
      <c r="TY34" s="23"/>
      <c r="TZ34" s="23"/>
      <c r="UA34" s="23"/>
      <c r="UB34" s="23"/>
      <c r="UC34" s="23"/>
      <c r="UD34" s="23"/>
      <c r="UE34" s="23"/>
      <c r="UF34" s="23"/>
      <c r="UG34" s="23"/>
      <c r="UH34" s="23"/>
      <c r="UI34" s="23"/>
      <c r="UJ34" s="23"/>
      <c r="UK34" s="23"/>
      <c r="UL34" s="23"/>
      <c r="UM34" s="23"/>
      <c r="UN34" s="23"/>
      <c r="UO34" s="23"/>
      <c r="UP34" s="23"/>
      <c r="UQ34" s="23"/>
      <c r="UR34" s="23"/>
      <c r="US34" s="23"/>
      <c r="UT34" s="23"/>
      <c r="UU34" s="23"/>
      <c r="UV34" s="23"/>
      <c r="UW34" s="23"/>
      <c r="UX34" s="23"/>
      <c r="UY34" s="23"/>
      <c r="UZ34" s="23"/>
      <c r="VA34" s="23"/>
      <c r="VB34" s="23"/>
      <c r="VC34" s="23"/>
      <c r="VD34" s="23"/>
      <c r="VE34" s="23"/>
      <c r="VF34" s="23"/>
      <c r="VG34" s="23"/>
      <c r="VH34" s="23"/>
      <c r="VI34" s="23"/>
      <c r="VJ34" s="23"/>
      <c r="VK34" s="23"/>
      <c r="VL34" s="23"/>
      <c r="VM34" s="23"/>
      <c r="VN34" s="23"/>
      <c r="VO34" s="23"/>
      <c r="VP34" s="23"/>
      <c r="VQ34" s="23"/>
      <c r="VR34" s="23"/>
      <c r="VS34" s="23"/>
      <c r="VT34" s="23"/>
      <c r="VU34" s="23"/>
      <c r="VV34" s="23"/>
      <c r="VW34" s="23"/>
      <c r="VX34" s="23"/>
      <c r="VY34" s="23"/>
      <c r="VZ34" s="23"/>
      <c r="WA34" s="23"/>
      <c r="WB34" s="23"/>
      <c r="WC34" s="23"/>
      <c r="WD34" s="23"/>
      <c r="WE34" s="23"/>
      <c r="WF34" s="23"/>
      <c r="WG34" s="23"/>
      <c r="WH34" s="23"/>
      <c r="WI34" s="23"/>
      <c r="WJ34" s="23"/>
      <c r="WK34" s="23"/>
      <c r="WL34" s="23"/>
      <c r="WM34" s="23"/>
      <c r="WN34" s="23"/>
      <c r="WO34" s="23"/>
      <c r="WP34" s="23"/>
      <c r="WQ34" s="23"/>
      <c r="WR34" s="23"/>
      <c r="WS34" s="23"/>
      <c r="WT34" s="23"/>
      <c r="WU34" s="23"/>
      <c r="WV34" s="23"/>
      <c r="WW34" s="23"/>
      <c r="WX34" s="23"/>
      <c r="WY34" s="23"/>
      <c r="WZ34" s="23"/>
      <c r="XA34" s="23"/>
      <c r="XB34" s="23"/>
      <c r="XC34" s="23"/>
      <c r="XD34" s="23"/>
      <c r="XE34" s="23"/>
      <c r="XF34" s="23"/>
      <c r="XG34" s="23"/>
      <c r="XH34" s="23"/>
      <c r="XI34" s="23"/>
      <c r="XJ34" s="23"/>
      <c r="XK34" s="23"/>
      <c r="XL34" s="23"/>
      <c r="XM34" s="23"/>
      <c r="XN34" s="23"/>
      <c r="XO34" s="23"/>
      <c r="XP34" s="23"/>
      <c r="XQ34" s="23"/>
      <c r="XR34" s="23"/>
      <c r="XS34" s="23"/>
      <c r="XT34" s="23"/>
      <c r="XU34" s="23"/>
      <c r="XV34" s="23"/>
      <c r="XW34" s="23"/>
      <c r="XX34" s="23"/>
      <c r="XY34" s="23"/>
      <c r="XZ34" s="23"/>
      <c r="YA34" s="23"/>
      <c r="YB34" s="23"/>
      <c r="YC34" s="23"/>
      <c r="YD34" s="23"/>
      <c r="YE34" s="23"/>
      <c r="YF34" s="23"/>
      <c r="YG34" s="23"/>
      <c r="YH34" s="23"/>
      <c r="YI34" s="23"/>
      <c r="YJ34" s="23"/>
      <c r="YK34" s="23"/>
      <c r="YL34" s="23"/>
      <c r="YM34" s="23"/>
      <c r="YN34" s="23"/>
      <c r="YO34" s="23"/>
      <c r="YP34" s="23"/>
      <c r="YQ34" s="23"/>
      <c r="YR34" s="23"/>
      <c r="YS34" s="23"/>
      <c r="YT34" s="23"/>
      <c r="YU34" s="23"/>
      <c r="YV34" s="23"/>
      <c r="YW34" s="23"/>
      <c r="YX34" s="23"/>
      <c r="YY34" s="23"/>
      <c r="YZ34" s="23"/>
      <c r="ZA34" s="23"/>
      <c r="ZB34" s="23"/>
      <c r="ZC34" s="23"/>
      <c r="ZD34" s="23"/>
      <c r="ZE34" s="53"/>
    </row>
    <row r="35" spans="1:681" s="50" customFormat="1" x14ac:dyDescent="0.25">
      <c r="A35" s="30">
        <v>4000</v>
      </c>
      <c r="B35" s="129" t="s">
        <v>44</v>
      </c>
      <c r="C35" s="103" t="s">
        <v>66</v>
      </c>
      <c r="D35" s="5" t="s">
        <v>65</v>
      </c>
      <c r="E35" s="103" t="s">
        <v>49</v>
      </c>
      <c r="F35" s="5" t="s">
        <v>48</v>
      </c>
      <c r="G35" s="56">
        <v>2</v>
      </c>
      <c r="H35" s="46" t="s">
        <v>43</v>
      </c>
      <c r="I35" s="47"/>
      <c r="J35" s="48">
        <f ca="1">OFFSET(MJ_Initialisation!D51,0,2)</f>
        <v>0</v>
      </c>
      <c r="K35" s="48">
        <f ca="1">OFFSET(MJ_Initialisation!E51,0,2)</f>
        <v>0</v>
      </c>
      <c r="L35" s="48">
        <f ca="1">OFFSET(MJ_Initialisation!F51,0,2)</f>
        <v>0</v>
      </c>
      <c r="M35" s="48">
        <f ca="1">OFFSET(MJ_Initialisation!G51,0,2)</f>
        <v>0</v>
      </c>
      <c r="N35" s="48">
        <f ca="1">OFFSET(MJ_Initialisation!H51,0,2)</f>
        <v>0</v>
      </c>
      <c r="O35" s="48">
        <f ca="1">OFFSET(MJ_Initialisation!I51,0,2)</f>
        <v>0</v>
      </c>
      <c r="P35" s="48">
        <f ca="1">OFFSET(MJ_Initialisation!J51,0,2)</f>
        <v>0</v>
      </c>
      <c r="Q35" s="48">
        <f ca="1">OFFSET(MJ_Initialisation!K51,0,2)</f>
        <v>0</v>
      </c>
      <c r="R35" s="48">
        <f ca="1">OFFSET(MJ_Initialisation!L51,0,2)</f>
        <v>0</v>
      </c>
      <c r="S35" s="48">
        <f ca="1">OFFSET(MJ_Initialisation!M51,0,2)</f>
        <v>0</v>
      </c>
      <c r="T35" s="48">
        <f ca="1">OFFSET(MJ_Initialisation!N51,0,2)</f>
        <v>0</v>
      </c>
      <c r="U35" s="48">
        <f ca="1">OFFSET(MJ_Initialisation!O51,0,2)</f>
        <v>0</v>
      </c>
      <c r="V35" s="48">
        <f ca="1">OFFSET(MJ_Initialisation!P51,0,2)</f>
        <v>0</v>
      </c>
      <c r="W35" s="48">
        <f ca="1">OFFSET(MJ_Initialisation!Q51,0,2)</f>
        <v>0</v>
      </c>
      <c r="X35" s="48">
        <f ca="1">OFFSET(MJ_Initialisation!R51,0,2)</f>
        <v>0</v>
      </c>
      <c r="Y35" s="48">
        <f ca="1">OFFSET(MJ_Initialisation!S51,0,2)</f>
        <v>0</v>
      </c>
      <c r="Z35" s="48">
        <f ca="1">OFFSET(MJ_Initialisation!T51,0,2)</f>
        <v>0</v>
      </c>
      <c r="AA35" s="48">
        <f ca="1">OFFSET(MJ_Initialisation!U51,0,2)</f>
        <v>0</v>
      </c>
      <c r="AB35" s="48">
        <f ca="1">OFFSET(MJ_Initialisation!V51,0,2)</f>
        <v>0</v>
      </c>
      <c r="AC35" s="48">
        <f ca="1">OFFSET(MJ_Initialisation!W51,0,2)</f>
        <v>0</v>
      </c>
      <c r="AD35" s="48">
        <f ca="1">OFFSET(MJ_Initialisation!X51,0,2)</f>
        <v>0</v>
      </c>
      <c r="AE35" s="48">
        <f ca="1">OFFSET(MJ_Initialisation!Y51,0,2)</f>
        <v>0</v>
      </c>
      <c r="AF35" s="48">
        <f ca="1">OFFSET(MJ_Initialisation!Z51,0,2)</f>
        <v>0</v>
      </c>
      <c r="AG35" s="48">
        <f ca="1">OFFSET(MJ_Initialisation!AA51,0,2)</f>
        <v>0</v>
      </c>
      <c r="AH35" s="241"/>
      <c r="AI35" s="241"/>
      <c r="AJ35" s="241"/>
      <c r="AK35" s="241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  <c r="FX35" s="23"/>
      <c r="FY35" s="23"/>
      <c r="FZ35" s="23"/>
      <c r="GA35" s="23"/>
      <c r="GB35" s="23"/>
      <c r="GC35" s="23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3"/>
      <c r="JE35" s="23"/>
      <c r="JF35" s="23"/>
      <c r="JG35" s="23"/>
      <c r="JH35" s="23"/>
      <c r="JI35" s="23"/>
      <c r="JJ35" s="23"/>
      <c r="JK35" s="23"/>
      <c r="JL35" s="23"/>
      <c r="JM35" s="23"/>
      <c r="JN35" s="23"/>
      <c r="JO35" s="23"/>
      <c r="JP35" s="23"/>
      <c r="JQ35" s="23"/>
      <c r="JR35" s="23"/>
      <c r="JS35" s="23"/>
      <c r="JT35" s="23"/>
      <c r="JU35" s="23"/>
      <c r="JV35" s="23"/>
      <c r="JW35" s="23"/>
      <c r="JX35" s="23"/>
      <c r="JY35" s="23"/>
      <c r="JZ35" s="23"/>
      <c r="KA35" s="23"/>
      <c r="KB35" s="23"/>
      <c r="KC35" s="23"/>
      <c r="KD35" s="23"/>
      <c r="KE35" s="23"/>
      <c r="KF35" s="23"/>
      <c r="KG35" s="23"/>
      <c r="KH35" s="23"/>
      <c r="KI35" s="23"/>
      <c r="KJ35" s="23"/>
      <c r="KK35" s="23"/>
      <c r="KL35" s="23"/>
      <c r="KM35" s="23"/>
      <c r="KN35" s="23"/>
      <c r="KO35" s="23"/>
      <c r="KP35" s="23"/>
      <c r="KQ35" s="23"/>
      <c r="KR35" s="23"/>
      <c r="KS35" s="23"/>
      <c r="KT35" s="23"/>
      <c r="KU35" s="23"/>
      <c r="KV35" s="23"/>
      <c r="KW35" s="23"/>
      <c r="KX35" s="23"/>
      <c r="KY35" s="23"/>
      <c r="KZ35" s="23"/>
      <c r="LA35" s="23"/>
      <c r="LB35" s="23"/>
      <c r="LC35" s="23"/>
      <c r="LD35" s="23"/>
      <c r="LE35" s="23"/>
      <c r="LF35" s="23"/>
      <c r="LG35" s="23"/>
      <c r="LH35" s="23"/>
      <c r="LI35" s="23"/>
      <c r="LJ35" s="23"/>
      <c r="LK35" s="23"/>
      <c r="LL35" s="23"/>
      <c r="LM35" s="23"/>
      <c r="LN35" s="23"/>
      <c r="LO35" s="23"/>
      <c r="LP35" s="23"/>
      <c r="LQ35" s="23"/>
      <c r="LR35" s="23"/>
      <c r="LS35" s="23"/>
      <c r="LT35" s="23"/>
      <c r="LU35" s="23"/>
      <c r="LV35" s="23"/>
      <c r="LW35" s="23"/>
      <c r="LX35" s="23"/>
      <c r="LY35" s="23"/>
      <c r="LZ35" s="23"/>
      <c r="MA35" s="23"/>
      <c r="MB35" s="23"/>
      <c r="MC35" s="23"/>
      <c r="MD35" s="23"/>
      <c r="ME35" s="23"/>
      <c r="MF35" s="23"/>
      <c r="MG35" s="23"/>
      <c r="MH35" s="23"/>
      <c r="MI35" s="23"/>
      <c r="MJ35" s="23"/>
      <c r="MK35" s="23"/>
      <c r="ML35" s="23"/>
      <c r="MM35" s="23"/>
      <c r="MN35" s="23"/>
      <c r="MO35" s="23"/>
      <c r="MP35" s="23"/>
      <c r="MQ35" s="23"/>
      <c r="MR35" s="23"/>
      <c r="MS35" s="23"/>
      <c r="MT35" s="23"/>
      <c r="MU35" s="23"/>
      <c r="MV35" s="23"/>
      <c r="MW35" s="23"/>
      <c r="MX35" s="23"/>
      <c r="MY35" s="23"/>
      <c r="MZ35" s="23"/>
      <c r="NA35" s="23"/>
      <c r="NB35" s="23"/>
      <c r="NC35" s="23"/>
      <c r="ND35" s="23"/>
      <c r="NE35" s="23"/>
      <c r="NF35" s="23"/>
      <c r="NG35" s="23"/>
      <c r="NH35" s="23"/>
      <c r="NI35" s="23"/>
      <c r="NJ35" s="23"/>
      <c r="NK35" s="23"/>
      <c r="NL35" s="23"/>
      <c r="NM35" s="23"/>
      <c r="NN35" s="23"/>
      <c r="NO35" s="23"/>
      <c r="NP35" s="23"/>
      <c r="NQ35" s="23"/>
      <c r="NR35" s="23"/>
      <c r="NS35" s="23"/>
      <c r="NT35" s="23"/>
      <c r="NU35" s="23"/>
      <c r="NV35" s="23"/>
      <c r="NW35" s="23"/>
      <c r="NX35" s="23"/>
      <c r="NY35" s="23"/>
      <c r="NZ35" s="23"/>
      <c r="OA35" s="23"/>
      <c r="OB35" s="23"/>
      <c r="OC35" s="23"/>
      <c r="OD35" s="23"/>
      <c r="OE35" s="23"/>
      <c r="OF35" s="23"/>
      <c r="OG35" s="23"/>
      <c r="OH35" s="23"/>
      <c r="OI35" s="23"/>
      <c r="OJ35" s="23"/>
      <c r="OK35" s="23"/>
      <c r="OL35" s="23"/>
      <c r="OM35" s="23"/>
      <c r="ON35" s="23"/>
      <c r="OO35" s="23"/>
      <c r="OP35" s="23"/>
      <c r="OQ35" s="23"/>
      <c r="OR35" s="23"/>
      <c r="OS35" s="23"/>
      <c r="OT35" s="23"/>
      <c r="OU35" s="23"/>
      <c r="OV35" s="23"/>
      <c r="OW35" s="23"/>
      <c r="OX35" s="23"/>
      <c r="OY35" s="23"/>
      <c r="OZ35" s="23"/>
      <c r="PA35" s="23"/>
      <c r="PB35" s="23"/>
      <c r="PC35" s="23"/>
      <c r="PD35" s="23"/>
      <c r="PE35" s="23"/>
      <c r="PF35" s="23"/>
      <c r="PG35" s="23"/>
      <c r="PH35" s="23"/>
      <c r="PI35" s="23"/>
      <c r="PJ35" s="23"/>
      <c r="PK35" s="23"/>
      <c r="PL35" s="23"/>
      <c r="PM35" s="23"/>
      <c r="PN35" s="23"/>
      <c r="PO35" s="23"/>
      <c r="PP35" s="23"/>
      <c r="PQ35" s="23"/>
      <c r="PR35" s="23"/>
      <c r="PS35" s="23"/>
      <c r="PT35" s="23"/>
      <c r="PU35" s="23"/>
      <c r="PV35" s="23"/>
      <c r="PW35" s="23"/>
      <c r="PX35" s="23"/>
      <c r="PY35" s="23"/>
      <c r="PZ35" s="23"/>
      <c r="QA35" s="23"/>
      <c r="QB35" s="23"/>
      <c r="QC35" s="23"/>
      <c r="QD35" s="23"/>
      <c r="QE35" s="23"/>
      <c r="QF35" s="23"/>
      <c r="QG35" s="23"/>
      <c r="QH35" s="23"/>
      <c r="QI35" s="23"/>
      <c r="QJ35" s="23"/>
      <c r="QK35" s="23"/>
      <c r="QL35" s="23"/>
      <c r="QM35" s="23"/>
      <c r="QN35" s="23"/>
      <c r="QO35" s="23"/>
      <c r="QP35" s="23"/>
      <c r="QQ35" s="23"/>
      <c r="QR35" s="23"/>
      <c r="QS35" s="23"/>
      <c r="QT35" s="23"/>
      <c r="QU35" s="23"/>
      <c r="QV35" s="23"/>
      <c r="QW35" s="23"/>
      <c r="QX35" s="23"/>
      <c r="QY35" s="23"/>
      <c r="QZ35" s="23"/>
      <c r="RA35" s="23"/>
      <c r="RB35" s="23"/>
      <c r="RC35" s="23"/>
      <c r="RD35" s="23"/>
      <c r="RE35" s="23"/>
      <c r="RF35" s="23"/>
      <c r="RG35" s="23"/>
      <c r="RH35" s="23"/>
      <c r="RI35" s="23"/>
      <c r="RJ35" s="23"/>
      <c r="RK35" s="23"/>
      <c r="RL35" s="23"/>
      <c r="RM35" s="23"/>
      <c r="RN35" s="23"/>
      <c r="RO35" s="23"/>
      <c r="RP35" s="23"/>
      <c r="RQ35" s="23"/>
      <c r="RR35" s="23"/>
      <c r="RS35" s="23"/>
      <c r="RT35" s="23"/>
      <c r="RU35" s="23"/>
      <c r="RV35" s="23"/>
      <c r="RW35" s="23"/>
      <c r="RX35" s="23"/>
      <c r="RY35" s="23"/>
      <c r="RZ35" s="23"/>
      <c r="SA35" s="23"/>
      <c r="SB35" s="23"/>
      <c r="SC35" s="23"/>
      <c r="SD35" s="23"/>
      <c r="SE35" s="23"/>
      <c r="SF35" s="23"/>
      <c r="SG35" s="23"/>
      <c r="SH35" s="23"/>
      <c r="SI35" s="23"/>
      <c r="SJ35" s="23"/>
      <c r="SK35" s="23"/>
      <c r="SL35" s="23"/>
      <c r="SM35" s="23"/>
      <c r="SN35" s="23"/>
      <c r="SO35" s="23"/>
      <c r="SP35" s="23"/>
      <c r="SQ35" s="23"/>
      <c r="SR35" s="23"/>
      <c r="SS35" s="23"/>
      <c r="ST35" s="23"/>
      <c r="SU35" s="23"/>
      <c r="SV35" s="23"/>
      <c r="SW35" s="23"/>
      <c r="SX35" s="23"/>
      <c r="SY35" s="23"/>
      <c r="SZ35" s="23"/>
      <c r="TA35" s="23"/>
      <c r="TB35" s="23"/>
      <c r="TC35" s="23"/>
      <c r="TD35" s="23"/>
      <c r="TE35" s="23"/>
      <c r="TF35" s="23"/>
      <c r="TG35" s="23"/>
      <c r="TH35" s="23"/>
      <c r="TI35" s="23"/>
      <c r="TJ35" s="23"/>
      <c r="TK35" s="23"/>
      <c r="TL35" s="23"/>
      <c r="TM35" s="23"/>
      <c r="TN35" s="23"/>
      <c r="TO35" s="23"/>
      <c r="TP35" s="23"/>
      <c r="TQ35" s="23"/>
      <c r="TR35" s="23"/>
      <c r="TS35" s="23"/>
      <c r="TT35" s="23"/>
      <c r="TU35" s="23"/>
      <c r="TV35" s="23"/>
      <c r="TW35" s="23"/>
      <c r="TX35" s="23"/>
      <c r="TY35" s="23"/>
      <c r="TZ35" s="23"/>
      <c r="UA35" s="23"/>
      <c r="UB35" s="23"/>
      <c r="UC35" s="23"/>
      <c r="UD35" s="23"/>
      <c r="UE35" s="23"/>
      <c r="UF35" s="23"/>
      <c r="UG35" s="23"/>
      <c r="UH35" s="23"/>
      <c r="UI35" s="23"/>
      <c r="UJ35" s="23"/>
      <c r="UK35" s="23"/>
      <c r="UL35" s="23"/>
      <c r="UM35" s="23"/>
      <c r="UN35" s="23"/>
      <c r="UO35" s="23"/>
      <c r="UP35" s="23"/>
      <c r="UQ35" s="23"/>
      <c r="UR35" s="23"/>
      <c r="US35" s="23"/>
      <c r="UT35" s="23"/>
      <c r="UU35" s="23"/>
      <c r="UV35" s="23"/>
      <c r="UW35" s="23"/>
      <c r="UX35" s="23"/>
      <c r="UY35" s="23"/>
      <c r="UZ35" s="23"/>
      <c r="VA35" s="23"/>
      <c r="VB35" s="23"/>
      <c r="VC35" s="23"/>
      <c r="VD35" s="23"/>
      <c r="VE35" s="23"/>
      <c r="VF35" s="23"/>
      <c r="VG35" s="23"/>
      <c r="VH35" s="23"/>
      <c r="VI35" s="23"/>
      <c r="VJ35" s="23"/>
      <c r="VK35" s="23"/>
      <c r="VL35" s="23"/>
      <c r="VM35" s="23"/>
      <c r="VN35" s="23"/>
      <c r="VO35" s="23"/>
      <c r="VP35" s="23"/>
      <c r="VQ35" s="23"/>
      <c r="VR35" s="23"/>
      <c r="VS35" s="23"/>
      <c r="VT35" s="23"/>
      <c r="VU35" s="23"/>
      <c r="VV35" s="23"/>
      <c r="VW35" s="23"/>
      <c r="VX35" s="23"/>
      <c r="VY35" s="23"/>
      <c r="VZ35" s="23"/>
      <c r="WA35" s="23"/>
      <c r="WB35" s="23"/>
      <c r="WC35" s="23"/>
      <c r="WD35" s="23"/>
      <c r="WE35" s="23"/>
      <c r="WF35" s="23"/>
      <c r="WG35" s="23"/>
      <c r="WH35" s="23"/>
      <c r="WI35" s="23"/>
      <c r="WJ35" s="23"/>
      <c r="WK35" s="23"/>
      <c r="WL35" s="23"/>
      <c r="WM35" s="23"/>
      <c r="WN35" s="23"/>
      <c r="WO35" s="23"/>
      <c r="WP35" s="23"/>
      <c r="WQ35" s="23"/>
      <c r="WR35" s="23"/>
      <c r="WS35" s="23"/>
      <c r="WT35" s="23"/>
      <c r="WU35" s="23"/>
      <c r="WV35" s="23"/>
      <c r="WW35" s="23"/>
      <c r="WX35" s="23"/>
      <c r="WY35" s="23"/>
      <c r="WZ35" s="23"/>
      <c r="XA35" s="23"/>
      <c r="XB35" s="23"/>
      <c r="XC35" s="23"/>
      <c r="XD35" s="23"/>
      <c r="XE35" s="23"/>
      <c r="XF35" s="23"/>
      <c r="XG35" s="23"/>
      <c r="XH35" s="23"/>
      <c r="XI35" s="23"/>
      <c r="XJ35" s="23"/>
      <c r="XK35" s="23"/>
      <c r="XL35" s="23"/>
      <c r="XM35" s="23"/>
      <c r="XN35" s="23"/>
      <c r="XO35" s="23"/>
      <c r="XP35" s="23"/>
      <c r="XQ35" s="23"/>
      <c r="XR35" s="23"/>
      <c r="XS35" s="23"/>
      <c r="XT35" s="23"/>
      <c r="XU35" s="23"/>
      <c r="XV35" s="23"/>
      <c r="XW35" s="23"/>
      <c r="XX35" s="23"/>
      <c r="XY35" s="23"/>
      <c r="XZ35" s="23"/>
      <c r="YA35" s="23"/>
      <c r="YB35" s="23"/>
      <c r="YC35" s="23"/>
      <c r="YD35" s="23"/>
      <c r="YE35" s="23"/>
      <c r="YF35" s="23"/>
      <c r="YG35" s="23"/>
      <c r="YH35" s="23"/>
      <c r="YI35" s="23"/>
      <c r="YJ35" s="23"/>
      <c r="YK35" s="23"/>
      <c r="YL35" s="23"/>
      <c r="YM35" s="23"/>
      <c r="YN35" s="23"/>
      <c r="YO35" s="23"/>
      <c r="YP35" s="23"/>
      <c r="YQ35" s="23"/>
      <c r="YR35" s="23"/>
      <c r="YS35" s="23"/>
      <c r="YT35" s="23"/>
      <c r="YU35" s="23"/>
      <c r="YV35" s="23"/>
      <c r="YW35" s="23"/>
      <c r="YX35" s="23"/>
      <c r="YY35" s="23"/>
      <c r="YZ35" s="23"/>
      <c r="ZA35" s="23"/>
      <c r="ZB35" s="23"/>
      <c r="ZC35" s="23"/>
      <c r="ZD35" s="23"/>
      <c r="ZE35" s="53"/>
    </row>
    <row r="36" spans="1:681" s="50" customFormat="1" ht="15" customHeight="1" x14ac:dyDescent="0.25">
      <c r="A36" s="30">
        <v>4000</v>
      </c>
      <c r="B36" s="129" t="s">
        <v>44</v>
      </c>
      <c r="C36" s="103" t="s">
        <v>66</v>
      </c>
      <c r="D36" s="5" t="s">
        <v>65</v>
      </c>
      <c r="E36" s="103" t="s">
        <v>49</v>
      </c>
      <c r="F36" s="5" t="s">
        <v>48</v>
      </c>
      <c r="G36" s="56">
        <v>2</v>
      </c>
      <c r="H36" s="106" t="s">
        <v>47</v>
      </c>
      <c r="I36" s="47"/>
      <c r="J36" s="250">
        <f ca="1">J34</f>
        <v>80</v>
      </c>
      <c r="K36" s="250">
        <f ca="1">K34</f>
        <v>10</v>
      </c>
      <c r="L36" s="246">
        <f ca="1">ROUNDDOWN(IF(L$8&gt;L$5, MIN( ((L33+K38)/L$8)*L$5, MAX(L33+K38,L34)), MAX(L33+K38,L34)),0)</f>
        <v>160</v>
      </c>
      <c r="M36" s="246">
        <f t="shared" ref="M36:AG36" ca="1" si="55">ROUNDDOWN(IF(M$8&gt;M$5, MIN( ((M33+L38)/M$8)*M$5, MAX(M33+L38,M34)), MAX(M33+L38,M34)),0)</f>
        <v>80</v>
      </c>
      <c r="N36" s="246">
        <f t="shared" ca="1" si="55"/>
        <v>40</v>
      </c>
      <c r="O36" s="246">
        <f t="shared" ca="1" si="55"/>
        <v>120</v>
      </c>
      <c r="P36" s="246">
        <f t="shared" ca="1" si="55"/>
        <v>170</v>
      </c>
      <c r="Q36" s="246">
        <f t="shared" ca="1" si="55"/>
        <v>80</v>
      </c>
      <c r="R36" s="246">
        <f t="shared" ca="1" si="55"/>
        <v>150</v>
      </c>
      <c r="S36" s="246">
        <f t="shared" ca="1" si="55"/>
        <v>40</v>
      </c>
      <c r="T36" s="246">
        <f t="shared" ca="1" si="55"/>
        <v>40</v>
      </c>
      <c r="U36" s="246">
        <f t="shared" ca="1" si="55"/>
        <v>70</v>
      </c>
      <c r="V36" s="246">
        <f t="shared" ca="1" si="55"/>
        <v>120</v>
      </c>
      <c r="W36" s="246">
        <f t="shared" ca="1" si="55"/>
        <v>170</v>
      </c>
      <c r="X36" s="246">
        <f t="shared" ca="1" si="55"/>
        <v>170</v>
      </c>
      <c r="Y36" s="246">
        <f t="shared" ca="1" si="55"/>
        <v>180</v>
      </c>
      <c r="Z36" s="246">
        <f t="shared" ca="1" si="55"/>
        <v>10</v>
      </c>
      <c r="AA36" s="246">
        <f t="shared" ca="1" si="55"/>
        <v>130</v>
      </c>
      <c r="AB36" s="246">
        <f t="shared" ca="1" si="55"/>
        <v>10</v>
      </c>
      <c r="AC36" s="246">
        <f t="shared" ca="1" si="55"/>
        <v>190</v>
      </c>
      <c r="AD36" s="246">
        <f t="shared" ca="1" si="55"/>
        <v>110</v>
      </c>
      <c r="AE36" s="246">
        <f t="shared" ca="1" si="55"/>
        <v>100</v>
      </c>
      <c r="AF36" s="246">
        <f t="shared" ca="1" si="55"/>
        <v>0</v>
      </c>
      <c r="AG36" s="246">
        <f t="shared" ca="1" si="55"/>
        <v>0</v>
      </c>
      <c r="AH36" s="246"/>
      <c r="AI36" s="246"/>
      <c r="AJ36" s="246"/>
      <c r="AK36" s="246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23"/>
      <c r="FZ36" s="23"/>
      <c r="GA36" s="23"/>
      <c r="GB36" s="23"/>
      <c r="GC36" s="23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3"/>
      <c r="JE36" s="23"/>
      <c r="JF36" s="23"/>
      <c r="JG36" s="23"/>
      <c r="JH36" s="23"/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23"/>
      <c r="JZ36" s="23"/>
      <c r="KA36" s="23"/>
      <c r="KB36" s="23"/>
      <c r="KC36" s="23"/>
      <c r="KD36" s="23"/>
      <c r="KE36" s="23"/>
      <c r="KF36" s="23"/>
      <c r="KG36" s="23"/>
      <c r="KH36" s="23"/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23"/>
      <c r="KZ36" s="23"/>
      <c r="LA36" s="23"/>
      <c r="LB36" s="23"/>
      <c r="LC36" s="23"/>
      <c r="LD36" s="23"/>
      <c r="LE36" s="23"/>
      <c r="LF36" s="23"/>
      <c r="LG36" s="23"/>
      <c r="LH36" s="23"/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23"/>
      <c r="LZ36" s="23"/>
      <c r="MA36" s="23"/>
      <c r="MB36" s="23"/>
      <c r="MC36" s="23"/>
      <c r="MD36" s="23"/>
      <c r="ME36" s="23"/>
      <c r="MF36" s="23"/>
      <c r="MG36" s="23"/>
      <c r="MH36" s="23"/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23"/>
      <c r="MZ36" s="23"/>
      <c r="NA36" s="23"/>
      <c r="NB36" s="23"/>
      <c r="NC36" s="23"/>
      <c r="ND36" s="23"/>
      <c r="NE36" s="23"/>
      <c r="NF36" s="23"/>
      <c r="NG36" s="23"/>
      <c r="NH36" s="23"/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23"/>
      <c r="NZ36" s="23"/>
      <c r="OA36" s="23"/>
      <c r="OB36" s="23"/>
      <c r="OC36" s="23"/>
      <c r="OD36" s="23"/>
      <c r="OE36" s="23"/>
      <c r="OF36" s="23"/>
      <c r="OG36" s="23"/>
      <c r="OH36" s="23"/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23"/>
      <c r="OZ36" s="23"/>
      <c r="PA36" s="23"/>
      <c r="PB36" s="23"/>
      <c r="PC36" s="23"/>
      <c r="PD36" s="23"/>
      <c r="PE36" s="23"/>
      <c r="PF36" s="23"/>
      <c r="PG36" s="23"/>
      <c r="PH36" s="23"/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23"/>
      <c r="PZ36" s="23"/>
      <c r="QA36" s="23"/>
      <c r="QB36" s="23"/>
      <c r="QC36" s="23"/>
      <c r="QD36" s="23"/>
      <c r="QE36" s="23"/>
      <c r="QF36" s="23"/>
      <c r="QG36" s="23"/>
      <c r="QH36" s="23"/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23"/>
      <c r="QZ36" s="23"/>
      <c r="RA36" s="23"/>
      <c r="RB36" s="23"/>
      <c r="RC36" s="23"/>
      <c r="RD36" s="23"/>
      <c r="RE36" s="23"/>
      <c r="RF36" s="23"/>
      <c r="RG36" s="23"/>
      <c r="RH36" s="23"/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23"/>
      <c r="RZ36" s="23"/>
      <c r="SA36" s="23"/>
      <c r="SB36" s="23"/>
      <c r="SC36" s="23"/>
      <c r="SD36" s="23"/>
      <c r="SE36" s="23"/>
      <c r="SF36" s="23"/>
      <c r="SG36" s="23"/>
      <c r="SH36" s="23"/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23"/>
      <c r="SZ36" s="23"/>
      <c r="TA36" s="23"/>
      <c r="TB36" s="23"/>
      <c r="TC36" s="23"/>
      <c r="TD36" s="23"/>
      <c r="TE36" s="23"/>
      <c r="TF36" s="23"/>
      <c r="TG36" s="23"/>
      <c r="TH36" s="23"/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23"/>
      <c r="TZ36" s="23"/>
      <c r="UA36" s="23"/>
      <c r="UB36" s="23"/>
      <c r="UC36" s="23"/>
      <c r="UD36" s="23"/>
      <c r="UE36" s="23"/>
      <c r="UF36" s="23"/>
      <c r="UG36" s="23"/>
      <c r="UH36" s="23"/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23"/>
      <c r="UZ36" s="23"/>
      <c r="VA36" s="23"/>
      <c r="VB36" s="23"/>
      <c r="VC36" s="23"/>
      <c r="VD36" s="23"/>
      <c r="VE36" s="23"/>
      <c r="VF36" s="23"/>
      <c r="VG36" s="23"/>
      <c r="VH36" s="23"/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23"/>
      <c r="VZ36" s="23"/>
      <c r="WA36" s="23"/>
      <c r="WB36" s="23"/>
      <c r="WC36" s="23"/>
      <c r="WD36" s="23"/>
      <c r="WE36" s="23"/>
      <c r="WF36" s="23"/>
      <c r="WG36" s="23"/>
      <c r="WH36" s="23"/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23"/>
      <c r="WZ36" s="23"/>
      <c r="XA36" s="23"/>
      <c r="XB36" s="23"/>
      <c r="XC36" s="23"/>
      <c r="XD36" s="23"/>
      <c r="XE36" s="23"/>
      <c r="XF36" s="23"/>
      <c r="XG36" s="23"/>
      <c r="XH36" s="23"/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23"/>
      <c r="XZ36" s="23"/>
      <c r="YA36" s="23"/>
      <c r="YB36" s="23"/>
      <c r="YC36" s="23"/>
      <c r="YD36" s="23"/>
      <c r="YE36" s="23"/>
      <c r="YF36" s="23"/>
      <c r="YG36" s="23"/>
      <c r="YH36" s="23"/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23"/>
      <c r="YZ36" s="23"/>
      <c r="ZA36" s="23"/>
      <c r="ZB36" s="23"/>
      <c r="ZC36" s="23"/>
      <c r="ZD36" s="23"/>
      <c r="ZE36" s="53"/>
    </row>
    <row r="37" spans="1:681" s="50" customFormat="1" ht="15" customHeight="1" x14ac:dyDescent="0.25">
      <c r="A37" s="30">
        <v>4000</v>
      </c>
      <c r="B37" s="129" t="s">
        <v>44</v>
      </c>
      <c r="C37" s="103" t="s">
        <v>66</v>
      </c>
      <c r="D37" s="5" t="s">
        <v>65</v>
      </c>
      <c r="E37" s="103" t="s">
        <v>66</v>
      </c>
      <c r="F37" s="5" t="s">
        <v>65</v>
      </c>
      <c r="G37" s="56">
        <v>2</v>
      </c>
      <c r="H37" s="100" t="s">
        <v>46</v>
      </c>
      <c r="I37" s="131"/>
      <c r="J37" s="250">
        <f ca="1">J36</f>
        <v>80</v>
      </c>
      <c r="K37" s="250">
        <f t="shared" ref="K37" ca="1" si="56">K36</f>
        <v>10</v>
      </c>
      <c r="L37" s="250">
        <f t="shared" ref="L37" ca="1" si="57">L36</f>
        <v>160</v>
      </c>
      <c r="M37" s="250">
        <f t="shared" ref="M37" ca="1" si="58">M36</f>
        <v>80</v>
      </c>
      <c r="N37" s="250">
        <f t="shared" ref="N37" ca="1" si="59">N36</f>
        <v>40</v>
      </c>
      <c r="O37" s="250">
        <f t="shared" ref="O37" ca="1" si="60">O36</f>
        <v>120</v>
      </c>
      <c r="P37" s="250">
        <f t="shared" ref="P37" ca="1" si="61">P36</f>
        <v>170</v>
      </c>
      <c r="Q37" s="250">
        <f t="shared" ref="Q37" ca="1" si="62">Q36</f>
        <v>80</v>
      </c>
      <c r="R37" s="250">
        <f t="shared" ref="R37" ca="1" si="63">R36</f>
        <v>150</v>
      </c>
      <c r="S37" s="250">
        <f t="shared" ref="S37" ca="1" si="64">S36</f>
        <v>40</v>
      </c>
      <c r="T37" s="250">
        <f t="shared" ref="T37" ca="1" si="65">T36</f>
        <v>40</v>
      </c>
      <c r="U37" s="250">
        <f t="shared" ref="U37" ca="1" si="66">U36</f>
        <v>70</v>
      </c>
      <c r="V37" s="250">
        <f t="shared" ref="V37" ca="1" si="67">V36</f>
        <v>120</v>
      </c>
      <c r="W37" s="250">
        <f t="shared" ref="W37" ca="1" si="68">W36</f>
        <v>170</v>
      </c>
      <c r="X37" s="250">
        <f t="shared" ref="X37" ca="1" si="69">X36</f>
        <v>170</v>
      </c>
      <c r="Y37" s="250">
        <f t="shared" ref="Y37" ca="1" si="70">Y36</f>
        <v>180</v>
      </c>
      <c r="Z37" s="250">
        <f t="shared" ref="Z37" ca="1" si="71">Z36</f>
        <v>10</v>
      </c>
      <c r="AA37" s="250">
        <f t="shared" ref="AA37" ca="1" si="72">AA36</f>
        <v>130</v>
      </c>
      <c r="AB37" s="250">
        <f t="shared" ref="AB37" ca="1" si="73">AB36</f>
        <v>10</v>
      </c>
      <c r="AC37" s="250">
        <f t="shared" ref="AC37" ca="1" si="74">AC36</f>
        <v>190</v>
      </c>
      <c r="AD37" s="250">
        <f t="shared" ref="AD37" ca="1" si="75">AD36</f>
        <v>110</v>
      </c>
      <c r="AE37" s="250">
        <f t="shared" ref="AE37" ca="1" si="76">AE36</f>
        <v>100</v>
      </c>
      <c r="AF37" s="250">
        <f t="shared" ref="AF37" ca="1" si="77">AF36</f>
        <v>0</v>
      </c>
      <c r="AG37" s="250">
        <f t="shared" ref="AG37" ca="1" si="78">AG36</f>
        <v>0</v>
      </c>
      <c r="AH37" s="246"/>
      <c r="AI37" s="246"/>
      <c r="AJ37" s="246"/>
      <c r="AK37" s="246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3"/>
      <c r="FU37" s="23"/>
      <c r="FV37" s="23"/>
      <c r="FW37" s="23"/>
      <c r="FX37" s="23"/>
      <c r="FY37" s="23"/>
      <c r="FZ37" s="23"/>
      <c r="GA37" s="23"/>
      <c r="GB37" s="23"/>
      <c r="GC37" s="23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3"/>
      <c r="JE37" s="23"/>
      <c r="JF37" s="23"/>
      <c r="JG37" s="23"/>
      <c r="JH37" s="23"/>
      <c r="JI37" s="23"/>
      <c r="JJ37" s="23"/>
      <c r="JK37" s="23"/>
      <c r="JL37" s="23"/>
      <c r="JM37" s="23"/>
      <c r="JN37" s="23"/>
      <c r="JO37" s="23"/>
      <c r="JP37" s="23"/>
      <c r="JQ37" s="23"/>
      <c r="JR37" s="23"/>
      <c r="JS37" s="23"/>
      <c r="JT37" s="23"/>
      <c r="JU37" s="23"/>
      <c r="JV37" s="23"/>
      <c r="JW37" s="23"/>
      <c r="JX37" s="23"/>
      <c r="JY37" s="23"/>
      <c r="JZ37" s="23"/>
      <c r="KA37" s="23"/>
      <c r="KB37" s="23"/>
      <c r="KC37" s="23"/>
      <c r="KD37" s="23"/>
      <c r="KE37" s="23"/>
      <c r="KF37" s="23"/>
      <c r="KG37" s="23"/>
      <c r="KH37" s="23"/>
      <c r="KI37" s="23"/>
      <c r="KJ37" s="23"/>
      <c r="KK37" s="23"/>
      <c r="KL37" s="23"/>
      <c r="KM37" s="23"/>
      <c r="KN37" s="23"/>
      <c r="KO37" s="23"/>
      <c r="KP37" s="23"/>
      <c r="KQ37" s="23"/>
      <c r="KR37" s="23"/>
      <c r="KS37" s="23"/>
      <c r="KT37" s="23"/>
      <c r="KU37" s="23"/>
      <c r="KV37" s="23"/>
      <c r="KW37" s="23"/>
      <c r="KX37" s="23"/>
      <c r="KY37" s="23"/>
      <c r="KZ37" s="23"/>
      <c r="LA37" s="23"/>
      <c r="LB37" s="23"/>
      <c r="LC37" s="23"/>
      <c r="LD37" s="23"/>
      <c r="LE37" s="23"/>
      <c r="LF37" s="23"/>
      <c r="LG37" s="23"/>
      <c r="LH37" s="23"/>
      <c r="LI37" s="23"/>
      <c r="LJ37" s="23"/>
      <c r="LK37" s="23"/>
      <c r="LL37" s="23"/>
      <c r="LM37" s="23"/>
      <c r="LN37" s="23"/>
      <c r="LO37" s="23"/>
      <c r="LP37" s="23"/>
      <c r="LQ37" s="23"/>
      <c r="LR37" s="23"/>
      <c r="LS37" s="23"/>
      <c r="LT37" s="23"/>
      <c r="LU37" s="23"/>
      <c r="LV37" s="23"/>
      <c r="LW37" s="23"/>
      <c r="LX37" s="23"/>
      <c r="LY37" s="23"/>
      <c r="LZ37" s="23"/>
      <c r="MA37" s="23"/>
      <c r="MB37" s="23"/>
      <c r="MC37" s="23"/>
      <c r="MD37" s="23"/>
      <c r="ME37" s="23"/>
      <c r="MF37" s="23"/>
      <c r="MG37" s="23"/>
      <c r="MH37" s="23"/>
      <c r="MI37" s="23"/>
      <c r="MJ37" s="23"/>
      <c r="MK37" s="23"/>
      <c r="ML37" s="23"/>
      <c r="MM37" s="23"/>
      <c r="MN37" s="23"/>
      <c r="MO37" s="23"/>
      <c r="MP37" s="23"/>
      <c r="MQ37" s="23"/>
      <c r="MR37" s="23"/>
      <c r="MS37" s="23"/>
      <c r="MT37" s="23"/>
      <c r="MU37" s="23"/>
      <c r="MV37" s="23"/>
      <c r="MW37" s="23"/>
      <c r="MX37" s="23"/>
      <c r="MY37" s="23"/>
      <c r="MZ37" s="23"/>
      <c r="NA37" s="23"/>
      <c r="NB37" s="23"/>
      <c r="NC37" s="23"/>
      <c r="ND37" s="23"/>
      <c r="NE37" s="23"/>
      <c r="NF37" s="23"/>
      <c r="NG37" s="23"/>
      <c r="NH37" s="23"/>
      <c r="NI37" s="23"/>
      <c r="NJ37" s="23"/>
      <c r="NK37" s="23"/>
      <c r="NL37" s="23"/>
      <c r="NM37" s="23"/>
      <c r="NN37" s="23"/>
      <c r="NO37" s="23"/>
      <c r="NP37" s="23"/>
      <c r="NQ37" s="23"/>
      <c r="NR37" s="23"/>
      <c r="NS37" s="23"/>
      <c r="NT37" s="23"/>
      <c r="NU37" s="23"/>
      <c r="NV37" s="23"/>
      <c r="NW37" s="23"/>
      <c r="NX37" s="23"/>
      <c r="NY37" s="23"/>
      <c r="NZ37" s="23"/>
      <c r="OA37" s="23"/>
      <c r="OB37" s="23"/>
      <c r="OC37" s="23"/>
      <c r="OD37" s="23"/>
      <c r="OE37" s="23"/>
      <c r="OF37" s="23"/>
      <c r="OG37" s="23"/>
      <c r="OH37" s="23"/>
      <c r="OI37" s="23"/>
      <c r="OJ37" s="23"/>
      <c r="OK37" s="23"/>
      <c r="OL37" s="23"/>
      <c r="OM37" s="23"/>
      <c r="ON37" s="23"/>
      <c r="OO37" s="23"/>
      <c r="OP37" s="23"/>
      <c r="OQ37" s="23"/>
      <c r="OR37" s="23"/>
      <c r="OS37" s="23"/>
      <c r="OT37" s="23"/>
      <c r="OU37" s="23"/>
      <c r="OV37" s="23"/>
      <c r="OW37" s="23"/>
      <c r="OX37" s="23"/>
      <c r="OY37" s="23"/>
      <c r="OZ37" s="23"/>
      <c r="PA37" s="23"/>
      <c r="PB37" s="23"/>
      <c r="PC37" s="23"/>
      <c r="PD37" s="23"/>
      <c r="PE37" s="23"/>
      <c r="PF37" s="23"/>
      <c r="PG37" s="23"/>
      <c r="PH37" s="23"/>
      <c r="PI37" s="23"/>
      <c r="PJ37" s="23"/>
      <c r="PK37" s="23"/>
      <c r="PL37" s="23"/>
      <c r="PM37" s="23"/>
      <c r="PN37" s="23"/>
      <c r="PO37" s="23"/>
      <c r="PP37" s="23"/>
      <c r="PQ37" s="23"/>
      <c r="PR37" s="23"/>
      <c r="PS37" s="23"/>
      <c r="PT37" s="23"/>
      <c r="PU37" s="23"/>
      <c r="PV37" s="23"/>
      <c r="PW37" s="23"/>
      <c r="PX37" s="23"/>
      <c r="PY37" s="23"/>
      <c r="PZ37" s="23"/>
      <c r="QA37" s="23"/>
      <c r="QB37" s="23"/>
      <c r="QC37" s="23"/>
      <c r="QD37" s="23"/>
      <c r="QE37" s="23"/>
      <c r="QF37" s="23"/>
      <c r="QG37" s="23"/>
      <c r="QH37" s="23"/>
      <c r="QI37" s="23"/>
      <c r="QJ37" s="23"/>
      <c r="QK37" s="23"/>
      <c r="QL37" s="23"/>
      <c r="QM37" s="23"/>
      <c r="QN37" s="23"/>
      <c r="QO37" s="23"/>
      <c r="QP37" s="23"/>
      <c r="QQ37" s="23"/>
      <c r="QR37" s="23"/>
      <c r="QS37" s="23"/>
      <c r="QT37" s="23"/>
      <c r="QU37" s="23"/>
      <c r="QV37" s="23"/>
      <c r="QW37" s="23"/>
      <c r="QX37" s="23"/>
      <c r="QY37" s="23"/>
      <c r="QZ37" s="23"/>
      <c r="RA37" s="23"/>
      <c r="RB37" s="23"/>
      <c r="RC37" s="23"/>
      <c r="RD37" s="23"/>
      <c r="RE37" s="23"/>
      <c r="RF37" s="23"/>
      <c r="RG37" s="23"/>
      <c r="RH37" s="23"/>
      <c r="RI37" s="23"/>
      <c r="RJ37" s="23"/>
      <c r="RK37" s="23"/>
      <c r="RL37" s="23"/>
      <c r="RM37" s="23"/>
      <c r="RN37" s="23"/>
      <c r="RO37" s="23"/>
      <c r="RP37" s="23"/>
      <c r="RQ37" s="23"/>
      <c r="RR37" s="23"/>
      <c r="RS37" s="23"/>
      <c r="RT37" s="23"/>
      <c r="RU37" s="23"/>
      <c r="RV37" s="23"/>
      <c r="RW37" s="23"/>
      <c r="RX37" s="23"/>
      <c r="RY37" s="23"/>
      <c r="RZ37" s="23"/>
      <c r="SA37" s="23"/>
      <c r="SB37" s="23"/>
      <c r="SC37" s="23"/>
      <c r="SD37" s="23"/>
      <c r="SE37" s="23"/>
      <c r="SF37" s="23"/>
      <c r="SG37" s="23"/>
      <c r="SH37" s="23"/>
      <c r="SI37" s="23"/>
      <c r="SJ37" s="23"/>
      <c r="SK37" s="23"/>
      <c r="SL37" s="23"/>
      <c r="SM37" s="23"/>
      <c r="SN37" s="23"/>
      <c r="SO37" s="23"/>
      <c r="SP37" s="23"/>
      <c r="SQ37" s="23"/>
      <c r="SR37" s="23"/>
      <c r="SS37" s="23"/>
      <c r="ST37" s="23"/>
      <c r="SU37" s="23"/>
      <c r="SV37" s="23"/>
      <c r="SW37" s="23"/>
      <c r="SX37" s="23"/>
      <c r="SY37" s="23"/>
      <c r="SZ37" s="23"/>
      <c r="TA37" s="23"/>
      <c r="TB37" s="23"/>
      <c r="TC37" s="23"/>
      <c r="TD37" s="23"/>
      <c r="TE37" s="23"/>
      <c r="TF37" s="23"/>
      <c r="TG37" s="23"/>
      <c r="TH37" s="23"/>
      <c r="TI37" s="23"/>
      <c r="TJ37" s="23"/>
      <c r="TK37" s="23"/>
      <c r="TL37" s="23"/>
      <c r="TM37" s="23"/>
      <c r="TN37" s="23"/>
      <c r="TO37" s="23"/>
      <c r="TP37" s="23"/>
      <c r="TQ37" s="23"/>
      <c r="TR37" s="23"/>
      <c r="TS37" s="23"/>
      <c r="TT37" s="23"/>
      <c r="TU37" s="23"/>
      <c r="TV37" s="23"/>
      <c r="TW37" s="23"/>
      <c r="TX37" s="23"/>
      <c r="TY37" s="23"/>
      <c r="TZ37" s="23"/>
      <c r="UA37" s="23"/>
      <c r="UB37" s="23"/>
      <c r="UC37" s="23"/>
      <c r="UD37" s="23"/>
      <c r="UE37" s="23"/>
      <c r="UF37" s="23"/>
      <c r="UG37" s="23"/>
      <c r="UH37" s="23"/>
      <c r="UI37" s="23"/>
      <c r="UJ37" s="23"/>
      <c r="UK37" s="23"/>
      <c r="UL37" s="23"/>
      <c r="UM37" s="23"/>
      <c r="UN37" s="23"/>
      <c r="UO37" s="23"/>
      <c r="UP37" s="23"/>
      <c r="UQ37" s="23"/>
      <c r="UR37" s="23"/>
      <c r="US37" s="23"/>
      <c r="UT37" s="23"/>
      <c r="UU37" s="23"/>
      <c r="UV37" s="23"/>
      <c r="UW37" s="23"/>
      <c r="UX37" s="23"/>
      <c r="UY37" s="23"/>
      <c r="UZ37" s="23"/>
      <c r="VA37" s="23"/>
      <c r="VB37" s="23"/>
      <c r="VC37" s="23"/>
      <c r="VD37" s="23"/>
      <c r="VE37" s="23"/>
      <c r="VF37" s="23"/>
      <c r="VG37" s="23"/>
      <c r="VH37" s="23"/>
      <c r="VI37" s="23"/>
      <c r="VJ37" s="23"/>
      <c r="VK37" s="23"/>
      <c r="VL37" s="23"/>
      <c r="VM37" s="23"/>
      <c r="VN37" s="23"/>
      <c r="VO37" s="23"/>
      <c r="VP37" s="23"/>
      <c r="VQ37" s="23"/>
      <c r="VR37" s="23"/>
      <c r="VS37" s="23"/>
      <c r="VT37" s="23"/>
      <c r="VU37" s="23"/>
      <c r="VV37" s="23"/>
      <c r="VW37" s="23"/>
      <c r="VX37" s="23"/>
      <c r="VY37" s="23"/>
      <c r="VZ37" s="23"/>
      <c r="WA37" s="23"/>
      <c r="WB37" s="23"/>
      <c r="WC37" s="23"/>
      <c r="WD37" s="23"/>
      <c r="WE37" s="23"/>
      <c r="WF37" s="23"/>
      <c r="WG37" s="23"/>
      <c r="WH37" s="23"/>
      <c r="WI37" s="23"/>
      <c r="WJ37" s="23"/>
      <c r="WK37" s="23"/>
      <c r="WL37" s="23"/>
      <c r="WM37" s="23"/>
      <c r="WN37" s="23"/>
      <c r="WO37" s="23"/>
      <c r="WP37" s="23"/>
      <c r="WQ37" s="23"/>
      <c r="WR37" s="23"/>
      <c r="WS37" s="23"/>
      <c r="WT37" s="23"/>
      <c r="WU37" s="23"/>
      <c r="WV37" s="23"/>
      <c r="WW37" s="23"/>
      <c r="WX37" s="23"/>
      <c r="WY37" s="23"/>
      <c r="WZ37" s="23"/>
      <c r="XA37" s="23"/>
      <c r="XB37" s="23"/>
      <c r="XC37" s="23"/>
      <c r="XD37" s="23"/>
      <c r="XE37" s="23"/>
      <c r="XF37" s="23"/>
      <c r="XG37" s="23"/>
      <c r="XH37" s="23"/>
      <c r="XI37" s="23"/>
      <c r="XJ37" s="23"/>
      <c r="XK37" s="23"/>
      <c r="XL37" s="23"/>
      <c r="XM37" s="23"/>
      <c r="XN37" s="23"/>
      <c r="XO37" s="23"/>
      <c r="XP37" s="23"/>
      <c r="XQ37" s="23"/>
      <c r="XR37" s="23"/>
      <c r="XS37" s="23"/>
      <c r="XT37" s="23"/>
      <c r="XU37" s="23"/>
      <c r="XV37" s="23"/>
      <c r="XW37" s="23"/>
      <c r="XX37" s="23"/>
      <c r="XY37" s="23"/>
      <c r="XZ37" s="23"/>
      <c r="YA37" s="23"/>
      <c r="YB37" s="23"/>
      <c r="YC37" s="23"/>
      <c r="YD37" s="23"/>
      <c r="YE37" s="23"/>
      <c r="YF37" s="23"/>
      <c r="YG37" s="23"/>
      <c r="YH37" s="23"/>
      <c r="YI37" s="23"/>
      <c r="YJ37" s="23"/>
      <c r="YK37" s="23"/>
      <c r="YL37" s="23"/>
      <c r="YM37" s="23"/>
      <c r="YN37" s="23"/>
      <c r="YO37" s="23"/>
      <c r="YP37" s="23"/>
      <c r="YQ37" s="23"/>
      <c r="YR37" s="23"/>
      <c r="YS37" s="23"/>
      <c r="YT37" s="23"/>
      <c r="YU37" s="23"/>
      <c r="YV37" s="23"/>
      <c r="YW37" s="23"/>
      <c r="YX37" s="23"/>
      <c r="YY37" s="23"/>
      <c r="YZ37" s="23"/>
      <c r="ZA37" s="23"/>
      <c r="ZB37" s="23"/>
      <c r="ZC37" s="23"/>
      <c r="ZD37" s="23"/>
      <c r="ZE37" s="53"/>
    </row>
    <row r="38" spans="1:681" s="2" customFormat="1" ht="15" customHeight="1" x14ac:dyDescent="0.25">
      <c r="A38" s="30">
        <v>4000</v>
      </c>
      <c r="B38" s="129" t="s">
        <v>44</v>
      </c>
      <c r="C38" s="103" t="s">
        <v>66</v>
      </c>
      <c r="D38" s="5" t="s">
        <v>65</v>
      </c>
      <c r="E38" s="103" t="s">
        <v>66</v>
      </c>
      <c r="F38" s="5" t="s">
        <v>65</v>
      </c>
      <c r="G38" s="56">
        <v>2</v>
      </c>
      <c r="H38" s="100" t="s">
        <v>60</v>
      </c>
      <c r="I38" s="131"/>
      <c r="J38" s="97">
        <f t="shared" ref="J38:AG38" ca="1" si="79">J33+I38-J36</f>
        <v>0</v>
      </c>
      <c r="K38" s="97">
        <f t="shared" ca="1" si="79"/>
        <v>0</v>
      </c>
      <c r="L38" s="97">
        <f t="shared" ca="1" si="79"/>
        <v>0</v>
      </c>
      <c r="M38" s="97">
        <f t="shared" ca="1" si="79"/>
        <v>0</v>
      </c>
      <c r="N38" s="97">
        <f t="shared" ca="1" si="79"/>
        <v>0</v>
      </c>
      <c r="O38" s="97">
        <f t="shared" ca="1" si="79"/>
        <v>0</v>
      </c>
      <c r="P38" s="97">
        <f t="shared" ca="1" si="79"/>
        <v>0</v>
      </c>
      <c r="Q38" s="97">
        <f t="shared" ca="1" si="79"/>
        <v>0</v>
      </c>
      <c r="R38" s="97">
        <f t="shared" ca="1" si="79"/>
        <v>0</v>
      </c>
      <c r="S38" s="97">
        <f t="shared" ca="1" si="79"/>
        <v>0</v>
      </c>
      <c r="T38" s="97">
        <f t="shared" ca="1" si="79"/>
        <v>0</v>
      </c>
      <c r="U38" s="97">
        <f t="shared" ca="1" si="79"/>
        <v>0</v>
      </c>
      <c r="V38" s="97">
        <f t="shared" ca="1" si="79"/>
        <v>0</v>
      </c>
      <c r="W38" s="97">
        <f t="shared" ca="1" si="79"/>
        <v>0</v>
      </c>
      <c r="X38" s="97">
        <f t="shared" ca="1" si="79"/>
        <v>0</v>
      </c>
      <c r="Y38" s="97">
        <f t="shared" ca="1" si="79"/>
        <v>0</v>
      </c>
      <c r="Z38" s="97">
        <f t="shared" ca="1" si="79"/>
        <v>0</v>
      </c>
      <c r="AA38" s="97">
        <f t="shared" ca="1" si="79"/>
        <v>0</v>
      </c>
      <c r="AB38" s="97">
        <f t="shared" ca="1" si="79"/>
        <v>0</v>
      </c>
      <c r="AC38" s="97">
        <f t="shared" ca="1" si="79"/>
        <v>0</v>
      </c>
      <c r="AD38" s="97">
        <f t="shared" ca="1" si="79"/>
        <v>0</v>
      </c>
      <c r="AE38" s="97">
        <f t="shared" ca="1" si="79"/>
        <v>0</v>
      </c>
      <c r="AF38" s="97">
        <f t="shared" ca="1" si="79"/>
        <v>0</v>
      </c>
      <c r="AG38" s="97">
        <f t="shared" ca="1" si="79"/>
        <v>0</v>
      </c>
      <c r="AH38" s="250"/>
      <c r="AI38" s="250"/>
      <c r="AJ38" s="250"/>
      <c r="AK38" s="250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  <c r="FX38" s="23"/>
      <c r="FY38" s="23"/>
      <c r="FZ38" s="23"/>
      <c r="GA38" s="23"/>
      <c r="GB38" s="23"/>
      <c r="GC38" s="23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3"/>
      <c r="JE38" s="23"/>
      <c r="JF38" s="23"/>
      <c r="JG38" s="23"/>
      <c r="JH38" s="23"/>
      <c r="JI38" s="23"/>
      <c r="JJ38" s="23"/>
      <c r="JK38" s="23"/>
      <c r="JL38" s="23"/>
      <c r="JM38" s="23"/>
      <c r="JN38" s="23"/>
      <c r="JO38" s="23"/>
      <c r="JP38" s="23"/>
      <c r="JQ38" s="23"/>
      <c r="JR38" s="23"/>
      <c r="JS38" s="23"/>
      <c r="JT38" s="23"/>
      <c r="JU38" s="23"/>
      <c r="JV38" s="23"/>
      <c r="JW38" s="23"/>
      <c r="JX38" s="23"/>
      <c r="JY38" s="23"/>
      <c r="JZ38" s="23"/>
      <c r="KA38" s="23"/>
      <c r="KB38" s="23"/>
      <c r="KC38" s="23"/>
      <c r="KD38" s="23"/>
      <c r="KE38" s="23"/>
      <c r="KF38" s="23"/>
      <c r="KG38" s="23"/>
      <c r="KH38" s="23"/>
      <c r="KI38" s="23"/>
      <c r="KJ38" s="23"/>
      <c r="KK38" s="23"/>
      <c r="KL38" s="23"/>
      <c r="KM38" s="23"/>
      <c r="KN38" s="23"/>
      <c r="KO38" s="23"/>
      <c r="KP38" s="23"/>
      <c r="KQ38" s="23"/>
      <c r="KR38" s="23"/>
      <c r="KS38" s="23"/>
      <c r="KT38" s="23"/>
      <c r="KU38" s="23"/>
      <c r="KV38" s="23"/>
      <c r="KW38" s="23"/>
      <c r="KX38" s="23"/>
      <c r="KY38" s="23"/>
      <c r="KZ38" s="23"/>
      <c r="LA38" s="23"/>
      <c r="LB38" s="23"/>
      <c r="LC38" s="23"/>
      <c r="LD38" s="23"/>
      <c r="LE38" s="23"/>
      <c r="LF38" s="23"/>
      <c r="LG38" s="23"/>
      <c r="LH38" s="23"/>
      <c r="LI38" s="23"/>
      <c r="LJ38" s="23"/>
      <c r="LK38" s="23"/>
      <c r="LL38" s="23"/>
      <c r="LM38" s="23"/>
      <c r="LN38" s="23"/>
      <c r="LO38" s="23"/>
      <c r="LP38" s="23"/>
      <c r="LQ38" s="23"/>
      <c r="LR38" s="23"/>
      <c r="LS38" s="23"/>
      <c r="LT38" s="23"/>
      <c r="LU38" s="23"/>
      <c r="LV38" s="23"/>
      <c r="LW38" s="23"/>
      <c r="LX38" s="23"/>
      <c r="LY38" s="23"/>
      <c r="LZ38" s="23"/>
      <c r="MA38" s="23"/>
      <c r="MB38" s="23"/>
      <c r="MC38" s="23"/>
      <c r="MD38" s="23"/>
      <c r="ME38" s="23"/>
      <c r="MF38" s="23"/>
      <c r="MG38" s="23"/>
      <c r="MH38" s="23"/>
      <c r="MI38" s="23"/>
      <c r="MJ38" s="23"/>
      <c r="MK38" s="23"/>
      <c r="ML38" s="23"/>
      <c r="MM38" s="23"/>
      <c r="MN38" s="23"/>
      <c r="MO38" s="23"/>
      <c r="MP38" s="23"/>
      <c r="MQ38" s="23"/>
      <c r="MR38" s="23"/>
      <c r="MS38" s="23"/>
      <c r="MT38" s="23"/>
      <c r="MU38" s="23"/>
      <c r="MV38" s="23"/>
      <c r="MW38" s="23"/>
      <c r="MX38" s="23"/>
      <c r="MY38" s="23"/>
      <c r="MZ38" s="23"/>
      <c r="NA38" s="23"/>
      <c r="NB38" s="23"/>
      <c r="NC38" s="23"/>
      <c r="ND38" s="23"/>
      <c r="NE38" s="23"/>
      <c r="NF38" s="23"/>
      <c r="NG38" s="23"/>
      <c r="NH38" s="23"/>
      <c r="NI38" s="23"/>
      <c r="NJ38" s="23"/>
      <c r="NK38" s="23"/>
      <c r="NL38" s="23"/>
      <c r="NM38" s="23"/>
      <c r="NN38" s="23"/>
      <c r="NO38" s="23"/>
      <c r="NP38" s="23"/>
      <c r="NQ38" s="23"/>
      <c r="NR38" s="23"/>
      <c r="NS38" s="23"/>
      <c r="NT38" s="23"/>
      <c r="NU38" s="23"/>
      <c r="NV38" s="23"/>
      <c r="NW38" s="23"/>
      <c r="NX38" s="23"/>
      <c r="NY38" s="23"/>
      <c r="NZ38" s="23"/>
      <c r="OA38" s="23"/>
      <c r="OB38" s="23"/>
      <c r="OC38" s="23"/>
      <c r="OD38" s="23"/>
      <c r="OE38" s="23"/>
      <c r="OF38" s="23"/>
      <c r="OG38" s="23"/>
      <c r="OH38" s="23"/>
      <c r="OI38" s="23"/>
      <c r="OJ38" s="23"/>
      <c r="OK38" s="23"/>
      <c r="OL38" s="23"/>
      <c r="OM38" s="23"/>
      <c r="ON38" s="23"/>
      <c r="OO38" s="23"/>
      <c r="OP38" s="23"/>
      <c r="OQ38" s="23"/>
      <c r="OR38" s="23"/>
      <c r="OS38" s="23"/>
      <c r="OT38" s="23"/>
      <c r="OU38" s="23"/>
      <c r="OV38" s="23"/>
      <c r="OW38" s="23"/>
      <c r="OX38" s="23"/>
      <c r="OY38" s="23"/>
      <c r="OZ38" s="23"/>
      <c r="PA38" s="23"/>
      <c r="PB38" s="23"/>
      <c r="PC38" s="23"/>
      <c r="PD38" s="23"/>
      <c r="PE38" s="23"/>
      <c r="PF38" s="23"/>
      <c r="PG38" s="23"/>
      <c r="PH38" s="23"/>
      <c r="PI38" s="23"/>
      <c r="PJ38" s="23"/>
      <c r="PK38" s="23"/>
      <c r="PL38" s="23"/>
      <c r="PM38" s="23"/>
      <c r="PN38" s="23"/>
      <c r="PO38" s="23"/>
      <c r="PP38" s="23"/>
      <c r="PQ38" s="23"/>
      <c r="PR38" s="23"/>
      <c r="PS38" s="23"/>
      <c r="PT38" s="23"/>
      <c r="PU38" s="23"/>
      <c r="PV38" s="23"/>
      <c r="PW38" s="23"/>
      <c r="PX38" s="23"/>
      <c r="PY38" s="23"/>
      <c r="PZ38" s="23"/>
      <c r="QA38" s="23"/>
      <c r="QB38" s="23"/>
      <c r="QC38" s="23"/>
      <c r="QD38" s="23"/>
      <c r="QE38" s="23"/>
      <c r="QF38" s="23"/>
      <c r="QG38" s="23"/>
      <c r="QH38" s="23"/>
      <c r="QI38" s="23"/>
      <c r="QJ38" s="23"/>
      <c r="QK38" s="23"/>
      <c r="QL38" s="23"/>
      <c r="QM38" s="23"/>
      <c r="QN38" s="23"/>
      <c r="QO38" s="23"/>
      <c r="QP38" s="23"/>
      <c r="QQ38" s="23"/>
      <c r="QR38" s="23"/>
      <c r="QS38" s="23"/>
      <c r="QT38" s="23"/>
      <c r="QU38" s="23"/>
      <c r="QV38" s="23"/>
      <c r="QW38" s="23"/>
      <c r="QX38" s="23"/>
      <c r="QY38" s="23"/>
      <c r="QZ38" s="23"/>
      <c r="RA38" s="23"/>
      <c r="RB38" s="23"/>
      <c r="RC38" s="23"/>
      <c r="RD38" s="23"/>
      <c r="RE38" s="23"/>
      <c r="RF38" s="23"/>
      <c r="RG38" s="23"/>
      <c r="RH38" s="23"/>
      <c r="RI38" s="23"/>
      <c r="RJ38" s="23"/>
      <c r="RK38" s="23"/>
      <c r="RL38" s="23"/>
      <c r="RM38" s="23"/>
      <c r="RN38" s="23"/>
      <c r="RO38" s="23"/>
      <c r="RP38" s="23"/>
      <c r="RQ38" s="23"/>
      <c r="RR38" s="23"/>
      <c r="RS38" s="23"/>
      <c r="RT38" s="23"/>
      <c r="RU38" s="23"/>
      <c r="RV38" s="23"/>
      <c r="RW38" s="23"/>
      <c r="RX38" s="23"/>
      <c r="RY38" s="23"/>
      <c r="RZ38" s="23"/>
      <c r="SA38" s="23"/>
      <c r="SB38" s="23"/>
      <c r="SC38" s="23"/>
      <c r="SD38" s="23"/>
      <c r="SE38" s="23"/>
      <c r="SF38" s="23"/>
      <c r="SG38" s="23"/>
      <c r="SH38" s="23"/>
      <c r="SI38" s="23"/>
      <c r="SJ38" s="23"/>
      <c r="SK38" s="23"/>
      <c r="SL38" s="23"/>
      <c r="SM38" s="23"/>
      <c r="SN38" s="23"/>
      <c r="SO38" s="23"/>
      <c r="SP38" s="23"/>
      <c r="SQ38" s="23"/>
      <c r="SR38" s="23"/>
      <c r="SS38" s="23"/>
      <c r="ST38" s="23"/>
      <c r="SU38" s="23"/>
      <c r="SV38" s="23"/>
      <c r="SW38" s="23"/>
      <c r="SX38" s="23"/>
      <c r="SY38" s="23"/>
      <c r="SZ38" s="23"/>
      <c r="TA38" s="23"/>
      <c r="TB38" s="23"/>
      <c r="TC38" s="23"/>
      <c r="TD38" s="23"/>
      <c r="TE38" s="23"/>
      <c r="TF38" s="23"/>
      <c r="TG38" s="23"/>
      <c r="TH38" s="23"/>
      <c r="TI38" s="23"/>
      <c r="TJ38" s="23"/>
      <c r="TK38" s="23"/>
      <c r="TL38" s="23"/>
      <c r="TM38" s="23"/>
      <c r="TN38" s="23"/>
      <c r="TO38" s="23"/>
      <c r="TP38" s="23"/>
      <c r="TQ38" s="23"/>
      <c r="TR38" s="23"/>
      <c r="TS38" s="23"/>
      <c r="TT38" s="23"/>
      <c r="TU38" s="23"/>
      <c r="TV38" s="23"/>
      <c r="TW38" s="23"/>
      <c r="TX38" s="23"/>
      <c r="TY38" s="23"/>
      <c r="TZ38" s="23"/>
      <c r="UA38" s="23"/>
      <c r="UB38" s="23"/>
      <c r="UC38" s="23"/>
      <c r="UD38" s="23"/>
      <c r="UE38" s="23"/>
      <c r="UF38" s="23"/>
      <c r="UG38" s="23"/>
      <c r="UH38" s="23"/>
      <c r="UI38" s="23"/>
      <c r="UJ38" s="23"/>
      <c r="UK38" s="23"/>
      <c r="UL38" s="23"/>
      <c r="UM38" s="23"/>
      <c r="UN38" s="23"/>
      <c r="UO38" s="23"/>
      <c r="UP38" s="23"/>
      <c r="UQ38" s="23"/>
      <c r="UR38" s="23"/>
      <c r="US38" s="23"/>
      <c r="UT38" s="23"/>
      <c r="UU38" s="23"/>
      <c r="UV38" s="23"/>
      <c r="UW38" s="23"/>
      <c r="UX38" s="23"/>
      <c r="UY38" s="23"/>
      <c r="UZ38" s="23"/>
      <c r="VA38" s="23"/>
      <c r="VB38" s="23"/>
      <c r="VC38" s="23"/>
      <c r="VD38" s="23"/>
      <c r="VE38" s="23"/>
      <c r="VF38" s="23"/>
      <c r="VG38" s="23"/>
      <c r="VH38" s="23"/>
      <c r="VI38" s="23"/>
      <c r="VJ38" s="23"/>
      <c r="VK38" s="23"/>
      <c r="VL38" s="23"/>
      <c r="VM38" s="23"/>
      <c r="VN38" s="23"/>
      <c r="VO38" s="23"/>
      <c r="VP38" s="23"/>
      <c r="VQ38" s="23"/>
      <c r="VR38" s="23"/>
      <c r="VS38" s="23"/>
      <c r="VT38" s="23"/>
      <c r="VU38" s="23"/>
      <c r="VV38" s="23"/>
      <c r="VW38" s="23"/>
      <c r="VX38" s="23"/>
      <c r="VY38" s="23"/>
      <c r="VZ38" s="23"/>
      <c r="WA38" s="23"/>
      <c r="WB38" s="23"/>
      <c r="WC38" s="23"/>
      <c r="WD38" s="23"/>
      <c r="WE38" s="23"/>
      <c r="WF38" s="23"/>
      <c r="WG38" s="23"/>
      <c r="WH38" s="23"/>
      <c r="WI38" s="23"/>
      <c r="WJ38" s="23"/>
      <c r="WK38" s="23"/>
      <c r="WL38" s="23"/>
      <c r="WM38" s="23"/>
      <c r="WN38" s="23"/>
      <c r="WO38" s="23"/>
      <c r="WP38" s="23"/>
      <c r="WQ38" s="23"/>
      <c r="WR38" s="23"/>
      <c r="WS38" s="23"/>
      <c r="WT38" s="23"/>
      <c r="WU38" s="23"/>
      <c r="WV38" s="23"/>
      <c r="WW38" s="23"/>
      <c r="WX38" s="23"/>
      <c r="WY38" s="23"/>
      <c r="WZ38" s="23"/>
      <c r="XA38" s="23"/>
      <c r="XB38" s="23"/>
      <c r="XC38" s="23"/>
      <c r="XD38" s="23"/>
      <c r="XE38" s="23"/>
      <c r="XF38" s="23"/>
      <c r="XG38" s="23"/>
      <c r="XH38" s="23"/>
      <c r="XI38" s="23"/>
      <c r="XJ38" s="23"/>
      <c r="XK38" s="23"/>
      <c r="XL38" s="23"/>
      <c r="XM38" s="23"/>
      <c r="XN38" s="23"/>
      <c r="XO38" s="23"/>
      <c r="XP38" s="23"/>
      <c r="XQ38" s="23"/>
      <c r="XR38" s="23"/>
      <c r="XS38" s="23"/>
      <c r="XT38" s="23"/>
      <c r="XU38" s="23"/>
      <c r="XV38" s="23"/>
      <c r="XW38" s="23"/>
      <c r="XX38" s="23"/>
      <c r="XY38" s="23"/>
      <c r="XZ38" s="23"/>
      <c r="YA38" s="23"/>
      <c r="YB38" s="23"/>
      <c r="YC38" s="23"/>
      <c r="YD38" s="23"/>
      <c r="YE38" s="23"/>
      <c r="YF38" s="23"/>
      <c r="YG38" s="23"/>
      <c r="YH38" s="23"/>
      <c r="YI38" s="23"/>
      <c r="YJ38" s="23"/>
      <c r="YK38" s="23"/>
      <c r="YL38" s="23"/>
      <c r="YM38" s="23"/>
      <c r="YN38" s="23"/>
      <c r="YO38" s="23"/>
      <c r="YP38" s="23"/>
      <c r="YQ38" s="23"/>
      <c r="YR38" s="23"/>
      <c r="YS38" s="23"/>
      <c r="YT38" s="23"/>
      <c r="YU38" s="23"/>
      <c r="YV38" s="23"/>
      <c r="YW38" s="23"/>
      <c r="YX38" s="23"/>
      <c r="YY38" s="23"/>
      <c r="YZ38" s="23"/>
      <c r="ZA38" s="23"/>
      <c r="ZB38" s="23"/>
      <c r="ZC38" s="23"/>
      <c r="ZD38" s="23"/>
      <c r="ZE38" s="54"/>
    </row>
  </sheetData>
  <phoneticPr fontId="17" type="noConversion"/>
  <conditionalFormatting sqref="J6:AK6">
    <cfRule type="expression" dxfId="6" priority="8">
      <formula>J6&gt;J5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AJ102"/>
  <sheetViews>
    <sheetView topLeftCell="D1" zoomScale="62" zoomScaleNormal="62" workbookViewId="0">
      <pane ySplit="4" topLeftCell="A56" activePane="bottomLeft" state="frozen"/>
      <selection pane="bottomLeft" activeCell="H2" sqref="H2"/>
    </sheetView>
  </sheetViews>
  <sheetFormatPr baseColWidth="10" defaultColWidth="11.42578125" defaultRowHeight="15" x14ac:dyDescent="0.25"/>
  <cols>
    <col min="1" max="1" width="13.140625" style="24" customWidth="1"/>
    <col min="2" max="6" width="11.42578125" style="24"/>
    <col min="7" max="7" width="20.7109375" style="24" customWidth="1"/>
    <col min="8" max="8" width="7.140625" style="24" customWidth="1"/>
    <col min="9" max="33" width="6.85546875" style="24" customWidth="1"/>
    <col min="34" max="34" width="6" style="24" customWidth="1"/>
    <col min="35" max="16384" width="11.42578125" style="24"/>
  </cols>
  <sheetData>
    <row r="1" spans="1:36" ht="15.75" thickBot="1" x14ac:dyDescent="0.3">
      <c r="F1" s="101"/>
      <c r="J1" s="234"/>
      <c r="L1" s="297"/>
      <c r="M1" s="297"/>
    </row>
    <row r="2" spans="1:36" ht="21.75" thickBot="1" x14ac:dyDescent="0.4">
      <c r="A2" s="120" t="s">
        <v>103</v>
      </c>
      <c r="B2" s="1" t="str">
        <f>I4</f>
        <v>W2/20</v>
      </c>
      <c r="C2" s="41"/>
      <c r="D2" s="41"/>
      <c r="F2" s="25"/>
      <c r="I2" s="234"/>
      <c r="J2" s="234"/>
    </row>
    <row r="3" spans="1:36" x14ac:dyDescent="0.25">
      <c r="H3" s="24" t="s">
        <v>104</v>
      </c>
      <c r="I3" s="234"/>
      <c r="J3" s="234"/>
    </row>
    <row r="4" spans="1:36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46" t="s">
        <v>102</v>
      </c>
      <c r="H4" s="256" t="s">
        <v>76</v>
      </c>
      <c r="I4" s="256" t="s">
        <v>77</v>
      </c>
      <c r="J4" s="256" t="s">
        <v>78</v>
      </c>
      <c r="K4" s="256" t="s">
        <v>79</v>
      </c>
      <c r="L4" s="256" t="s">
        <v>80</v>
      </c>
      <c r="M4" s="256" t="s">
        <v>81</v>
      </c>
      <c r="N4" s="256" t="s">
        <v>82</v>
      </c>
      <c r="O4" s="256" t="s">
        <v>83</v>
      </c>
      <c r="P4" s="256" t="s">
        <v>84</v>
      </c>
      <c r="Q4" s="256" t="s">
        <v>85</v>
      </c>
      <c r="R4" s="256" t="s">
        <v>86</v>
      </c>
      <c r="S4" s="256" t="s">
        <v>87</v>
      </c>
      <c r="T4" s="256" t="s">
        <v>88</v>
      </c>
      <c r="U4" s="256" t="s">
        <v>89</v>
      </c>
      <c r="V4" s="256" t="s">
        <v>90</v>
      </c>
      <c r="W4" s="256" t="s">
        <v>91</v>
      </c>
      <c r="X4" s="256" t="s">
        <v>92</v>
      </c>
      <c r="Y4" s="256" t="s">
        <v>93</v>
      </c>
      <c r="Z4" s="256" t="s">
        <v>94</v>
      </c>
      <c r="AA4" s="256" t="s">
        <v>95</v>
      </c>
      <c r="AB4" s="256" t="s">
        <v>96</v>
      </c>
      <c r="AC4" s="256" t="s">
        <v>97</v>
      </c>
      <c r="AD4" s="256" t="s">
        <v>98</v>
      </c>
      <c r="AE4" s="257" t="s">
        <v>99</v>
      </c>
      <c r="AF4" s="256" t="s">
        <v>100</v>
      </c>
      <c r="AG4" s="256"/>
      <c r="AH4" s="256"/>
      <c r="AI4" s="256"/>
      <c r="AJ4" s="256"/>
    </row>
    <row r="5" spans="1:36" x14ac:dyDescent="0.25">
      <c r="A5" s="30">
        <v>1000</v>
      </c>
      <c r="B5" s="102" t="s">
        <v>29</v>
      </c>
      <c r="C5" s="155">
        <v>111</v>
      </c>
      <c r="D5" s="42" t="s">
        <v>65</v>
      </c>
      <c r="E5" s="103" t="s">
        <v>49</v>
      </c>
      <c r="F5" s="42" t="s">
        <v>48</v>
      </c>
      <c r="G5" s="98" t="s">
        <v>47</v>
      </c>
      <c r="H5" s="14"/>
      <c r="I5" s="153"/>
      <c r="J5" s="153"/>
      <c r="K5" s="16">
        <f ca="1">Factory!J12</f>
        <v>550</v>
      </c>
      <c r="L5" s="16">
        <f ca="1">Factory!K12</f>
        <v>220</v>
      </c>
      <c r="M5" s="16">
        <f ca="1">Factory!L12</f>
        <v>310</v>
      </c>
      <c r="N5" s="16">
        <f ca="1">Factory!M12</f>
        <v>410</v>
      </c>
      <c r="O5" s="16">
        <f ca="1">Factory!N12</f>
        <v>440</v>
      </c>
      <c r="P5" s="16">
        <f ca="1">Factory!O12</f>
        <v>350</v>
      </c>
      <c r="Q5" s="16">
        <f ca="1">Factory!P12</f>
        <v>540</v>
      </c>
      <c r="R5" s="16">
        <f ca="1">Factory!Q12</f>
        <v>550</v>
      </c>
      <c r="S5" s="16">
        <f ca="1">Factory!R12</f>
        <v>390</v>
      </c>
      <c r="T5" s="16">
        <f ca="1">Factory!S12</f>
        <v>530</v>
      </c>
      <c r="U5" s="16">
        <f ca="1">Factory!T12</f>
        <v>300</v>
      </c>
      <c r="V5" s="16">
        <f ca="1">Factory!U12</f>
        <v>420</v>
      </c>
      <c r="W5" s="16">
        <f ca="1">Factory!V12</f>
        <v>340</v>
      </c>
      <c r="X5" s="16">
        <f ca="1">Factory!W12</f>
        <v>460</v>
      </c>
      <c r="Y5" s="16">
        <f ca="1">Factory!X12</f>
        <v>540</v>
      </c>
      <c r="Z5" s="16">
        <f ca="1">Factory!Y12</f>
        <v>360</v>
      </c>
      <c r="AA5" s="16">
        <f ca="1">Factory!Z12</f>
        <v>620</v>
      </c>
      <c r="AB5" s="16">
        <f ca="1">Factory!AA12</f>
        <v>400</v>
      </c>
      <c r="AC5" s="16">
        <f ca="1">Factory!AB12</f>
        <v>400</v>
      </c>
      <c r="AD5" s="16">
        <f ca="1">Factory!AC12</f>
        <v>220</v>
      </c>
      <c r="AE5" s="16">
        <f ca="1">Factory!AD12</f>
        <v>210</v>
      </c>
      <c r="AF5" s="16">
        <f ca="1">Factory!AE12</f>
        <v>40</v>
      </c>
      <c r="AG5" s="229"/>
      <c r="AH5" s="229"/>
      <c r="AI5" s="229"/>
      <c r="AJ5" s="229"/>
    </row>
    <row r="6" spans="1:36" x14ac:dyDescent="0.25">
      <c r="A6" s="30">
        <v>1000</v>
      </c>
      <c r="B6" s="102" t="s">
        <v>29</v>
      </c>
      <c r="C6" s="155">
        <v>111</v>
      </c>
      <c r="D6" s="42" t="s">
        <v>65</v>
      </c>
      <c r="E6" s="103" t="s">
        <v>49</v>
      </c>
      <c r="F6" s="42" t="s">
        <v>48</v>
      </c>
      <c r="G6" s="35" t="s">
        <v>73</v>
      </c>
      <c r="H6" s="31"/>
      <c r="I6" s="36">
        <f>MJ_Initialisation!D44</f>
        <v>530</v>
      </c>
      <c r="J6" s="237">
        <f>MJ_Initialisation!E44</f>
        <v>310</v>
      </c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271"/>
      <c r="AH6" s="271"/>
      <c r="AI6" s="271"/>
      <c r="AJ6" s="271"/>
    </row>
    <row r="7" spans="1:36" x14ac:dyDescent="0.25">
      <c r="A7" s="30">
        <v>1000</v>
      </c>
      <c r="B7" s="102" t="s">
        <v>29</v>
      </c>
      <c r="C7" s="155">
        <v>111</v>
      </c>
      <c r="D7" s="42" t="s">
        <v>65</v>
      </c>
      <c r="E7" s="103" t="s">
        <v>49</v>
      </c>
      <c r="F7" s="42" t="s">
        <v>48</v>
      </c>
      <c r="G7" s="106" t="s">
        <v>127</v>
      </c>
      <c r="H7" s="42"/>
      <c r="I7" s="250">
        <f>I5+I6</f>
        <v>530</v>
      </c>
      <c r="J7" s="87">
        <f t="shared" ref="J7" si="0">J5+J6</f>
        <v>310</v>
      </c>
      <c r="K7" s="97">
        <f ca="1">K5</f>
        <v>550</v>
      </c>
      <c r="L7" s="97">
        <f ca="1">L5</f>
        <v>220</v>
      </c>
      <c r="M7" s="97">
        <f ca="1">M5</f>
        <v>310</v>
      </c>
      <c r="N7" s="97">
        <f t="shared" ref="N7:AF7" ca="1" si="1">N5</f>
        <v>410</v>
      </c>
      <c r="O7" s="97">
        <f t="shared" ca="1" si="1"/>
        <v>440</v>
      </c>
      <c r="P7" s="97">
        <f t="shared" ca="1" si="1"/>
        <v>350</v>
      </c>
      <c r="Q7" s="97">
        <f t="shared" ca="1" si="1"/>
        <v>540</v>
      </c>
      <c r="R7" s="97">
        <f t="shared" ca="1" si="1"/>
        <v>550</v>
      </c>
      <c r="S7" s="97">
        <f t="shared" ca="1" si="1"/>
        <v>390</v>
      </c>
      <c r="T7" s="97">
        <f t="shared" ca="1" si="1"/>
        <v>530</v>
      </c>
      <c r="U7" s="97">
        <f t="shared" ca="1" si="1"/>
        <v>300</v>
      </c>
      <c r="V7" s="97">
        <f t="shared" ca="1" si="1"/>
        <v>420</v>
      </c>
      <c r="W7" s="97">
        <f t="shared" ca="1" si="1"/>
        <v>340</v>
      </c>
      <c r="X7" s="97">
        <f t="shared" ca="1" si="1"/>
        <v>460</v>
      </c>
      <c r="Y7" s="97">
        <f t="shared" ca="1" si="1"/>
        <v>540</v>
      </c>
      <c r="Z7" s="97">
        <f t="shared" ca="1" si="1"/>
        <v>360</v>
      </c>
      <c r="AA7" s="97">
        <f t="shared" ca="1" si="1"/>
        <v>620</v>
      </c>
      <c r="AB7" s="97">
        <f t="shared" ca="1" si="1"/>
        <v>400</v>
      </c>
      <c r="AC7" s="97">
        <f t="shared" ca="1" si="1"/>
        <v>400</v>
      </c>
      <c r="AD7" s="97">
        <f t="shared" ca="1" si="1"/>
        <v>220</v>
      </c>
      <c r="AE7" s="97">
        <f t="shared" ca="1" si="1"/>
        <v>210</v>
      </c>
      <c r="AF7" s="97">
        <f t="shared" ca="1" si="1"/>
        <v>40</v>
      </c>
      <c r="AG7" s="250"/>
      <c r="AH7" s="250"/>
      <c r="AI7" s="250"/>
      <c r="AJ7" s="250"/>
    </row>
    <row r="8" spans="1:36" ht="15.75" thickBot="1" x14ac:dyDescent="0.3">
      <c r="A8" s="30">
        <v>1000</v>
      </c>
      <c r="B8" s="102" t="s">
        <v>29</v>
      </c>
      <c r="C8" s="103" t="s">
        <v>49</v>
      </c>
      <c r="D8" s="42" t="s">
        <v>48</v>
      </c>
      <c r="E8" s="103" t="s">
        <v>49</v>
      </c>
      <c r="F8" s="42" t="s">
        <v>48</v>
      </c>
      <c r="G8" s="168" t="s">
        <v>120</v>
      </c>
      <c r="H8" s="19">
        <f>CBN_CDC!H11</f>
        <v>0</v>
      </c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231"/>
      <c r="AH8" s="231"/>
      <c r="AI8" s="231"/>
      <c r="AJ8" s="231"/>
    </row>
    <row r="9" spans="1:36" x14ac:dyDescent="0.25">
      <c r="A9" s="30">
        <v>1000</v>
      </c>
      <c r="B9" s="102" t="s">
        <v>29</v>
      </c>
      <c r="C9" s="103" t="s">
        <v>49</v>
      </c>
      <c r="D9" s="42" t="s">
        <v>48</v>
      </c>
      <c r="E9" s="103" t="s">
        <v>49</v>
      </c>
      <c r="F9" s="42" t="s">
        <v>48</v>
      </c>
      <c r="G9" s="106" t="s">
        <v>63</v>
      </c>
      <c r="H9" s="47"/>
      <c r="I9" s="87">
        <f ca="1">IF(I16&gt;0,0,I14+H18)+IF(I21&gt;0,0,I19+H23)+IF(I26&gt;0,0,I24+H28)+IF(I31&gt;0,0,I29+H33)</f>
        <v>530</v>
      </c>
      <c r="J9" s="87">
        <f ca="1">IF(J16&gt;0,0,J14+I18)+IF(J21&gt;0,0,J19+I23)+IF(J26&gt;0,0,J24+I28)+IF(J31&gt;0,0,J29+I33)</f>
        <v>310</v>
      </c>
      <c r="K9" s="87">
        <f ca="1">IF(K16&gt;0,0,K14+J18)+IF(K21&gt;0,0,K19+J23)+IF(K26&gt;0,0,K24+J28)+IF(K31&gt;0,0,K29+J33)</f>
        <v>550</v>
      </c>
      <c r="L9" s="87">
        <f t="shared" ref="L9:AD9" ca="1" si="2">IF(L16&gt;0,0,L14+K18)+IF(L21&gt;0,0,L19+K23)+IF(L26&gt;0,0,L24+K28)+IF(L31&gt;0,0,L29+K33)</f>
        <v>220</v>
      </c>
      <c r="M9" s="87">
        <f t="shared" ca="1" si="2"/>
        <v>310</v>
      </c>
      <c r="N9" s="87">
        <f t="shared" ca="1" si="2"/>
        <v>410</v>
      </c>
      <c r="O9" s="87">
        <f t="shared" ca="1" si="2"/>
        <v>440</v>
      </c>
      <c r="P9" s="87">
        <f t="shared" ca="1" si="2"/>
        <v>350</v>
      </c>
      <c r="Q9" s="87">
        <f t="shared" ca="1" si="2"/>
        <v>540</v>
      </c>
      <c r="R9" s="87">
        <f t="shared" ca="1" si="2"/>
        <v>550</v>
      </c>
      <c r="S9" s="87">
        <f t="shared" ca="1" si="2"/>
        <v>390</v>
      </c>
      <c r="T9" s="87">
        <f t="shared" ca="1" si="2"/>
        <v>530</v>
      </c>
      <c r="U9" s="87">
        <f t="shared" ca="1" si="2"/>
        <v>300</v>
      </c>
      <c r="V9" s="87">
        <f t="shared" ca="1" si="2"/>
        <v>420</v>
      </c>
      <c r="W9" s="87">
        <f t="shared" ca="1" si="2"/>
        <v>340</v>
      </c>
      <c r="X9" s="87">
        <f t="shared" ca="1" si="2"/>
        <v>460</v>
      </c>
      <c r="Y9" s="87">
        <f t="shared" ca="1" si="2"/>
        <v>540</v>
      </c>
      <c r="Z9" s="87">
        <f t="shared" ca="1" si="2"/>
        <v>360</v>
      </c>
      <c r="AA9" s="87">
        <f t="shared" ca="1" si="2"/>
        <v>620</v>
      </c>
      <c r="AB9" s="87">
        <f t="shared" ca="1" si="2"/>
        <v>400</v>
      </c>
      <c r="AC9" s="87">
        <f t="shared" ca="1" si="2"/>
        <v>400</v>
      </c>
      <c r="AD9" s="87">
        <f t="shared" ca="1" si="2"/>
        <v>220</v>
      </c>
      <c r="AE9" s="87">
        <f ca="1">IF(AE16&gt;0,0,AE14+AD18)+IF(AE21&gt;0,0,AE19+AD23)+IF(AE26&gt;0,0,AE24+AD28)+IF(AE31&gt;0,0,AE29+AD33)</f>
        <v>210</v>
      </c>
      <c r="AF9" s="87">
        <f t="shared" ref="AF9" ca="1" si="3">IF(AF16&gt;0,0,AF14+AE18)+IF(AF21&gt;0,0,AF19+AE23)+IF(AF26&gt;0,0,AF24+AE28)+IF(AF31&gt;0,0,AF29+AE33)</f>
        <v>40</v>
      </c>
      <c r="AG9" s="246"/>
      <c r="AH9" s="246"/>
      <c r="AI9" s="246"/>
      <c r="AJ9" s="246"/>
    </row>
    <row r="10" spans="1:36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49</v>
      </c>
      <c r="F10" s="42" t="s">
        <v>48</v>
      </c>
      <c r="G10" s="99" t="s">
        <v>59</v>
      </c>
      <c r="H10" s="14"/>
      <c r="I10" s="17">
        <f ca="1">I15+I20+I25+I30</f>
        <v>530</v>
      </c>
      <c r="J10" s="17">
        <f t="shared" ref="J10:AE10" ca="1" si="4">J15+J20+J25+J30</f>
        <v>310</v>
      </c>
      <c r="K10" s="17">
        <f t="shared" ca="1" si="4"/>
        <v>550</v>
      </c>
      <c r="L10" s="17">
        <f t="shared" ca="1" si="4"/>
        <v>220</v>
      </c>
      <c r="M10" s="17">
        <f t="shared" ca="1" si="4"/>
        <v>310</v>
      </c>
      <c r="N10" s="17">
        <f t="shared" ca="1" si="4"/>
        <v>410</v>
      </c>
      <c r="O10" s="17">
        <f t="shared" ca="1" si="4"/>
        <v>440</v>
      </c>
      <c r="P10" s="17">
        <f t="shared" ca="1" si="4"/>
        <v>350</v>
      </c>
      <c r="Q10" s="17">
        <f t="shared" ca="1" si="4"/>
        <v>540</v>
      </c>
      <c r="R10" s="17">
        <f t="shared" ca="1" si="4"/>
        <v>550</v>
      </c>
      <c r="S10" s="17">
        <f t="shared" ca="1" si="4"/>
        <v>390</v>
      </c>
      <c r="T10" s="17">
        <f t="shared" ca="1" si="4"/>
        <v>530</v>
      </c>
      <c r="U10" s="17">
        <f t="shared" ca="1" si="4"/>
        <v>300</v>
      </c>
      <c r="V10" s="17">
        <f t="shared" ca="1" si="4"/>
        <v>420</v>
      </c>
      <c r="W10" s="17">
        <f t="shared" ca="1" si="4"/>
        <v>340</v>
      </c>
      <c r="X10" s="17">
        <f t="shared" ca="1" si="4"/>
        <v>460</v>
      </c>
      <c r="Y10" s="17">
        <f t="shared" ca="1" si="4"/>
        <v>540</v>
      </c>
      <c r="Z10" s="17">
        <f t="shared" ca="1" si="4"/>
        <v>360</v>
      </c>
      <c r="AA10" s="17">
        <f t="shared" ca="1" si="4"/>
        <v>620</v>
      </c>
      <c r="AB10" s="17">
        <f t="shared" ca="1" si="4"/>
        <v>400</v>
      </c>
      <c r="AC10" s="17">
        <f t="shared" ca="1" si="4"/>
        <v>400</v>
      </c>
      <c r="AD10" s="17">
        <f t="shared" ca="1" si="4"/>
        <v>220</v>
      </c>
      <c r="AE10" s="17">
        <f t="shared" ca="1" si="4"/>
        <v>210</v>
      </c>
      <c r="AF10" s="17">
        <f ca="1">AF15+AF20+AF25+AF30</f>
        <v>40</v>
      </c>
      <c r="AG10" s="230"/>
      <c r="AH10" s="230"/>
      <c r="AI10" s="230"/>
      <c r="AJ10" s="230"/>
    </row>
    <row r="11" spans="1:36" x14ac:dyDescent="0.25">
      <c r="A11" s="30">
        <v>1000</v>
      </c>
      <c r="B11" s="102" t="s">
        <v>29</v>
      </c>
      <c r="C11" s="155" t="s">
        <v>49</v>
      </c>
      <c r="D11" s="42" t="s">
        <v>48</v>
      </c>
      <c r="E11" s="103" t="s">
        <v>49</v>
      </c>
      <c r="F11" s="42" t="s">
        <v>48</v>
      </c>
      <c r="G11" s="99" t="s">
        <v>64</v>
      </c>
      <c r="H11" s="14"/>
      <c r="I11" s="17">
        <f ca="1">SUM(I16,I21,I26,I31)</f>
        <v>0</v>
      </c>
      <c r="J11" s="17">
        <f t="shared" ref="J11:AF11" ca="1" si="5">SUM(J16,J21,J26,J31)</f>
        <v>0</v>
      </c>
      <c r="K11" s="17">
        <v>0</v>
      </c>
      <c r="L11" s="17">
        <f t="shared" ca="1" si="5"/>
        <v>0</v>
      </c>
      <c r="M11" s="17">
        <f t="shared" ca="1" si="5"/>
        <v>0</v>
      </c>
      <c r="N11" s="17">
        <f t="shared" ca="1" si="5"/>
        <v>0</v>
      </c>
      <c r="O11" s="17">
        <f t="shared" ca="1" si="5"/>
        <v>0</v>
      </c>
      <c r="P11" s="17">
        <f t="shared" ca="1" si="5"/>
        <v>0</v>
      </c>
      <c r="Q11" s="17">
        <f t="shared" ca="1" si="5"/>
        <v>0</v>
      </c>
      <c r="R11" s="17">
        <f t="shared" ca="1" si="5"/>
        <v>0</v>
      </c>
      <c r="S11" s="17">
        <f t="shared" ca="1" si="5"/>
        <v>0</v>
      </c>
      <c r="T11" s="17">
        <f t="shared" ca="1" si="5"/>
        <v>0</v>
      </c>
      <c r="U11" s="17">
        <f t="shared" ca="1" si="5"/>
        <v>0</v>
      </c>
      <c r="V11" s="17">
        <f t="shared" ca="1" si="5"/>
        <v>0</v>
      </c>
      <c r="W11" s="17">
        <f t="shared" ca="1" si="5"/>
        <v>0</v>
      </c>
      <c r="X11" s="17">
        <f t="shared" ca="1" si="5"/>
        <v>0</v>
      </c>
      <c r="Y11" s="17">
        <f t="shared" ca="1" si="5"/>
        <v>0</v>
      </c>
      <c r="Z11" s="17">
        <f t="shared" ca="1" si="5"/>
        <v>0</v>
      </c>
      <c r="AA11" s="17">
        <f t="shared" ca="1" si="5"/>
        <v>0</v>
      </c>
      <c r="AB11" s="17">
        <f t="shared" ca="1" si="5"/>
        <v>0</v>
      </c>
      <c r="AC11" s="17">
        <f t="shared" ca="1" si="5"/>
        <v>0</v>
      </c>
      <c r="AD11" s="17">
        <f t="shared" ca="1" si="5"/>
        <v>0</v>
      </c>
      <c r="AE11" s="17">
        <f t="shared" ca="1" si="5"/>
        <v>0</v>
      </c>
      <c r="AF11" s="17">
        <f t="shared" ca="1" si="5"/>
        <v>0</v>
      </c>
      <c r="AG11" s="230"/>
      <c r="AH11" s="230"/>
      <c r="AI11" s="230"/>
      <c r="AJ11" s="230"/>
    </row>
    <row r="12" spans="1:36" x14ac:dyDescent="0.25">
      <c r="A12" s="30">
        <v>1000</v>
      </c>
      <c r="B12" s="102" t="s">
        <v>29</v>
      </c>
      <c r="C12" s="155" t="s">
        <v>49</v>
      </c>
      <c r="D12" s="42" t="s">
        <v>48</v>
      </c>
      <c r="E12" s="103" t="s">
        <v>49</v>
      </c>
      <c r="F12" s="42" t="s">
        <v>48</v>
      </c>
      <c r="G12" s="106" t="s">
        <v>61</v>
      </c>
      <c r="H12" s="42"/>
      <c r="I12" s="97">
        <f ca="1">I10</f>
        <v>530</v>
      </c>
      <c r="J12" s="97">
        <f ca="1">J10</f>
        <v>310</v>
      </c>
      <c r="K12" s="97">
        <f ca="1">MAX(MIN(K9,K5+J13-K11),0)</f>
        <v>550</v>
      </c>
      <c r="L12" s="250">
        <f t="shared" ref="L12:AF12" ca="1" si="6">MAX(MIN(L9,L5+K13-L11),0)</f>
        <v>220</v>
      </c>
      <c r="M12" s="250">
        <f t="shared" ca="1" si="6"/>
        <v>310</v>
      </c>
      <c r="N12" s="250">
        <f t="shared" ca="1" si="6"/>
        <v>410</v>
      </c>
      <c r="O12" s="250">
        <f t="shared" ca="1" si="6"/>
        <v>440</v>
      </c>
      <c r="P12" s="250">
        <f t="shared" ca="1" si="6"/>
        <v>350</v>
      </c>
      <c r="Q12" s="250">
        <f t="shared" ca="1" si="6"/>
        <v>540</v>
      </c>
      <c r="R12" s="250">
        <f t="shared" ca="1" si="6"/>
        <v>550</v>
      </c>
      <c r="S12" s="250">
        <f t="shared" ca="1" si="6"/>
        <v>390</v>
      </c>
      <c r="T12" s="250">
        <f t="shared" ca="1" si="6"/>
        <v>530</v>
      </c>
      <c r="U12" s="250">
        <f t="shared" ca="1" si="6"/>
        <v>300</v>
      </c>
      <c r="V12" s="250">
        <f t="shared" ca="1" si="6"/>
        <v>420</v>
      </c>
      <c r="W12" s="250">
        <f t="shared" ca="1" si="6"/>
        <v>340</v>
      </c>
      <c r="X12" s="250">
        <f t="shared" ca="1" si="6"/>
        <v>460</v>
      </c>
      <c r="Y12" s="250">
        <f t="shared" ca="1" si="6"/>
        <v>540</v>
      </c>
      <c r="Z12" s="250">
        <f t="shared" ca="1" si="6"/>
        <v>360</v>
      </c>
      <c r="AA12" s="250">
        <f t="shared" ca="1" si="6"/>
        <v>620</v>
      </c>
      <c r="AB12" s="250">
        <f t="shared" ca="1" si="6"/>
        <v>400</v>
      </c>
      <c r="AC12" s="250">
        <f t="shared" ca="1" si="6"/>
        <v>400</v>
      </c>
      <c r="AD12" s="250">
        <f t="shared" ca="1" si="6"/>
        <v>220</v>
      </c>
      <c r="AE12" s="250">
        <f t="shared" ca="1" si="6"/>
        <v>210</v>
      </c>
      <c r="AF12" s="250">
        <f t="shared" ca="1" si="6"/>
        <v>40</v>
      </c>
      <c r="AG12" s="250"/>
      <c r="AH12" s="250"/>
      <c r="AI12" s="250"/>
      <c r="AJ12" s="250"/>
    </row>
    <row r="13" spans="1:36" x14ac:dyDescent="0.25">
      <c r="A13" s="30">
        <v>1000</v>
      </c>
      <c r="B13" s="102" t="s">
        <v>29</v>
      </c>
      <c r="C13" s="155" t="s">
        <v>49</v>
      </c>
      <c r="D13" s="42" t="s">
        <v>48</v>
      </c>
      <c r="E13" s="103" t="s">
        <v>49</v>
      </c>
      <c r="F13" s="42" t="s">
        <v>48</v>
      </c>
      <c r="G13" s="100" t="s">
        <v>37</v>
      </c>
      <c r="H13" s="92"/>
      <c r="I13" s="97">
        <f ca="1">H8+I7-I12-I11</f>
        <v>0</v>
      </c>
      <c r="J13" s="97">
        <f ca="1">I13+J7-J12-J11</f>
        <v>0</v>
      </c>
      <c r="K13" s="250">
        <f t="shared" ref="K13:AF13" ca="1" si="7">J13+K7-K12-K11</f>
        <v>0</v>
      </c>
      <c r="L13" s="250">
        <f t="shared" ca="1" si="7"/>
        <v>0</v>
      </c>
      <c r="M13" s="250">
        <f t="shared" ca="1" si="7"/>
        <v>0</v>
      </c>
      <c r="N13" s="250">
        <f t="shared" ca="1" si="7"/>
        <v>0</v>
      </c>
      <c r="O13" s="250">
        <f t="shared" ca="1" si="7"/>
        <v>0</v>
      </c>
      <c r="P13" s="250">
        <f t="shared" ca="1" si="7"/>
        <v>0</v>
      </c>
      <c r="Q13" s="250">
        <f t="shared" ca="1" si="7"/>
        <v>0</v>
      </c>
      <c r="R13" s="250">
        <f t="shared" ca="1" si="7"/>
        <v>0</v>
      </c>
      <c r="S13" s="250">
        <f t="shared" ca="1" si="7"/>
        <v>0</v>
      </c>
      <c r="T13" s="250">
        <f t="shared" ca="1" si="7"/>
        <v>0</v>
      </c>
      <c r="U13" s="250">
        <f t="shared" ca="1" si="7"/>
        <v>0</v>
      </c>
      <c r="V13" s="250">
        <f t="shared" ca="1" si="7"/>
        <v>0</v>
      </c>
      <c r="W13" s="250">
        <f t="shared" ca="1" si="7"/>
        <v>0</v>
      </c>
      <c r="X13" s="250">
        <f t="shared" ca="1" si="7"/>
        <v>0</v>
      </c>
      <c r="Y13" s="250">
        <f t="shared" ca="1" si="7"/>
        <v>0</v>
      </c>
      <c r="Z13" s="250">
        <f t="shared" ca="1" si="7"/>
        <v>0</v>
      </c>
      <c r="AA13" s="250">
        <f t="shared" ca="1" si="7"/>
        <v>0</v>
      </c>
      <c r="AB13" s="250">
        <f t="shared" ca="1" si="7"/>
        <v>0</v>
      </c>
      <c r="AC13" s="250">
        <f t="shared" ca="1" si="7"/>
        <v>0</v>
      </c>
      <c r="AD13" s="250">
        <f t="shared" ca="1" si="7"/>
        <v>0</v>
      </c>
      <c r="AE13" s="250">
        <f t="shared" ca="1" si="7"/>
        <v>0</v>
      </c>
      <c r="AF13" s="250">
        <f t="shared" ca="1" si="7"/>
        <v>0</v>
      </c>
      <c r="AG13" s="250"/>
      <c r="AH13" s="250"/>
      <c r="AI13" s="250"/>
      <c r="AJ13" s="250"/>
    </row>
    <row r="14" spans="1:36" x14ac:dyDescent="0.25">
      <c r="A14" s="30">
        <v>1000</v>
      </c>
      <c r="B14" s="102" t="s">
        <v>29</v>
      </c>
      <c r="C14" s="155" t="s">
        <v>50</v>
      </c>
      <c r="D14" s="116" t="s">
        <v>33</v>
      </c>
      <c r="E14" s="103" t="s">
        <v>49</v>
      </c>
      <c r="F14" s="42" t="s">
        <v>48</v>
      </c>
      <c r="G14" s="98" t="s">
        <v>57</v>
      </c>
      <c r="H14" s="14"/>
      <c r="I14" s="107">
        <f>France!J12</f>
        <v>210</v>
      </c>
      <c r="J14" s="107">
        <f>France!K12</f>
        <v>60</v>
      </c>
      <c r="K14" s="107">
        <f>France!L12</f>
        <v>200</v>
      </c>
      <c r="L14" s="107">
        <f>France!M12</f>
        <v>80</v>
      </c>
      <c r="M14" s="16">
        <f>France!N12</f>
        <v>70</v>
      </c>
      <c r="N14" s="107">
        <f>France!O12</f>
        <v>150</v>
      </c>
      <c r="O14" s="107">
        <f>France!P12</f>
        <v>130</v>
      </c>
      <c r="P14" s="107">
        <f>France!Q12</f>
        <v>200</v>
      </c>
      <c r="Q14" s="107">
        <f>France!R12</f>
        <v>70</v>
      </c>
      <c r="R14" s="107">
        <f>France!S12</f>
        <v>160</v>
      </c>
      <c r="S14" s="107">
        <f>France!T12</f>
        <v>170</v>
      </c>
      <c r="T14" s="107">
        <f>France!U12</f>
        <v>130</v>
      </c>
      <c r="U14" s="107">
        <f>France!V12</f>
        <v>30</v>
      </c>
      <c r="V14" s="107">
        <f>France!W12</f>
        <v>120</v>
      </c>
      <c r="W14" s="107">
        <f>France!X12</f>
        <v>40</v>
      </c>
      <c r="X14" s="107">
        <f>France!Y12</f>
        <v>150</v>
      </c>
      <c r="Y14" s="107">
        <f>France!Z12</f>
        <v>150</v>
      </c>
      <c r="Z14" s="107">
        <f>France!AA12</f>
        <v>20</v>
      </c>
      <c r="AA14" s="107">
        <f>France!AB12</f>
        <v>170</v>
      </c>
      <c r="AB14" s="107">
        <f>France!AC12</f>
        <v>40</v>
      </c>
      <c r="AC14" s="107">
        <f>France!AD12</f>
        <v>130</v>
      </c>
      <c r="AD14" s="107">
        <f>France!AE12</f>
        <v>100</v>
      </c>
      <c r="AE14" s="107">
        <f>France!AF12</f>
        <v>190</v>
      </c>
      <c r="AF14" s="107">
        <f>France!AG12</f>
        <v>40</v>
      </c>
      <c r="AG14" s="251"/>
      <c r="AH14" s="251"/>
      <c r="AI14" s="251"/>
      <c r="AJ14" s="251"/>
    </row>
    <row r="15" spans="1:36" x14ac:dyDescent="0.25">
      <c r="A15" s="30">
        <v>1000</v>
      </c>
      <c r="B15" s="102" t="s">
        <v>29</v>
      </c>
      <c r="C15" s="155" t="s">
        <v>49</v>
      </c>
      <c r="D15" s="42" t="s">
        <v>48</v>
      </c>
      <c r="E15" s="103" t="s">
        <v>50</v>
      </c>
      <c r="F15" s="116" t="s">
        <v>33</v>
      </c>
      <c r="G15" s="99" t="s">
        <v>54</v>
      </c>
      <c r="H15" s="14"/>
      <c r="I15" s="15">
        <f>MJ_Initialisation!D20</f>
        <v>210</v>
      </c>
      <c r="J15" s="15">
        <f>MJ_Initialisation!E20</f>
        <v>60</v>
      </c>
      <c r="K15" s="15">
        <f>MJ_Initialisation!F20</f>
        <v>200</v>
      </c>
      <c r="L15" s="15">
        <f>MJ_Initialisation!G20</f>
        <v>80</v>
      </c>
      <c r="M15" s="15">
        <f>MJ_Initialisation!H20</f>
        <v>70</v>
      </c>
      <c r="N15" s="15">
        <f>MJ_Initialisation!I20</f>
        <v>150</v>
      </c>
      <c r="O15" s="15">
        <f>MJ_Initialisation!J20</f>
        <v>130</v>
      </c>
      <c r="P15" s="15">
        <f>MJ_Initialisation!K20</f>
        <v>200</v>
      </c>
      <c r="Q15" s="15">
        <f>MJ_Initialisation!L20</f>
        <v>70</v>
      </c>
      <c r="R15" s="15">
        <f>MJ_Initialisation!M20</f>
        <v>160</v>
      </c>
      <c r="S15" s="15">
        <f>MJ_Initialisation!N20</f>
        <v>170</v>
      </c>
      <c r="T15" s="15">
        <f>MJ_Initialisation!O20</f>
        <v>130</v>
      </c>
      <c r="U15" s="15">
        <f>MJ_Initialisation!P20</f>
        <v>30</v>
      </c>
      <c r="V15" s="15">
        <f>MJ_Initialisation!Q20</f>
        <v>120</v>
      </c>
      <c r="W15" s="15">
        <f>MJ_Initialisation!R20</f>
        <v>40</v>
      </c>
      <c r="X15" s="15">
        <f>MJ_Initialisation!S20</f>
        <v>150</v>
      </c>
      <c r="Y15" s="15">
        <f>MJ_Initialisation!T20</f>
        <v>150</v>
      </c>
      <c r="Z15" s="15">
        <f>MJ_Initialisation!U20</f>
        <v>20</v>
      </c>
      <c r="AA15" s="15">
        <f>MJ_Initialisation!V20</f>
        <v>170</v>
      </c>
      <c r="AB15" s="15">
        <f>MJ_Initialisation!W20</f>
        <v>40</v>
      </c>
      <c r="AC15" s="15">
        <f>MJ_Initialisation!X20</f>
        <v>130</v>
      </c>
      <c r="AD15" s="15">
        <f>MJ_Initialisation!Y20</f>
        <v>100</v>
      </c>
      <c r="AE15" s="15">
        <f>MJ_Initialisation!Z20</f>
        <v>190</v>
      </c>
      <c r="AF15" s="15">
        <f>MJ_Initialisation!AA20</f>
        <v>40</v>
      </c>
      <c r="AG15" s="228"/>
      <c r="AH15" s="228"/>
      <c r="AI15" s="228"/>
      <c r="AJ15" s="228"/>
    </row>
    <row r="16" spans="1:36" x14ac:dyDescent="0.25">
      <c r="A16" s="30">
        <v>1000</v>
      </c>
      <c r="B16" s="102" t="s">
        <v>29</v>
      </c>
      <c r="C16" s="155" t="s">
        <v>49</v>
      </c>
      <c r="D16" s="42" t="s">
        <v>48</v>
      </c>
      <c r="E16" s="103" t="s">
        <v>50</v>
      </c>
      <c r="F16" s="116" t="s">
        <v>33</v>
      </c>
      <c r="G16" s="105" t="s">
        <v>55</v>
      </c>
      <c r="H16" s="14"/>
      <c r="I16" s="15">
        <f>MJ_Initialisation!D21</f>
        <v>0</v>
      </c>
      <c r="J16" s="15">
        <f>MJ_Initialisation!E21</f>
        <v>0</v>
      </c>
      <c r="K16" s="15">
        <f>MJ_Initialisation!F21</f>
        <v>0</v>
      </c>
      <c r="L16" s="15">
        <f>MJ_Initialisation!G21</f>
        <v>0</v>
      </c>
      <c r="M16" s="15">
        <f>MJ_Initialisation!H21</f>
        <v>0</v>
      </c>
      <c r="N16" s="15">
        <f>MJ_Initialisation!I21</f>
        <v>0</v>
      </c>
      <c r="O16" s="15">
        <f>MJ_Initialisation!J21</f>
        <v>0</v>
      </c>
      <c r="P16" s="15">
        <f>MJ_Initialisation!K21</f>
        <v>0</v>
      </c>
      <c r="Q16" s="15">
        <f>MJ_Initialisation!L21</f>
        <v>0</v>
      </c>
      <c r="R16" s="15">
        <f>MJ_Initialisation!M21</f>
        <v>0</v>
      </c>
      <c r="S16" s="15">
        <f>MJ_Initialisation!N21</f>
        <v>0</v>
      </c>
      <c r="T16" s="15">
        <f>MJ_Initialisation!O21</f>
        <v>0</v>
      </c>
      <c r="U16" s="15">
        <f>MJ_Initialisation!P21</f>
        <v>0</v>
      </c>
      <c r="V16" s="15">
        <f>MJ_Initialisation!Q21</f>
        <v>0</v>
      </c>
      <c r="W16" s="15">
        <f>MJ_Initialisation!R21</f>
        <v>0</v>
      </c>
      <c r="X16" s="15">
        <f>MJ_Initialisation!S21</f>
        <v>0</v>
      </c>
      <c r="Y16" s="15">
        <f>MJ_Initialisation!T21</f>
        <v>0</v>
      </c>
      <c r="Z16" s="15">
        <f>MJ_Initialisation!U21</f>
        <v>0</v>
      </c>
      <c r="AA16" s="15">
        <f>MJ_Initialisation!V21</f>
        <v>0</v>
      </c>
      <c r="AB16" s="15">
        <f>MJ_Initialisation!W21</f>
        <v>0</v>
      </c>
      <c r="AC16" s="15">
        <f>MJ_Initialisation!X21</f>
        <v>0</v>
      </c>
      <c r="AD16" s="15">
        <f>MJ_Initialisation!Y21</f>
        <v>0</v>
      </c>
      <c r="AE16" s="15">
        <f>MJ_Initialisation!Z21</f>
        <v>0</v>
      </c>
      <c r="AF16" s="15">
        <f>MJ_Initialisation!AA21</f>
        <v>0</v>
      </c>
      <c r="AG16" s="228"/>
      <c r="AH16" s="228"/>
      <c r="AI16" s="228"/>
      <c r="AJ16" s="228"/>
    </row>
    <row r="17" spans="1:36" x14ac:dyDescent="0.25">
      <c r="A17" s="30">
        <v>1000</v>
      </c>
      <c r="B17" s="102" t="s">
        <v>29</v>
      </c>
      <c r="C17" s="155" t="s">
        <v>49</v>
      </c>
      <c r="D17" s="42" t="s">
        <v>48</v>
      </c>
      <c r="E17" s="103" t="s">
        <v>50</v>
      </c>
      <c r="F17" s="116" t="s">
        <v>33</v>
      </c>
      <c r="G17" s="106" t="s">
        <v>56</v>
      </c>
      <c r="H17" s="14"/>
      <c r="I17" s="87">
        <f>I15</f>
        <v>210</v>
      </c>
      <c r="J17" s="87">
        <f>J15</f>
        <v>60</v>
      </c>
      <c r="K17" s="87">
        <f ca="1">IF(K16=0,IF(K$9&gt;0,MAX(ROUND((((K14+J18)/K$9)*K$12),0),0),0),K16)</f>
        <v>200</v>
      </c>
      <c r="L17" s="246">
        <f t="shared" ref="L17:AF17" ca="1" si="8">IF(L16=0,IF(L$9&gt;0,MAX(ROUND((((L14+K18)/L$9)*L$12),0),0),0),L16)</f>
        <v>80</v>
      </c>
      <c r="M17" s="246">
        <f t="shared" ca="1" si="8"/>
        <v>70</v>
      </c>
      <c r="N17" s="246">
        <f t="shared" ca="1" si="8"/>
        <v>150</v>
      </c>
      <c r="O17" s="246">
        <f t="shared" ca="1" si="8"/>
        <v>130</v>
      </c>
      <c r="P17" s="246">
        <f t="shared" ca="1" si="8"/>
        <v>200</v>
      </c>
      <c r="Q17" s="246">
        <f t="shared" ca="1" si="8"/>
        <v>70</v>
      </c>
      <c r="R17" s="246">
        <f t="shared" ca="1" si="8"/>
        <v>160</v>
      </c>
      <c r="S17" s="246">
        <f t="shared" ca="1" si="8"/>
        <v>170</v>
      </c>
      <c r="T17" s="246">
        <f t="shared" ca="1" si="8"/>
        <v>130</v>
      </c>
      <c r="U17" s="246">
        <f t="shared" ca="1" si="8"/>
        <v>30</v>
      </c>
      <c r="V17" s="246">
        <f t="shared" ca="1" si="8"/>
        <v>120</v>
      </c>
      <c r="W17" s="246">
        <f t="shared" ca="1" si="8"/>
        <v>40</v>
      </c>
      <c r="X17" s="246">
        <f t="shared" ca="1" si="8"/>
        <v>150</v>
      </c>
      <c r="Y17" s="246">
        <f t="shared" ca="1" si="8"/>
        <v>150</v>
      </c>
      <c r="Z17" s="246">
        <f t="shared" ca="1" si="8"/>
        <v>20</v>
      </c>
      <c r="AA17" s="246">
        <f t="shared" ca="1" si="8"/>
        <v>170</v>
      </c>
      <c r="AB17" s="246">
        <f t="shared" ca="1" si="8"/>
        <v>40</v>
      </c>
      <c r="AC17" s="246">
        <f t="shared" ca="1" si="8"/>
        <v>130</v>
      </c>
      <c r="AD17" s="246">
        <f t="shared" ca="1" si="8"/>
        <v>100</v>
      </c>
      <c r="AE17" s="246">
        <f t="shared" ca="1" si="8"/>
        <v>190</v>
      </c>
      <c r="AF17" s="246">
        <f t="shared" ca="1" si="8"/>
        <v>40</v>
      </c>
      <c r="AG17" s="246"/>
      <c r="AH17" s="246"/>
      <c r="AI17" s="246"/>
      <c r="AJ17" s="246"/>
    </row>
    <row r="18" spans="1:36" x14ac:dyDescent="0.25">
      <c r="A18" s="30">
        <v>1000</v>
      </c>
      <c r="B18" s="102" t="s">
        <v>29</v>
      </c>
      <c r="C18" s="155" t="s">
        <v>49</v>
      </c>
      <c r="D18" s="42" t="s">
        <v>48</v>
      </c>
      <c r="E18" s="103" t="s">
        <v>50</v>
      </c>
      <c r="F18" s="116" t="s">
        <v>33</v>
      </c>
      <c r="G18" s="100" t="s">
        <v>60</v>
      </c>
      <c r="H18" s="92"/>
      <c r="I18" s="87">
        <f>I14+H18-I17</f>
        <v>0</v>
      </c>
      <c r="J18" s="87">
        <f>J14+I18-J17</f>
        <v>0</v>
      </c>
      <c r="K18" s="87">
        <f t="shared" ref="K18:AF18" ca="1" si="9">K14+J18-K17</f>
        <v>0</v>
      </c>
      <c r="L18" s="87">
        <f t="shared" ca="1" si="9"/>
        <v>0</v>
      </c>
      <c r="M18" s="87">
        <f t="shared" ca="1" si="9"/>
        <v>0</v>
      </c>
      <c r="N18" s="87">
        <f t="shared" ca="1" si="9"/>
        <v>0</v>
      </c>
      <c r="O18" s="87">
        <f t="shared" ca="1" si="9"/>
        <v>0</v>
      </c>
      <c r="P18" s="87">
        <f t="shared" ca="1" si="9"/>
        <v>0</v>
      </c>
      <c r="Q18" s="87">
        <f t="shared" ca="1" si="9"/>
        <v>0</v>
      </c>
      <c r="R18" s="87">
        <f t="shared" ca="1" si="9"/>
        <v>0</v>
      </c>
      <c r="S18" s="87">
        <f t="shared" ca="1" si="9"/>
        <v>0</v>
      </c>
      <c r="T18" s="87">
        <f t="shared" ca="1" si="9"/>
        <v>0</v>
      </c>
      <c r="U18" s="87">
        <f t="shared" ca="1" si="9"/>
        <v>0</v>
      </c>
      <c r="V18" s="87">
        <f t="shared" ca="1" si="9"/>
        <v>0</v>
      </c>
      <c r="W18" s="87">
        <f t="shared" ca="1" si="9"/>
        <v>0</v>
      </c>
      <c r="X18" s="87">
        <f t="shared" ca="1" si="9"/>
        <v>0</v>
      </c>
      <c r="Y18" s="87">
        <f t="shared" ca="1" si="9"/>
        <v>0</v>
      </c>
      <c r="Z18" s="87">
        <f t="shared" ca="1" si="9"/>
        <v>0</v>
      </c>
      <c r="AA18" s="87">
        <f t="shared" ca="1" si="9"/>
        <v>0</v>
      </c>
      <c r="AB18" s="87">
        <f t="shared" ca="1" si="9"/>
        <v>0</v>
      </c>
      <c r="AC18" s="87">
        <f t="shared" ca="1" si="9"/>
        <v>0</v>
      </c>
      <c r="AD18" s="87">
        <f t="shared" ca="1" si="9"/>
        <v>0</v>
      </c>
      <c r="AE18" s="87">
        <f t="shared" ca="1" si="9"/>
        <v>0</v>
      </c>
      <c r="AF18" s="87">
        <f t="shared" ca="1" si="9"/>
        <v>0</v>
      </c>
      <c r="AG18" s="246"/>
      <c r="AH18" s="246"/>
      <c r="AI18" s="246"/>
      <c r="AJ18" s="246"/>
    </row>
    <row r="19" spans="1:36" x14ac:dyDescent="0.25">
      <c r="A19" s="30">
        <v>1000</v>
      </c>
      <c r="B19" s="102" t="s">
        <v>29</v>
      </c>
      <c r="C19" s="103" t="s">
        <v>51</v>
      </c>
      <c r="D19" s="117" t="s">
        <v>35</v>
      </c>
      <c r="E19" s="103" t="s">
        <v>49</v>
      </c>
      <c r="F19" s="42" t="s">
        <v>48</v>
      </c>
      <c r="G19" s="98" t="s">
        <v>57</v>
      </c>
      <c r="H19" s="14"/>
      <c r="I19" s="15">
        <f ca="1">OFFSET(Espagne!J12,0,1)</f>
        <v>110</v>
      </c>
      <c r="J19" s="15">
        <f ca="1">OFFSET(Espagne!K12,0,1)</f>
        <v>10</v>
      </c>
      <c r="K19" s="15">
        <f ca="1">OFFSET(Espagne!L12,0,1)</f>
        <v>90</v>
      </c>
      <c r="L19" s="15">
        <f ca="1">OFFSET(Espagne!M12,0,1)</f>
        <v>10</v>
      </c>
      <c r="M19" s="15">
        <f ca="1">OFFSET(Espagne!N12,0,1)</f>
        <v>40</v>
      </c>
      <c r="N19" s="15">
        <f ca="1">OFFSET(Espagne!O12,0,1)</f>
        <v>0</v>
      </c>
      <c r="O19" s="15">
        <f ca="1">OFFSET(Espagne!P12,0,1)</f>
        <v>150</v>
      </c>
      <c r="P19" s="15">
        <f ca="1">OFFSET(Espagne!Q12,0,1)</f>
        <v>0</v>
      </c>
      <c r="Q19" s="15">
        <f ca="1">OFFSET(Espagne!R12,0,1)</f>
        <v>140</v>
      </c>
      <c r="R19" s="15">
        <f ca="1">OFFSET(Espagne!S12,0,1)</f>
        <v>140</v>
      </c>
      <c r="S19" s="15">
        <f ca="1">OFFSET(Espagne!T12,0,1)</f>
        <v>110</v>
      </c>
      <c r="T19" s="15">
        <f ca="1">OFFSET(Espagne!U12,0,1)</f>
        <v>80</v>
      </c>
      <c r="U19" s="15">
        <f ca="1">OFFSET(Espagne!V12,0,1)</f>
        <v>60</v>
      </c>
      <c r="V19" s="15">
        <f ca="1">OFFSET(Espagne!W12,0,1)</f>
        <v>50</v>
      </c>
      <c r="W19" s="15">
        <f ca="1">OFFSET(Espagne!X12,0,1)</f>
        <v>30</v>
      </c>
      <c r="X19" s="15">
        <f ca="1">OFFSET(Espagne!Y12,0,1)</f>
        <v>100</v>
      </c>
      <c r="Y19" s="15">
        <f ca="1">OFFSET(Espagne!Z12,0,1)</f>
        <v>50</v>
      </c>
      <c r="Z19" s="15">
        <f ca="1">OFFSET(Espagne!AA12,0,1)</f>
        <v>150</v>
      </c>
      <c r="AA19" s="15">
        <f ca="1">OFFSET(Espagne!AB12,0,1)</f>
        <v>130</v>
      </c>
      <c r="AB19" s="15">
        <f ca="1">OFFSET(Espagne!AC12,0,1)</f>
        <v>170</v>
      </c>
      <c r="AC19" s="15">
        <f ca="1">OFFSET(Espagne!AD12,0,1)</f>
        <v>20</v>
      </c>
      <c r="AD19" s="15">
        <f ca="1">OFFSET(Espagne!AE12,0,1)</f>
        <v>20</v>
      </c>
      <c r="AE19" s="15">
        <f ca="1">OFFSET(Espagne!AF12,0,1)</f>
        <v>20</v>
      </c>
      <c r="AF19" s="15">
        <f ca="1">OFFSET(Espagne!AG12,0,1)</f>
        <v>0</v>
      </c>
      <c r="AG19" s="228"/>
      <c r="AH19" s="228"/>
      <c r="AI19" s="228"/>
      <c r="AJ19" s="228"/>
    </row>
    <row r="20" spans="1:36" x14ac:dyDescent="0.25">
      <c r="A20" s="30">
        <v>1000</v>
      </c>
      <c r="B20" s="102" t="s">
        <v>29</v>
      </c>
      <c r="C20" s="155" t="s">
        <v>49</v>
      </c>
      <c r="D20" s="42" t="s">
        <v>48</v>
      </c>
      <c r="E20" s="103" t="s">
        <v>51</v>
      </c>
      <c r="F20" s="117" t="s">
        <v>35</v>
      </c>
      <c r="G20" s="99" t="s">
        <v>54</v>
      </c>
      <c r="H20" s="14"/>
      <c r="I20" s="15">
        <f ca="1">OFFSET(MJ_Initialisation!D28,0,1)</f>
        <v>110</v>
      </c>
      <c r="J20" s="15">
        <f ca="1">OFFSET(MJ_Initialisation!E28,0,1)</f>
        <v>10</v>
      </c>
      <c r="K20" s="15">
        <f ca="1">OFFSET(MJ_Initialisation!F28,0,1)</f>
        <v>90</v>
      </c>
      <c r="L20" s="15">
        <f ca="1">OFFSET(MJ_Initialisation!G28,0,1)</f>
        <v>10</v>
      </c>
      <c r="M20" s="15">
        <f ca="1">OFFSET(MJ_Initialisation!H28,0,1)</f>
        <v>40</v>
      </c>
      <c r="N20" s="15">
        <f ca="1">OFFSET(MJ_Initialisation!I28,0,1)</f>
        <v>0</v>
      </c>
      <c r="O20" s="15">
        <f ca="1">OFFSET(MJ_Initialisation!J28,0,1)</f>
        <v>150</v>
      </c>
      <c r="P20" s="15">
        <f ca="1">OFFSET(MJ_Initialisation!K28,0,1)</f>
        <v>0</v>
      </c>
      <c r="Q20" s="15">
        <f ca="1">OFFSET(MJ_Initialisation!L28,0,1)</f>
        <v>140</v>
      </c>
      <c r="R20" s="15">
        <f ca="1">OFFSET(MJ_Initialisation!M28,0,1)</f>
        <v>140</v>
      </c>
      <c r="S20" s="15">
        <f ca="1">OFFSET(MJ_Initialisation!N28,0,1)</f>
        <v>110</v>
      </c>
      <c r="T20" s="15">
        <f ca="1">OFFSET(MJ_Initialisation!O28,0,1)</f>
        <v>80</v>
      </c>
      <c r="U20" s="15">
        <f ca="1">OFFSET(MJ_Initialisation!P28,0,1)</f>
        <v>60</v>
      </c>
      <c r="V20" s="15">
        <f ca="1">OFFSET(MJ_Initialisation!Q28,0,1)</f>
        <v>50</v>
      </c>
      <c r="W20" s="15">
        <f ca="1">OFFSET(MJ_Initialisation!R28,0,1)</f>
        <v>30</v>
      </c>
      <c r="X20" s="15">
        <f ca="1">OFFSET(MJ_Initialisation!S28,0,1)</f>
        <v>100</v>
      </c>
      <c r="Y20" s="15">
        <f ca="1">OFFSET(MJ_Initialisation!T28,0,1)</f>
        <v>50</v>
      </c>
      <c r="Z20" s="15">
        <f ca="1">OFFSET(MJ_Initialisation!U28,0,1)</f>
        <v>150</v>
      </c>
      <c r="AA20" s="15">
        <f ca="1">OFFSET(MJ_Initialisation!V28,0,1)</f>
        <v>130</v>
      </c>
      <c r="AB20" s="15">
        <f ca="1">OFFSET(MJ_Initialisation!W28,0,1)</f>
        <v>170</v>
      </c>
      <c r="AC20" s="15">
        <f ca="1">OFFSET(MJ_Initialisation!X28,0,1)</f>
        <v>20</v>
      </c>
      <c r="AD20" s="15">
        <f ca="1">OFFSET(MJ_Initialisation!Y28,0,1)</f>
        <v>20</v>
      </c>
      <c r="AE20" s="15">
        <f ca="1">OFFSET(MJ_Initialisation!Z28,0,1)</f>
        <v>20</v>
      </c>
      <c r="AF20" s="15">
        <f ca="1">OFFSET(MJ_Initialisation!AA28,0,1)</f>
        <v>0</v>
      </c>
      <c r="AG20" s="228"/>
      <c r="AH20" s="228"/>
      <c r="AI20" s="228"/>
      <c r="AJ20" s="228"/>
    </row>
    <row r="21" spans="1:36" x14ac:dyDescent="0.25">
      <c r="A21" s="30">
        <v>1000</v>
      </c>
      <c r="B21" s="102" t="s">
        <v>29</v>
      </c>
      <c r="C21" s="155" t="s">
        <v>49</v>
      </c>
      <c r="D21" s="42" t="s">
        <v>48</v>
      </c>
      <c r="E21" s="103" t="s">
        <v>51</v>
      </c>
      <c r="F21" s="117" t="s">
        <v>35</v>
      </c>
      <c r="G21" s="105" t="s">
        <v>55</v>
      </c>
      <c r="H21" s="14"/>
      <c r="I21" s="15">
        <f ca="1">OFFSET(MJ_Initialisation!D29,0,1)</f>
        <v>0</v>
      </c>
      <c r="J21" s="15">
        <f ca="1">OFFSET(MJ_Initialisation!E29,0,1)</f>
        <v>0</v>
      </c>
      <c r="K21" s="15">
        <f ca="1">OFFSET(MJ_Initialisation!F29,0,1)</f>
        <v>0</v>
      </c>
      <c r="L21" s="15">
        <f ca="1">OFFSET(MJ_Initialisation!G29,0,1)</f>
        <v>0</v>
      </c>
      <c r="M21" s="15">
        <f ca="1">OFFSET(MJ_Initialisation!H29,0,1)</f>
        <v>0</v>
      </c>
      <c r="N21" s="15">
        <f ca="1">OFFSET(MJ_Initialisation!I29,0,1)</f>
        <v>0</v>
      </c>
      <c r="O21" s="15">
        <f ca="1">OFFSET(MJ_Initialisation!J29,0,1)</f>
        <v>0</v>
      </c>
      <c r="P21" s="15">
        <f ca="1">OFFSET(MJ_Initialisation!K29,0,1)</f>
        <v>0</v>
      </c>
      <c r="Q21" s="15">
        <f ca="1">OFFSET(MJ_Initialisation!L29,0,1)</f>
        <v>0</v>
      </c>
      <c r="R21" s="15">
        <f ca="1">OFFSET(MJ_Initialisation!M29,0,1)</f>
        <v>0</v>
      </c>
      <c r="S21" s="15">
        <f ca="1">OFFSET(MJ_Initialisation!N29,0,1)</f>
        <v>0</v>
      </c>
      <c r="T21" s="15">
        <f ca="1">OFFSET(MJ_Initialisation!O29,0,1)</f>
        <v>0</v>
      </c>
      <c r="U21" s="15">
        <f ca="1">OFFSET(MJ_Initialisation!P29,0,1)</f>
        <v>0</v>
      </c>
      <c r="V21" s="15">
        <f ca="1">OFFSET(MJ_Initialisation!Q29,0,1)</f>
        <v>0</v>
      </c>
      <c r="W21" s="15">
        <f ca="1">OFFSET(MJ_Initialisation!R29,0,1)</f>
        <v>0</v>
      </c>
      <c r="X21" s="15">
        <f ca="1">OFFSET(MJ_Initialisation!S29,0,1)</f>
        <v>0</v>
      </c>
      <c r="Y21" s="15">
        <f ca="1">OFFSET(MJ_Initialisation!T29,0,1)</f>
        <v>0</v>
      </c>
      <c r="Z21" s="15">
        <f ca="1">OFFSET(MJ_Initialisation!U29,0,1)</f>
        <v>0</v>
      </c>
      <c r="AA21" s="15">
        <f ca="1">OFFSET(MJ_Initialisation!V29,0,1)</f>
        <v>0</v>
      </c>
      <c r="AB21" s="15">
        <f ca="1">OFFSET(MJ_Initialisation!W29,0,1)</f>
        <v>0</v>
      </c>
      <c r="AC21" s="15">
        <f ca="1">OFFSET(MJ_Initialisation!X29,0,1)</f>
        <v>0</v>
      </c>
      <c r="AD21" s="15">
        <f ca="1">OFFSET(MJ_Initialisation!Y29,0,1)</f>
        <v>0</v>
      </c>
      <c r="AE21" s="15">
        <f ca="1">OFFSET(MJ_Initialisation!Z29,0,1)</f>
        <v>0</v>
      </c>
      <c r="AF21" s="15">
        <f ca="1">OFFSET(MJ_Initialisation!AA29,0,1)</f>
        <v>0</v>
      </c>
      <c r="AG21" s="228"/>
      <c r="AH21" s="228"/>
      <c r="AI21" s="228"/>
      <c r="AJ21" s="228"/>
    </row>
    <row r="22" spans="1:36" x14ac:dyDescent="0.25">
      <c r="A22" s="30">
        <v>1000</v>
      </c>
      <c r="B22" s="102" t="s">
        <v>29</v>
      </c>
      <c r="C22" s="155" t="s">
        <v>49</v>
      </c>
      <c r="D22" s="42" t="s">
        <v>48</v>
      </c>
      <c r="E22" s="103" t="s">
        <v>51</v>
      </c>
      <c r="F22" s="117" t="s">
        <v>35</v>
      </c>
      <c r="G22" s="106" t="s">
        <v>56</v>
      </c>
      <c r="H22" s="14"/>
      <c r="I22" s="87">
        <f ca="1">I20</f>
        <v>110</v>
      </c>
      <c r="J22" s="87">
        <f ca="1">J20</f>
        <v>10</v>
      </c>
      <c r="K22" s="246">
        <f ca="1">IF(K21=0,IF(K$9&gt;0,MAX(ROUND((((K19+J23)/K$9)*K$12),0),0),0),K21)</f>
        <v>90</v>
      </c>
      <c r="L22" s="246">
        <f t="shared" ref="L22" ca="1" si="10">IF(L21=0,IF(L$9&gt;0,MAX(ROUND((((L19+K23)/L$9)*L$12),0),0),0),L21)</f>
        <v>10</v>
      </c>
      <c r="M22" s="246">
        <f t="shared" ref="M22" ca="1" si="11">IF(M21=0,IF(M$9&gt;0,MAX(ROUND((((M19+L23)/M$9)*M$12),0),0),0),M21)</f>
        <v>40</v>
      </c>
      <c r="N22" s="246">
        <f t="shared" ref="N22" ca="1" si="12">IF(N21=0,IF(N$9&gt;0,MAX(ROUND((((N19+M23)/N$9)*N$12),0),0),0),N21)</f>
        <v>0</v>
      </c>
      <c r="O22" s="246">
        <f t="shared" ref="O22" ca="1" si="13">IF(O21=0,IF(O$9&gt;0,MAX(ROUND((((O19+N23)/O$9)*O$12),0),0),0),O21)</f>
        <v>150</v>
      </c>
      <c r="P22" s="246">
        <f t="shared" ref="P22" ca="1" si="14">IF(P21=0,IF(P$9&gt;0,MAX(ROUND((((P19+O23)/P$9)*P$12),0),0),0),P21)</f>
        <v>0</v>
      </c>
      <c r="Q22" s="246">
        <f t="shared" ref="Q22" ca="1" si="15">IF(Q21=0,IF(Q$9&gt;0,MAX(ROUND((((Q19+P23)/Q$9)*Q$12),0),0),0),Q21)</f>
        <v>140</v>
      </c>
      <c r="R22" s="246">
        <f t="shared" ref="R22" ca="1" si="16">IF(R21=0,IF(R$9&gt;0,MAX(ROUND((((R19+Q23)/R$9)*R$12),0),0),0),R21)</f>
        <v>140</v>
      </c>
      <c r="S22" s="246">
        <f t="shared" ref="S22" ca="1" si="17">IF(S21=0,IF(S$9&gt;0,MAX(ROUND((((S19+R23)/S$9)*S$12),0),0),0),S21)</f>
        <v>110</v>
      </c>
      <c r="T22" s="246">
        <f t="shared" ref="T22" ca="1" si="18">IF(T21=0,IF(T$9&gt;0,MAX(ROUND((((T19+S23)/T$9)*T$12),0),0),0),T21)</f>
        <v>80</v>
      </c>
      <c r="U22" s="246">
        <f t="shared" ref="U22" ca="1" si="19">IF(U21=0,IF(U$9&gt;0,MAX(ROUND((((U19+T23)/U$9)*U$12),0),0),0),U21)</f>
        <v>60</v>
      </c>
      <c r="V22" s="246">
        <f t="shared" ref="V22" ca="1" si="20">IF(V21=0,IF(V$9&gt;0,MAX(ROUND((((V19+U23)/V$9)*V$12),0),0),0),V21)</f>
        <v>50</v>
      </c>
      <c r="W22" s="246">
        <f t="shared" ref="W22" ca="1" si="21">IF(W21=0,IF(W$9&gt;0,MAX(ROUND((((W19+V23)/W$9)*W$12),0),0),0),W21)</f>
        <v>30</v>
      </c>
      <c r="X22" s="246">
        <f t="shared" ref="X22" ca="1" si="22">IF(X21=0,IF(X$9&gt;0,MAX(ROUND((((X19+W23)/X$9)*X$12),0),0),0),X21)</f>
        <v>100</v>
      </c>
      <c r="Y22" s="246">
        <f t="shared" ref="Y22" ca="1" si="23">IF(Y21=0,IF(Y$9&gt;0,MAX(ROUND((((Y19+X23)/Y$9)*Y$12),0),0),0),Y21)</f>
        <v>50</v>
      </c>
      <c r="Z22" s="246">
        <f t="shared" ref="Z22" ca="1" si="24">IF(Z21=0,IF(Z$9&gt;0,MAX(ROUND((((Z19+Y23)/Z$9)*Z$12),0),0),0),Z21)</f>
        <v>150</v>
      </c>
      <c r="AA22" s="246">
        <f t="shared" ref="AA22" ca="1" si="25">IF(AA21=0,IF(AA$9&gt;0,MAX(ROUND((((AA19+Z23)/AA$9)*AA$12),0),0),0),AA21)</f>
        <v>130</v>
      </c>
      <c r="AB22" s="246">
        <f t="shared" ref="AB22" ca="1" si="26">IF(AB21=0,IF(AB$9&gt;0,MAX(ROUND((((AB19+AA23)/AB$9)*AB$12),0),0),0),AB21)</f>
        <v>170</v>
      </c>
      <c r="AC22" s="246">
        <f t="shared" ref="AC22" ca="1" si="27">IF(AC21=0,IF(AC$9&gt;0,MAX(ROUND((((AC19+AB23)/AC$9)*AC$12),0),0),0),AC21)</f>
        <v>20</v>
      </c>
      <c r="AD22" s="246">
        <f t="shared" ref="AD22" ca="1" si="28">IF(AD21=0,IF(AD$9&gt;0,MAX(ROUND((((AD19+AC23)/AD$9)*AD$12),0),0),0),AD21)</f>
        <v>20</v>
      </c>
      <c r="AE22" s="246">
        <f t="shared" ref="AE22" ca="1" si="29">IF(AE21=0,IF(AE$9&gt;0,MAX(ROUND((((AE19+AD23)/AE$9)*AE$12),0),0),0),AE21)</f>
        <v>20</v>
      </c>
      <c r="AF22" s="246">
        <f t="shared" ref="AF22" ca="1" si="30">IF(AF21=0,IF(AF$9&gt;0,MAX(ROUND((((AF19+AE23)/AF$9)*AF$12),0),0),0),AF21)</f>
        <v>0</v>
      </c>
      <c r="AG22" s="246"/>
      <c r="AH22" s="246"/>
      <c r="AI22" s="246"/>
      <c r="AJ22" s="246"/>
    </row>
    <row r="23" spans="1:36" x14ac:dyDescent="0.25">
      <c r="A23" s="30">
        <v>1000</v>
      </c>
      <c r="B23" s="102" t="s">
        <v>29</v>
      </c>
      <c r="C23" s="155" t="s">
        <v>49</v>
      </c>
      <c r="D23" s="42" t="s">
        <v>48</v>
      </c>
      <c r="E23" s="103" t="s">
        <v>51</v>
      </c>
      <c r="F23" s="117" t="s">
        <v>35</v>
      </c>
      <c r="G23" s="100" t="s">
        <v>60</v>
      </c>
      <c r="H23" s="14"/>
      <c r="I23" s="87">
        <f ca="1">I19+H23-I22</f>
        <v>0</v>
      </c>
      <c r="J23" s="87">
        <f ca="1">J19+I23-J22</f>
        <v>0</v>
      </c>
      <c r="K23" s="87">
        <f t="shared" ref="K23:AF23" ca="1" si="31">K19+J23-K22</f>
        <v>0</v>
      </c>
      <c r="L23" s="87">
        <f t="shared" ca="1" si="31"/>
        <v>0</v>
      </c>
      <c r="M23" s="87">
        <f t="shared" ca="1" si="31"/>
        <v>0</v>
      </c>
      <c r="N23" s="87">
        <f t="shared" ca="1" si="31"/>
        <v>0</v>
      </c>
      <c r="O23" s="87">
        <f t="shared" ca="1" si="31"/>
        <v>0</v>
      </c>
      <c r="P23" s="87">
        <f t="shared" ca="1" si="31"/>
        <v>0</v>
      </c>
      <c r="Q23" s="87">
        <f t="shared" ca="1" si="31"/>
        <v>0</v>
      </c>
      <c r="R23" s="87">
        <f t="shared" ca="1" si="31"/>
        <v>0</v>
      </c>
      <c r="S23" s="87">
        <f t="shared" ca="1" si="31"/>
        <v>0</v>
      </c>
      <c r="T23" s="87">
        <f t="shared" ca="1" si="31"/>
        <v>0</v>
      </c>
      <c r="U23" s="87">
        <f t="shared" ca="1" si="31"/>
        <v>0</v>
      </c>
      <c r="V23" s="87">
        <f t="shared" ca="1" si="31"/>
        <v>0</v>
      </c>
      <c r="W23" s="87">
        <f t="shared" ca="1" si="31"/>
        <v>0</v>
      </c>
      <c r="X23" s="87">
        <f t="shared" ca="1" si="31"/>
        <v>0</v>
      </c>
      <c r="Y23" s="87">
        <f t="shared" ca="1" si="31"/>
        <v>0</v>
      </c>
      <c r="Z23" s="87">
        <f t="shared" ca="1" si="31"/>
        <v>0</v>
      </c>
      <c r="AA23" s="87">
        <f t="shared" ca="1" si="31"/>
        <v>0</v>
      </c>
      <c r="AB23" s="87">
        <f t="shared" ca="1" si="31"/>
        <v>0</v>
      </c>
      <c r="AC23" s="87">
        <f t="shared" ca="1" si="31"/>
        <v>0</v>
      </c>
      <c r="AD23" s="87">
        <f t="shared" ca="1" si="31"/>
        <v>0</v>
      </c>
      <c r="AE23" s="87">
        <f t="shared" ca="1" si="31"/>
        <v>0</v>
      </c>
      <c r="AF23" s="87">
        <f t="shared" ca="1" si="31"/>
        <v>0</v>
      </c>
      <c r="AG23" s="246"/>
      <c r="AH23" s="246"/>
      <c r="AI23" s="246"/>
      <c r="AJ23" s="246"/>
    </row>
    <row r="24" spans="1:36" x14ac:dyDescent="0.25">
      <c r="A24" s="30">
        <v>1000</v>
      </c>
      <c r="B24" s="102" t="s">
        <v>29</v>
      </c>
      <c r="C24" s="103" t="s">
        <v>52</v>
      </c>
      <c r="D24" s="118" t="s">
        <v>36</v>
      </c>
      <c r="E24" s="103" t="s">
        <v>49</v>
      </c>
      <c r="F24" s="42" t="s">
        <v>48</v>
      </c>
      <c r="G24" s="98" t="s">
        <v>57</v>
      </c>
      <c r="H24" s="14"/>
      <c r="I24" s="15">
        <f ca="1">OFFSET(Chili!J12,0,2)</f>
        <v>150</v>
      </c>
      <c r="J24" s="15">
        <f ca="1">OFFSET(Chili!K12,0,2)</f>
        <v>200</v>
      </c>
      <c r="K24" s="15">
        <f ca="1">OFFSET(Chili!L12,0,2)</f>
        <v>200</v>
      </c>
      <c r="L24" s="15">
        <f ca="1">OFFSET(Chili!M12,0,2)</f>
        <v>50</v>
      </c>
      <c r="M24" s="15">
        <f ca="1">OFFSET(Chili!N12,0,2)</f>
        <v>150</v>
      </c>
      <c r="N24" s="15">
        <f ca="1">OFFSET(Chili!O12,0,2)</f>
        <v>250</v>
      </c>
      <c r="O24" s="15">
        <f ca="1">OFFSET(Chili!P12,0,2)</f>
        <v>100</v>
      </c>
      <c r="P24" s="15">
        <f ca="1">OFFSET(Chili!Q12,0,2)</f>
        <v>50</v>
      </c>
      <c r="Q24" s="15">
        <f ca="1">OFFSET(Chili!R12,0,2)</f>
        <v>250</v>
      </c>
      <c r="R24" s="15">
        <f ca="1">OFFSET(Chili!S12,0,2)</f>
        <v>200</v>
      </c>
      <c r="S24" s="15">
        <f ca="1">OFFSET(Chili!T12,0,2)</f>
        <v>50</v>
      </c>
      <c r="T24" s="15">
        <f ca="1">OFFSET(Chili!U12,0,2)</f>
        <v>250</v>
      </c>
      <c r="U24" s="15">
        <f ca="1">OFFSET(Chili!V12,0,2)</f>
        <v>200</v>
      </c>
      <c r="V24" s="15">
        <f ca="1">OFFSET(Chili!W12,0,2)</f>
        <v>250</v>
      </c>
      <c r="W24" s="15">
        <f ca="1">OFFSET(Chili!X12,0,2)</f>
        <v>250</v>
      </c>
      <c r="X24" s="15">
        <f ca="1">OFFSET(Chili!Y12,0,2)</f>
        <v>150</v>
      </c>
      <c r="Y24" s="15">
        <f ca="1">OFFSET(Chili!Z12,0,2)</f>
        <v>250</v>
      </c>
      <c r="Z24" s="15">
        <f ca="1">OFFSET(Chili!AA12,0,2)</f>
        <v>150</v>
      </c>
      <c r="AA24" s="15">
        <f ca="1">OFFSET(Chili!AB12,0,2)</f>
        <v>300</v>
      </c>
      <c r="AB24" s="15">
        <f ca="1">OFFSET(Chili!AC12,0,2)</f>
        <v>100</v>
      </c>
      <c r="AC24" s="15">
        <f ca="1">OFFSET(Chili!AD12,0,2)</f>
        <v>200</v>
      </c>
      <c r="AD24" s="15">
        <f ca="1">OFFSET(Chili!AE12,0,2)</f>
        <v>100</v>
      </c>
      <c r="AE24" s="15">
        <f ca="1">OFFSET(Chili!AF12,0,2)</f>
        <v>0</v>
      </c>
      <c r="AF24" s="15">
        <f ca="1">OFFSET(Chili!AG12,0,2)</f>
        <v>0</v>
      </c>
      <c r="AG24" s="228"/>
      <c r="AH24" s="228"/>
      <c r="AI24" s="228"/>
      <c r="AJ24" s="228"/>
    </row>
    <row r="25" spans="1:36" x14ac:dyDescent="0.25">
      <c r="A25" s="30">
        <v>1000</v>
      </c>
      <c r="B25" s="102" t="s">
        <v>29</v>
      </c>
      <c r="C25" s="155" t="s">
        <v>49</v>
      </c>
      <c r="D25" s="42" t="s">
        <v>48</v>
      </c>
      <c r="E25" s="103" t="s">
        <v>52</v>
      </c>
      <c r="F25" s="118" t="s">
        <v>36</v>
      </c>
      <c r="G25" s="99" t="s">
        <v>54</v>
      </c>
      <c r="H25" s="14"/>
      <c r="I25" s="15">
        <f ca="1">OFFSET(MJ_Initialisation!D32,0,2)</f>
        <v>150</v>
      </c>
      <c r="J25" s="15">
        <f ca="1">OFFSET(MJ_Initialisation!E32,0,2)</f>
        <v>200</v>
      </c>
      <c r="K25" s="15">
        <f ca="1">OFFSET(MJ_Initialisation!F32,0,2)</f>
        <v>200</v>
      </c>
      <c r="L25" s="15">
        <f ca="1">OFFSET(MJ_Initialisation!G32,0,2)</f>
        <v>50</v>
      </c>
      <c r="M25" s="15">
        <f ca="1">OFFSET(MJ_Initialisation!H32,0,2)</f>
        <v>150</v>
      </c>
      <c r="N25" s="15">
        <f ca="1">OFFSET(MJ_Initialisation!I32,0,2)</f>
        <v>250</v>
      </c>
      <c r="O25" s="15">
        <f ca="1">OFFSET(MJ_Initialisation!J32,0,2)</f>
        <v>100</v>
      </c>
      <c r="P25" s="15">
        <f ca="1">OFFSET(MJ_Initialisation!K32,0,2)</f>
        <v>50</v>
      </c>
      <c r="Q25" s="15">
        <f ca="1">OFFSET(MJ_Initialisation!L32,0,2)</f>
        <v>250</v>
      </c>
      <c r="R25" s="15">
        <f ca="1">OFFSET(MJ_Initialisation!M32,0,2)</f>
        <v>200</v>
      </c>
      <c r="S25" s="15">
        <f ca="1">OFFSET(MJ_Initialisation!N32,0,2)</f>
        <v>50</v>
      </c>
      <c r="T25" s="15">
        <f ca="1">OFFSET(MJ_Initialisation!O32,0,2)</f>
        <v>250</v>
      </c>
      <c r="U25" s="15">
        <f ca="1">OFFSET(MJ_Initialisation!P32,0,2)</f>
        <v>200</v>
      </c>
      <c r="V25" s="15">
        <f ca="1">OFFSET(MJ_Initialisation!Q32,0,2)</f>
        <v>250</v>
      </c>
      <c r="W25" s="15">
        <f ca="1">OFFSET(MJ_Initialisation!R32,0,2)</f>
        <v>250</v>
      </c>
      <c r="X25" s="15">
        <f ca="1">OFFSET(MJ_Initialisation!S32,0,2)</f>
        <v>150</v>
      </c>
      <c r="Y25" s="15">
        <f ca="1">OFFSET(MJ_Initialisation!T32,0,2)</f>
        <v>250</v>
      </c>
      <c r="Z25" s="15">
        <f ca="1">OFFSET(MJ_Initialisation!U32,0,2)</f>
        <v>150</v>
      </c>
      <c r="AA25" s="15">
        <f ca="1">OFFSET(MJ_Initialisation!V32,0,2)</f>
        <v>300</v>
      </c>
      <c r="AB25" s="15">
        <f ca="1">OFFSET(MJ_Initialisation!W32,0,2)</f>
        <v>100</v>
      </c>
      <c r="AC25" s="15">
        <f ca="1">OFFSET(MJ_Initialisation!X32,0,2)</f>
        <v>200</v>
      </c>
      <c r="AD25" s="15">
        <f ca="1">OFFSET(MJ_Initialisation!Y32,0,2)</f>
        <v>100</v>
      </c>
      <c r="AE25" s="15">
        <f ca="1">OFFSET(MJ_Initialisation!Z32,0,2)</f>
        <v>0</v>
      </c>
      <c r="AF25" s="15">
        <f ca="1">OFFSET(MJ_Initialisation!AA32,0,2)</f>
        <v>0</v>
      </c>
      <c r="AG25" s="228"/>
      <c r="AH25" s="228"/>
      <c r="AI25" s="228"/>
      <c r="AJ25" s="228"/>
    </row>
    <row r="26" spans="1:36" x14ac:dyDescent="0.25">
      <c r="A26" s="30">
        <v>1000</v>
      </c>
      <c r="B26" s="102" t="s">
        <v>29</v>
      </c>
      <c r="C26" s="155" t="s">
        <v>49</v>
      </c>
      <c r="D26" s="42" t="s">
        <v>48</v>
      </c>
      <c r="E26" s="103" t="s">
        <v>52</v>
      </c>
      <c r="F26" s="118" t="s">
        <v>36</v>
      </c>
      <c r="G26" s="105" t="s">
        <v>55</v>
      </c>
      <c r="H26" s="14"/>
      <c r="I26" s="15">
        <f ca="1">OFFSET(MJ_Initialisation!D33,0,2)</f>
        <v>0</v>
      </c>
      <c r="J26" s="15">
        <f ca="1">OFFSET(MJ_Initialisation!E33,0,2)</f>
        <v>0</v>
      </c>
      <c r="K26" s="15">
        <f ca="1">OFFSET(MJ_Initialisation!F33,0,2)</f>
        <v>0</v>
      </c>
      <c r="L26" s="15">
        <f ca="1">OFFSET(MJ_Initialisation!G33,0,2)</f>
        <v>0</v>
      </c>
      <c r="M26" s="15">
        <f ca="1">OFFSET(MJ_Initialisation!H33,0,2)</f>
        <v>0</v>
      </c>
      <c r="N26" s="15">
        <f ca="1">OFFSET(MJ_Initialisation!I33,0,2)</f>
        <v>0</v>
      </c>
      <c r="O26" s="15">
        <f ca="1">OFFSET(MJ_Initialisation!J33,0,2)</f>
        <v>0</v>
      </c>
      <c r="P26" s="15">
        <f ca="1">OFFSET(MJ_Initialisation!K33,0,2)</f>
        <v>0</v>
      </c>
      <c r="Q26" s="15">
        <f ca="1">OFFSET(MJ_Initialisation!L33,0,2)</f>
        <v>0</v>
      </c>
      <c r="R26" s="15">
        <f ca="1">OFFSET(MJ_Initialisation!M33,0,2)</f>
        <v>0</v>
      </c>
      <c r="S26" s="15">
        <f ca="1">OFFSET(MJ_Initialisation!N33,0,2)</f>
        <v>0</v>
      </c>
      <c r="T26" s="15">
        <f ca="1">OFFSET(MJ_Initialisation!O33,0,2)</f>
        <v>0</v>
      </c>
      <c r="U26" s="15">
        <f ca="1">OFFSET(MJ_Initialisation!P33,0,2)</f>
        <v>0</v>
      </c>
      <c r="V26" s="15">
        <f ca="1">OFFSET(MJ_Initialisation!Q33,0,2)</f>
        <v>0</v>
      </c>
      <c r="W26" s="15">
        <f ca="1">OFFSET(MJ_Initialisation!R33,0,2)</f>
        <v>0</v>
      </c>
      <c r="X26" s="15">
        <f ca="1">OFFSET(MJ_Initialisation!S33,0,2)</f>
        <v>0</v>
      </c>
      <c r="Y26" s="15">
        <f ca="1">OFFSET(MJ_Initialisation!T33,0,2)</f>
        <v>0</v>
      </c>
      <c r="Z26" s="15">
        <f ca="1">OFFSET(MJ_Initialisation!U33,0,2)</f>
        <v>0</v>
      </c>
      <c r="AA26" s="15">
        <f ca="1">OFFSET(MJ_Initialisation!V33,0,2)</f>
        <v>0</v>
      </c>
      <c r="AB26" s="15">
        <f ca="1">OFFSET(MJ_Initialisation!W33,0,2)</f>
        <v>0</v>
      </c>
      <c r="AC26" s="15">
        <f ca="1">OFFSET(MJ_Initialisation!X33,0,2)</f>
        <v>0</v>
      </c>
      <c r="AD26" s="15">
        <f ca="1">OFFSET(MJ_Initialisation!Y33,0,2)</f>
        <v>0</v>
      </c>
      <c r="AE26" s="15">
        <f ca="1">OFFSET(MJ_Initialisation!Z33,0,2)</f>
        <v>0</v>
      </c>
      <c r="AF26" s="15">
        <f ca="1">OFFSET(MJ_Initialisation!AA33,0,2)</f>
        <v>0</v>
      </c>
      <c r="AG26" s="228"/>
      <c r="AH26" s="228"/>
      <c r="AI26" s="228"/>
      <c r="AJ26" s="228"/>
    </row>
    <row r="27" spans="1:36" x14ac:dyDescent="0.25">
      <c r="A27" s="30">
        <v>1000</v>
      </c>
      <c r="B27" s="102" t="s">
        <v>29</v>
      </c>
      <c r="C27" s="155" t="s">
        <v>49</v>
      </c>
      <c r="D27" s="42" t="s">
        <v>48</v>
      </c>
      <c r="E27" s="103" t="s">
        <v>52</v>
      </c>
      <c r="F27" s="118" t="s">
        <v>36</v>
      </c>
      <c r="G27" s="106" t="s">
        <v>56</v>
      </c>
      <c r="H27" s="14"/>
      <c r="I27" s="87">
        <f ca="1">I25</f>
        <v>150</v>
      </c>
      <c r="J27" s="87">
        <f ca="1">J25</f>
        <v>200</v>
      </c>
      <c r="K27" s="246">
        <f ca="1">IF(K26=0,IF(K$9&gt;0,MAX(ROUND((((K24+J28)/K$9)*K$12),0),0),0),K26)</f>
        <v>200</v>
      </c>
      <c r="L27" s="246">
        <f t="shared" ref="L27" ca="1" si="32">IF(L26=0,IF(L$9&gt;0,MAX(ROUND((((L24+K28)/L$9)*L$12),0),0),0),L26)</f>
        <v>50</v>
      </c>
      <c r="M27" s="246">
        <f t="shared" ref="M27" ca="1" si="33">IF(M26=0,IF(M$9&gt;0,MAX(ROUND((((M24+L28)/M$9)*M$12),0),0),0),M26)</f>
        <v>150</v>
      </c>
      <c r="N27" s="246">
        <f t="shared" ref="N27" ca="1" si="34">IF(N26=0,IF(N$9&gt;0,MAX(ROUND((((N24+M28)/N$9)*N$12),0),0),0),N26)</f>
        <v>250</v>
      </c>
      <c r="O27" s="246">
        <f t="shared" ref="O27" ca="1" si="35">IF(O26=0,IF(O$9&gt;0,MAX(ROUND((((O24+N28)/O$9)*O$12),0),0),0),O26)</f>
        <v>100</v>
      </c>
      <c r="P27" s="246">
        <f t="shared" ref="P27" ca="1" si="36">IF(P26=0,IF(P$9&gt;0,MAX(ROUND((((P24+O28)/P$9)*P$12),0),0),0),P26)</f>
        <v>50</v>
      </c>
      <c r="Q27" s="246">
        <f t="shared" ref="Q27" ca="1" si="37">IF(Q26=0,IF(Q$9&gt;0,MAX(ROUND((((Q24+P28)/Q$9)*Q$12),0),0),0),Q26)</f>
        <v>250</v>
      </c>
      <c r="R27" s="246">
        <f t="shared" ref="R27" ca="1" si="38">IF(R26=0,IF(R$9&gt;0,MAX(ROUND((((R24+Q28)/R$9)*R$12),0),0),0),R26)</f>
        <v>200</v>
      </c>
      <c r="S27" s="246">
        <f t="shared" ref="S27" ca="1" si="39">IF(S26=0,IF(S$9&gt;0,MAX(ROUND((((S24+R28)/S$9)*S$12),0),0),0),S26)</f>
        <v>50</v>
      </c>
      <c r="T27" s="246">
        <f t="shared" ref="T27" ca="1" si="40">IF(T26=0,IF(T$9&gt;0,MAX(ROUND((((T24+S28)/T$9)*T$12),0),0),0),T26)</f>
        <v>250</v>
      </c>
      <c r="U27" s="246">
        <f t="shared" ref="U27" ca="1" si="41">IF(U26=0,IF(U$9&gt;0,MAX(ROUND((((U24+T28)/U$9)*U$12),0),0),0),U26)</f>
        <v>200</v>
      </c>
      <c r="V27" s="246">
        <f t="shared" ref="V27" ca="1" si="42">IF(V26=0,IF(V$9&gt;0,MAX(ROUND((((V24+U28)/V$9)*V$12),0),0),0),V26)</f>
        <v>250</v>
      </c>
      <c r="W27" s="246">
        <f t="shared" ref="W27" ca="1" si="43">IF(W26=0,IF(W$9&gt;0,MAX(ROUND((((W24+V28)/W$9)*W$12),0),0),0),W26)</f>
        <v>250</v>
      </c>
      <c r="X27" s="246">
        <f t="shared" ref="X27" ca="1" si="44">IF(X26=0,IF(X$9&gt;0,MAX(ROUND((((X24+W28)/X$9)*X$12),0),0),0),X26)</f>
        <v>150</v>
      </c>
      <c r="Y27" s="246">
        <f t="shared" ref="Y27" ca="1" si="45">IF(Y26=0,IF(Y$9&gt;0,MAX(ROUND((((Y24+X28)/Y$9)*Y$12),0),0),0),Y26)</f>
        <v>250</v>
      </c>
      <c r="Z27" s="246">
        <f t="shared" ref="Z27" ca="1" si="46">IF(Z26=0,IF(Z$9&gt;0,MAX(ROUND((((Z24+Y28)/Z$9)*Z$12),0),0),0),Z26)</f>
        <v>150</v>
      </c>
      <c r="AA27" s="246">
        <f t="shared" ref="AA27" ca="1" si="47">IF(AA26=0,IF(AA$9&gt;0,MAX(ROUND((((AA24+Z28)/AA$9)*AA$12),0),0),0),AA26)</f>
        <v>300</v>
      </c>
      <c r="AB27" s="246">
        <f t="shared" ref="AB27" ca="1" si="48">IF(AB26=0,IF(AB$9&gt;0,MAX(ROUND((((AB24+AA28)/AB$9)*AB$12),0),0),0),AB26)</f>
        <v>100</v>
      </c>
      <c r="AC27" s="246">
        <f t="shared" ref="AC27" ca="1" si="49">IF(AC26=0,IF(AC$9&gt;0,MAX(ROUND((((AC24+AB28)/AC$9)*AC$12),0),0),0),AC26)</f>
        <v>200</v>
      </c>
      <c r="AD27" s="246">
        <f t="shared" ref="AD27" ca="1" si="50">IF(AD26=0,IF(AD$9&gt;0,MAX(ROUND((((AD24+AC28)/AD$9)*AD$12),0),0),0),AD26)</f>
        <v>100</v>
      </c>
      <c r="AE27" s="246">
        <f t="shared" ref="AE27" ca="1" si="51">IF(AE26=0,IF(AE$9&gt;0,MAX(ROUND((((AE24+AD28)/AE$9)*AE$12),0),0),0),AE26)</f>
        <v>0</v>
      </c>
      <c r="AF27" s="246">
        <f t="shared" ref="AF27" ca="1" si="52">IF(AF26=0,IF(AF$9&gt;0,MAX(ROUND((((AF24+AE28)/AF$9)*AF$12),0),0),0),AF26)</f>
        <v>0</v>
      </c>
      <c r="AG27" s="246"/>
      <c r="AH27" s="246"/>
      <c r="AI27" s="246"/>
      <c r="AJ27" s="246"/>
    </row>
    <row r="28" spans="1:36" x14ac:dyDescent="0.25">
      <c r="A28" s="30">
        <v>1000</v>
      </c>
      <c r="B28" s="102" t="s">
        <v>29</v>
      </c>
      <c r="C28" s="155" t="s">
        <v>49</v>
      </c>
      <c r="D28" s="42" t="s">
        <v>48</v>
      </c>
      <c r="E28" s="103" t="s">
        <v>52</v>
      </c>
      <c r="F28" s="118" t="s">
        <v>36</v>
      </c>
      <c r="G28" s="100" t="s">
        <v>60</v>
      </c>
      <c r="H28" s="14"/>
      <c r="I28" s="87">
        <f t="shared" ref="I28:AF28" ca="1" si="53">I24+H28-I27</f>
        <v>0</v>
      </c>
      <c r="J28" s="87">
        <f t="shared" ca="1" si="53"/>
        <v>0</v>
      </c>
      <c r="K28" s="87">
        <f t="shared" ca="1" si="53"/>
        <v>0</v>
      </c>
      <c r="L28" s="87">
        <f t="shared" ca="1" si="53"/>
        <v>0</v>
      </c>
      <c r="M28" s="87">
        <f t="shared" ca="1" si="53"/>
        <v>0</v>
      </c>
      <c r="N28" s="87">
        <f t="shared" ca="1" si="53"/>
        <v>0</v>
      </c>
      <c r="O28" s="87">
        <f t="shared" ca="1" si="53"/>
        <v>0</v>
      </c>
      <c r="P28" s="87">
        <f t="shared" ca="1" si="53"/>
        <v>0</v>
      </c>
      <c r="Q28" s="87">
        <f t="shared" ca="1" si="53"/>
        <v>0</v>
      </c>
      <c r="R28" s="87">
        <f t="shared" ca="1" si="53"/>
        <v>0</v>
      </c>
      <c r="S28" s="87">
        <f t="shared" ca="1" si="53"/>
        <v>0</v>
      </c>
      <c r="T28" s="87">
        <f t="shared" ca="1" si="53"/>
        <v>0</v>
      </c>
      <c r="U28" s="87">
        <f t="shared" ca="1" si="53"/>
        <v>0</v>
      </c>
      <c r="V28" s="87">
        <f t="shared" ca="1" si="53"/>
        <v>0</v>
      </c>
      <c r="W28" s="87">
        <f t="shared" ca="1" si="53"/>
        <v>0</v>
      </c>
      <c r="X28" s="87">
        <f t="shared" ca="1" si="53"/>
        <v>0</v>
      </c>
      <c r="Y28" s="87">
        <f t="shared" ca="1" si="53"/>
        <v>0</v>
      </c>
      <c r="Z28" s="87">
        <f t="shared" ca="1" si="53"/>
        <v>0</v>
      </c>
      <c r="AA28" s="87">
        <f t="shared" ca="1" si="53"/>
        <v>0</v>
      </c>
      <c r="AB28" s="87">
        <f t="shared" ca="1" si="53"/>
        <v>0</v>
      </c>
      <c r="AC28" s="87">
        <f t="shared" ca="1" si="53"/>
        <v>0</v>
      </c>
      <c r="AD28" s="87">
        <f t="shared" ca="1" si="53"/>
        <v>0</v>
      </c>
      <c r="AE28" s="87">
        <f t="shared" ca="1" si="53"/>
        <v>0</v>
      </c>
      <c r="AF28" s="87">
        <f t="shared" ca="1" si="53"/>
        <v>0</v>
      </c>
      <c r="AG28" s="246"/>
      <c r="AH28" s="246"/>
      <c r="AI28" s="246"/>
      <c r="AJ28" s="246"/>
    </row>
    <row r="29" spans="1:36" x14ac:dyDescent="0.25">
      <c r="A29" s="30">
        <v>1000</v>
      </c>
      <c r="B29" s="102" t="s">
        <v>29</v>
      </c>
      <c r="C29" s="103" t="s">
        <v>53</v>
      </c>
      <c r="D29" s="119" t="s">
        <v>34</v>
      </c>
      <c r="E29" s="103" t="s">
        <v>49</v>
      </c>
      <c r="F29" s="42" t="s">
        <v>48</v>
      </c>
      <c r="G29" s="98" t="s">
        <v>57</v>
      </c>
      <c r="H29" s="14"/>
      <c r="I29" s="15">
        <f ca="1">OFFSET(Australie!J12,0,3)</f>
        <v>60</v>
      </c>
      <c r="J29" s="15">
        <f ca="1">OFFSET(Australie!K12,0,3)</f>
        <v>40</v>
      </c>
      <c r="K29" s="15">
        <f ca="1">OFFSET(Australie!L12,0,3)</f>
        <v>60</v>
      </c>
      <c r="L29" s="15">
        <f ca="1">OFFSET(Australie!M12,0,3)</f>
        <v>80</v>
      </c>
      <c r="M29" s="15">
        <f ca="1">OFFSET(Australie!N12,0,3)</f>
        <v>50</v>
      </c>
      <c r="N29" s="15">
        <f ca="1">OFFSET(Australie!O12,0,3)</f>
        <v>10</v>
      </c>
      <c r="O29" s="15">
        <f ca="1">OFFSET(Australie!P12,0,3)</f>
        <v>60</v>
      </c>
      <c r="P29" s="15">
        <f ca="1">OFFSET(Australie!Q12,0,3)</f>
        <v>100</v>
      </c>
      <c r="Q29" s="15">
        <f ca="1">OFFSET(Australie!R12,0,3)</f>
        <v>80</v>
      </c>
      <c r="R29" s="15">
        <f ca="1">OFFSET(Australie!S12,0,3)</f>
        <v>50</v>
      </c>
      <c r="S29" s="15">
        <f ca="1">OFFSET(Australie!T12,0,3)</f>
        <v>60</v>
      </c>
      <c r="T29" s="15">
        <f ca="1">OFFSET(Australie!U12,0,3)</f>
        <v>70</v>
      </c>
      <c r="U29" s="15">
        <f ca="1">OFFSET(Australie!V12,0,3)</f>
        <v>10</v>
      </c>
      <c r="V29" s="15">
        <f ca="1">OFFSET(Australie!W12,0,3)</f>
        <v>0</v>
      </c>
      <c r="W29" s="15">
        <f ca="1">OFFSET(Australie!X12,0,3)</f>
        <v>20</v>
      </c>
      <c r="X29" s="15">
        <f ca="1">OFFSET(Australie!Y12,0,3)</f>
        <v>60</v>
      </c>
      <c r="Y29" s="15">
        <f ca="1">OFFSET(Australie!Z12,0,3)</f>
        <v>90</v>
      </c>
      <c r="Z29" s="15">
        <f ca="1">OFFSET(Australie!AA12,0,3)</f>
        <v>40</v>
      </c>
      <c r="AA29" s="15">
        <f ca="1">OFFSET(Australie!AB12,0,3)</f>
        <v>20</v>
      </c>
      <c r="AB29" s="15">
        <f ca="1">OFFSET(Australie!AC12,0,3)</f>
        <v>90</v>
      </c>
      <c r="AC29" s="15">
        <f ca="1">OFFSET(Australie!AD12,0,3)</f>
        <v>50</v>
      </c>
      <c r="AD29" s="15">
        <f ca="1">OFFSET(Australie!AE12,0,3)</f>
        <v>0</v>
      </c>
      <c r="AE29" s="15">
        <f ca="1">OFFSET(Australie!AF12,0,3)</f>
        <v>0</v>
      </c>
      <c r="AF29" s="15">
        <f ca="1">OFFSET(Australie!AG12,0,3)</f>
        <v>0</v>
      </c>
      <c r="AG29" s="228"/>
      <c r="AH29" s="228"/>
      <c r="AI29" s="228"/>
      <c r="AJ29" s="228"/>
    </row>
    <row r="30" spans="1:36" x14ac:dyDescent="0.25">
      <c r="A30" s="30">
        <v>1000</v>
      </c>
      <c r="B30" s="102" t="s">
        <v>29</v>
      </c>
      <c r="C30" s="155" t="s">
        <v>49</v>
      </c>
      <c r="D30" s="42" t="s">
        <v>48</v>
      </c>
      <c r="E30" s="103" t="s">
        <v>53</v>
      </c>
      <c r="F30" s="119" t="s">
        <v>34</v>
      </c>
      <c r="G30" s="99" t="s">
        <v>54</v>
      </c>
      <c r="H30" s="14"/>
      <c r="I30" s="15">
        <f ca="1">OFFSET(MJ_Initialisation!D36,0,3)</f>
        <v>60</v>
      </c>
      <c r="J30" s="15">
        <f ca="1">OFFSET(MJ_Initialisation!E36,0,3)</f>
        <v>40</v>
      </c>
      <c r="K30" s="15">
        <f ca="1">OFFSET(MJ_Initialisation!F36,0,3)</f>
        <v>60</v>
      </c>
      <c r="L30" s="15">
        <f ca="1">OFFSET(MJ_Initialisation!G36,0,3)</f>
        <v>80</v>
      </c>
      <c r="M30" s="15">
        <f ca="1">OFFSET(MJ_Initialisation!H36,0,3)</f>
        <v>50</v>
      </c>
      <c r="N30" s="15">
        <f ca="1">OFFSET(MJ_Initialisation!I36,0,3)</f>
        <v>10</v>
      </c>
      <c r="O30" s="15">
        <f ca="1">OFFSET(MJ_Initialisation!J36,0,3)</f>
        <v>60</v>
      </c>
      <c r="P30" s="15">
        <f ca="1">OFFSET(MJ_Initialisation!K36,0,3)</f>
        <v>100</v>
      </c>
      <c r="Q30" s="15">
        <f ca="1">OFFSET(MJ_Initialisation!L36,0,3)</f>
        <v>80</v>
      </c>
      <c r="R30" s="15">
        <f ca="1">OFFSET(MJ_Initialisation!M36,0,3)</f>
        <v>50</v>
      </c>
      <c r="S30" s="15">
        <f ca="1">OFFSET(MJ_Initialisation!N36,0,3)</f>
        <v>60</v>
      </c>
      <c r="T30" s="15">
        <f ca="1">OFFSET(MJ_Initialisation!O36,0,3)</f>
        <v>70</v>
      </c>
      <c r="U30" s="15">
        <f ca="1">OFFSET(MJ_Initialisation!P36,0,3)</f>
        <v>10</v>
      </c>
      <c r="V30" s="15">
        <f ca="1">OFFSET(MJ_Initialisation!Q36,0,3)</f>
        <v>0</v>
      </c>
      <c r="W30" s="15">
        <f ca="1">OFFSET(MJ_Initialisation!R36,0,3)</f>
        <v>20</v>
      </c>
      <c r="X30" s="15">
        <f ca="1">OFFSET(MJ_Initialisation!S36,0,3)</f>
        <v>60</v>
      </c>
      <c r="Y30" s="15">
        <f ca="1">OFFSET(MJ_Initialisation!T36,0,3)</f>
        <v>90</v>
      </c>
      <c r="Z30" s="15">
        <f ca="1">OFFSET(MJ_Initialisation!U36,0,3)</f>
        <v>40</v>
      </c>
      <c r="AA30" s="15">
        <f ca="1">OFFSET(MJ_Initialisation!V36,0,3)</f>
        <v>20</v>
      </c>
      <c r="AB30" s="15">
        <f ca="1">OFFSET(MJ_Initialisation!W36,0,3)</f>
        <v>90</v>
      </c>
      <c r="AC30" s="15">
        <f ca="1">OFFSET(MJ_Initialisation!X36,0,3)</f>
        <v>50</v>
      </c>
      <c r="AD30" s="15">
        <f ca="1">OFFSET(MJ_Initialisation!Y36,0,3)</f>
        <v>0</v>
      </c>
      <c r="AE30" s="15">
        <f ca="1">OFFSET(MJ_Initialisation!Z36,0,3)</f>
        <v>0</v>
      </c>
      <c r="AF30" s="15">
        <f ca="1">OFFSET(MJ_Initialisation!AA36,0,3)</f>
        <v>0</v>
      </c>
      <c r="AG30" s="228"/>
      <c r="AH30" s="228"/>
      <c r="AI30" s="228"/>
      <c r="AJ30" s="228"/>
    </row>
    <row r="31" spans="1:36" x14ac:dyDescent="0.25">
      <c r="A31" s="30">
        <v>1000</v>
      </c>
      <c r="B31" s="102" t="s">
        <v>29</v>
      </c>
      <c r="C31" s="155" t="s">
        <v>49</v>
      </c>
      <c r="D31" s="42" t="s">
        <v>48</v>
      </c>
      <c r="E31" s="103" t="s">
        <v>53</v>
      </c>
      <c r="F31" s="119" t="s">
        <v>34</v>
      </c>
      <c r="G31" s="105" t="s">
        <v>55</v>
      </c>
      <c r="H31" s="14"/>
      <c r="I31" s="15">
        <f ca="1">OFFSET(MJ_Initialisation!D37,0,3)</f>
        <v>0</v>
      </c>
      <c r="J31" s="15">
        <f ca="1">OFFSET(MJ_Initialisation!E37,0,3)</f>
        <v>0</v>
      </c>
      <c r="K31" s="15">
        <f ca="1">OFFSET(MJ_Initialisation!F37,0,3)</f>
        <v>0</v>
      </c>
      <c r="L31" s="15">
        <f ca="1">OFFSET(MJ_Initialisation!G37,0,3)</f>
        <v>0</v>
      </c>
      <c r="M31" s="15">
        <f ca="1">OFFSET(MJ_Initialisation!H37,0,3)</f>
        <v>0</v>
      </c>
      <c r="N31" s="15">
        <f ca="1">OFFSET(MJ_Initialisation!I37,0,3)</f>
        <v>0</v>
      </c>
      <c r="O31" s="15">
        <f ca="1">OFFSET(MJ_Initialisation!J37,0,3)</f>
        <v>0</v>
      </c>
      <c r="P31" s="15">
        <f ca="1">OFFSET(MJ_Initialisation!K37,0,3)</f>
        <v>0</v>
      </c>
      <c r="Q31" s="15">
        <f ca="1">OFFSET(MJ_Initialisation!L37,0,3)</f>
        <v>0</v>
      </c>
      <c r="R31" s="15">
        <f ca="1">OFFSET(MJ_Initialisation!M37,0,3)</f>
        <v>0</v>
      </c>
      <c r="S31" s="15">
        <f ca="1">OFFSET(MJ_Initialisation!N37,0,3)</f>
        <v>0</v>
      </c>
      <c r="T31" s="15">
        <f ca="1">OFFSET(MJ_Initialisation!O37,0,3)</f>
        <v>0</v>
      </c>
      <c r="U31" s="15">
        <f ca="1">OFFSET(MJ_Initialisation!P37,0,3)</f>
        <v>0</v>
      </c>
      <c r="V31" s="15">
        <f ca="1">OFFSET(MJ_Initialisation!Q37,0,3)</f>
        <v>0</v>
      </c>
      <c r="W31" s="15">
        <f ca="1">OFFSET(MJ_Initialisation!R37,0,3)</f>
        <v>0</v>
      </c>
      <c r="X31" s="15">
        <f ca="1">OFFSET(MJ_Initialisation!S37,0,3)</f>
        <v>0</v>
      </c>
      <c r="Y31" s="15">
        <f ca="1">OFFSET(MJ_Initialisation!T37,0,3)</f>
        <v>0</v>
      </c>
      <c r="Z31" s="15">
        <f ca="1">OFFSET(MJ_Initialisation!U37,0,3)</f>
        <v>0</v>
      </c>
      <c r="AA31" s="15">
        <f ca="1">OFFSET(MJ_Initialisation!V37,0,3)</f>
        <v>0</v>
      </c>
      <c r="AB31" s="15">
        <f ca="1">OFFSET(MJ_Initialisation!W37,0,3)</f>
        <v>0</v>
      </c>
      <c r="AC31" s="15">
        <f ca="1">OFFSET(MJ_Initialisation!X37,0,3)</f>
        <v>0</v>
      </c>
      <c r="AD31" s="15">
        <f ca="1">OFFSET(MJ_Initialisation!Y37,0,3)</f>
        <v>0</v>
      </c>
      <c r="AE31" s="15">
        <f ca="1">OFFSET(MJ_Initialisation!Z37,0,3)</f>
        <v>0</v>
      </c>
      <c r="AF31" s="15">
        <f ca="1">OFFSET(MJ_Initialisation!AA37,0,3)</f>
        <v>0</v>
      </c>
      <c r="AG31" s="228"/>
      <c r="AH31" s="228"/>
      <c r="AI31" s="228"/>
      <c r="AJ31" s="228"/>
    </row>
    <row r="32" spans="1:36" x14ac:dyDescent="0.25">
      <c r="A32" s="30">
        <v>1000</v>
      </c>
      <c r="B32" s="102" t="s">
        <v>29</v>
      </c>
      <c r="C32" s="155" t="s">
        <v>49</v>
      </c>
      <c r="D32" s="42" t="s">
        <v>48</v>
      </c>
      <c r="E32" s="103" t="s">
        <v>53</v>
      </c>
      <c r="F32" s="119" t="s">
        <v>34</v>
      </c>
      <c r="G32" s="106" t="s">
        <v>56</v>
      </c>
      <c r="H32" s="47"/>
      <c r="I32" s="87">
        <f ca="1">I30</f>
        <v>60</v>
      </c>
      <c r="J32" s="87">
        <f ca="1">J30</f>
        <v>40</v>
      </c>
      <c r="K32" s="246">
        <f ca="1">IF(K31=0,IF(K$9&gt;0,MAX(ROUND((((K29+J33)/K$9)*K$12),0),0),0),K31)</f>
        <v>60</v>
      </c>
      <c r="L32" s="246">
        <f ca="1">IF(L31=0,IF(L$9&gt;0,MAX(ROUND((((L29+K33)/L$9)*L$12),0),0),0),L31)</f>
        <v>80</v>
      </c>
      <c r="M32" s="246">
        <f t="shared" ref="M32" ca="1" si="54">IF(M31=0,IF(M$9&gt;0,MAX(ROUND((((M29+L33)/M$9)*M$12),0),0),0),M31)</f>
        <v>50</v>
      </c>
      <c r="N32" s="246">
        <f t="shared" ref="N32" ca="1" si="55">IF(N31=0,IF(N$9&gt;0,MAX(ROUND((((N29+M33)/N$9)*N$12),0),0),0),N31)</f>
        <v>10</v>
      </c>
      <c r="O32" s="246">
        <f ca="1">IF(O31=0,IF(O$9&gt;0,MAX(ROUND((((O29+N33)/O$9)*O$12),0),0),0),O31)</f>
        <v>60</v>
      </c>
      <c r="P32" s="246">
        <f t="shared" ref="P32" ca="1" si="56">IF(P31=0,IF(P$9&gt;0,MAX(ROUND((((P29+O33)/P$9)*P$12),0),0),0),P31)</f>
        <v>100</v>
      </c>
      <c r="Q32" s="246">
        <f t="shared" ref="Q32" ca="1" si="57">IF(Q31=0,IF(Q$9&gt;0,MAX(ROUND((((Q29+P33)/Q$9)*Q$12),0),0),0),Q31)</f>
        <v>80</v>
      </c>
      <c r="R32" s="246">
        <f t="shared" ref="R32" ca="1" si="58">IF(R31=0,IF(R$9&gt;0,MAX(ROUND((((R29+Q33)/R$9)*R$12),0),0),0),R31)</f>
        <v>50</v>
      </c>
      <c r="S32" s="246">
        <f ca="1">IF(S31=0,IF(S$9&gt;0,MAX(ROUND((((S29+R33)/S$9)*S$12),0),0),0),S31)</f>
        <v>60</v>
      </c>
      <c r="T32" s="246">
        <f t="shared" ref="T32" ca="1" si="59">IF(T31=0,IF(T$9&gt;0,MAX(ROUND((((T29+S33)/T$9)*T$12),0),0),0),T31)</f>
        <v>70</v>
      </c>
      <c r="U32" s="246">
        <f t="shared" ref="U32" ca="1" si="60">IF(U31=0,IF(U$9&gt;0,MAX(ROUND((((U29+T33)/U$9)*U$12),0),0),0),U31)</f>
        <v>10</v>
      </c>
      <c r="V32" s="246">
        <f t="shared" ref="V32" ca="1" si="61">IF(V31=0,IF(V$9&gt;0,MAX(ROUND((((V29+U33)/V$9)*V$12),0),0),0),V31)</f>
        <v>0</v>
      </c>
      <c r="W32" s="246">
        <f t="shared" ref="W32" ca="1" si="62">IF(W31=0,IF(W$9&gt;0,MAX(ROUND((((W29+V33)/W$9)*W$12),0),0),0),W31)</f>
        <v>20</v>
      </c>
      <c r="X32" s="246">
        <f ca="1">IF(X31=0,IF(X$9&gt;0,MAX(ROUND((((X29+W33)/X$9)*X$12),0),0),0),X31)</f>
        <v>60</v>
      </c>
      <c r="Y32" s="246">
        <f t="shared" ref="Y32" ca="1" si="63">IF(Y31=0,IF(Y$9&gt;0,MAX(ROUND((((Y29+X33)/Y$9)*Y$12),0),0),0),Y31)</f>
        <v>90</v>
      </c>
      <c r="Z32" s="246">
        <f t="shared" ref="Z32" ca="1" si="64">IF(Z31=0,IF(Z$9&gt;0,MAX(ROUND((((Z29+Y33)/Z$9)*Z$12),0),0),0),Z31)</f>
        <v>40</v>
      </c>
      <c r="AA32" s="246">
        <f t="shared" ref="AA32" ca="1" si="65">IF(AA31=0,IF(AA$9&gt;0,MAX(ROUND((((AA29+Z33)/AA$9)*AA$12),0),0),0),AA31)</f>
        <v>20</v>
      </c>
      <c r="AB32" s="246">
        <f t="shared" ref="AB32" ca="1" si="66">IF(AB31=0,IF(AB$9&gt;0,MAX(ROUND((((AB29+AA33)/AB$9)*AB$12),0),0),0),AB31)</f>
        <v>90</v>
      </c>
      <c r="AC32" s="246">
        <f t="shared" ref="AC32" ca="1" si="67">IF(AC31=0,IF(AC$9&gt;0,MAX(ROUND((((AC29+AB33)/AC$9)*AC$12),0),0),0),AC31)</f>
        <v>50</v>
      </c>
      <c r="AD32" s="246">
        <f t="shared" ref="AD32" ca="1" si="68">IF(AD31=0,IF(AD$9&gt;0,MAX(ROUND((((AD29+AC33)/AD$9)*AD$12),0),0),0),AD31)</f>
        <v>0</v>
      </c>
      <c r="AE32" s="246">
        <f t="shared" ref="AE32" ca="1" si="69">IF(AE31=0,IF(AE$9&gt;0,MAX(ROUND((((AE29+AD33)/AE$9)*AE$12),0),0),0),AE31)</f>
        <v>0</v>
      </c>
      <c r="AF32" s="246">
        <f t="shared" ref="AF32" ca="1" si="70">IF(AF31=0,IF(AF$9&gt;0,MAX(ROUND((((AF29+AE33)/AF$9)*AF$12),0),0),0),AF31)</f>
        <v>0</v>
      </c>
      <c r="AG32" s="246"/>
      <c r="AH32" s="246"/>
      <c r="AI32" s="246"/>
      <c r="AJ32" s="246"/>
    </row>
    <row r="33" spans="1:36" x14ac:dyDescent="0.25">
      <c r="A33" s="30">
        <v>1000</v>
      </c>
      <c r="B33" s="102" t="s">
        <v>29</v>
      </c>
      <c r="C33" s="155" t="s">
        <v>49</v>
      </c>
      <c r="D33" s="42" t="s">
        <v>48</v>
      </c>
      <c r="E33" s="103" t="s">
        <v>53</v>
      </c>
      <c r="F33" s="119" t="s">
        <v>34</v>
      </c>
      <c r="G33" s="100" t="s">
        <v>60</v>
      </c>
      <c r="H33" s="47"/>
      <c r="I33" s="97">
        <f t="shared" ref="I33:AF33" ca="1" si="71">I29+H33-I32</f>
        <v>0</v>
      </c>
      <c r="J33" s="87">
        <f t="shared" ca="1" si="71"/>
        <v>0</v>
      </c>
      <c r="K33" s="87">
        <f t="shared" ca="1" si="71"/>
        <v>0</v>
      </c>
      <c r="L33" s="87">
        <f t="shared" ca="1" si="71"/>
        <v>0</v>
      </c>
      <c r="M33" s="87">
        <f t="shared" ca="1" si="71"/>
        <v>0</v>
      </c>
      <c r="N33" s="87">
        <f t="shared" ca="1" si="71"/>
        <v>0</v>
      </c>
      <c r="O33" s="87">
        <f t="shared" ca="1" si="71"/>
        <v>0</v>
      </c>
      <c r="P33" s="87">
        <f t="shared" ca="1" si="71"/>
        <v>0</v>
      </c>
      <c r="Q33" s="87">
        <f t="shared" ca="1" si="71"/>
        <v>0</v>
      </c>
      <c r="R33" s="87">
        <f t="shared" ca="1" si="71"/>
        <v>0</v>
      </c>
      <c r="S33" s="87">
        <f t="shared" ca="1" si="71"/>
        <v>0</v>
      </c>
      <c r="T33" s="87">
        <f t="shared" ca="1" si="71"/>
        <v>0</v>
      </c>
      <c r="U33" s="87">
        <f t="shared" ca="1" si="71"/>
        <v>0</v>
      </c>
      <c r="V33" s="87">
        <f t="shared" ca="1" si="71"/>
        <v>0</v>
      </c>
      <c r="W33" s="87">
        <f t="shared" ca="1" si="71"/>
        <v>0</v>
      </c>
      <c r="X33" s="87">
        <f t="shared" ca="1" si="71"/>
        <v>0</v>
      </c>
      <c r="Y33" s="87">
        <f t="shared" ca="1" si="71"/>
        <v>0</v>
      </c>
      <c r="Z33" s="87">
        <f t="shared" ca="1" si="71"/>
        <v>0</v>
      </c>
      <c r="AA33" s="87">
        <f t="shared" ca="1" si="71"/>
        <v>0</v>
      </c>
      <c r="AB33" s="87">
        <f t="shared" ca="1" si="71"/>
        <v>0</v>
      </c>
      <c r="AC33" s="87">
        <f t="shared" ca="1" si="71"/>
        <v>0</v>
      </c>
      <c r="AD33" s="87">
        <f t="shared" ca="1" si="71"/>
        <v>0</v>
      </c>
      <c r="AE33" s="87">
        <f t="shared" ca="1" si="71"/>
        <v>0</v>
      </c>
      <c r="AF33" s="87">
        <f t="shared" ca="1" si="71"/>
        <v>0</v>
      </c>
      <c r="AG33" s="246"/>
      <c r="AH33" s="246"/>
      <c r="AI33" s="246"/>
      <c r="AJ33" s="246"/>
    </row>
    <row r="34" spans="1:36" x14ac:dyDescent="0.25">
      <c r="A34" s="30">
        <v>1000</v>
      </c>
      <c r="B34" s="102" t="s">
        <v>29</v>
      </c>
      <c r="C34" s="103" t="s">
        <v>49</v>
      </c>
      <c r="D34" s="42" t="s">
        <v>48</v>
      </c>
      <c r="E34" s="103" t="s">
        <v>49</v>
      </c>
      <c r="F34" s="42" t="s">
        <v>48</v>
      </c>
      <c r="G34" s="106" t="s">
        <v>62</v>
      </c>
      <c r="H34" s="47"/>
      <c r="I34" s="97">
        <f ca="1">I17+I22+I27+I32</f>
        <v>530</v>
      </c>
      <c r="J34" s="97">
        <f ca="1">J17+J22+J27+J32</f>
        <v>310</v>
      </c>
      <c r="K34" s="97">
        <f ca="1">K17+K22+K27+K32</f>
        <v>550</v>
      </c>
      <c r="L34" s="97">
        <f t="shared" ref="L34:AF34" ca="1" si="72">L17+L22+L27+L32</f>
        <v>220</v>
      </c>
      <c r="M34" s="97">
        <f t="shared" ca="1" si="72"/>
        <v>310</v>
      </c>
      <c r="N34" s="97">
        <f t="shared" ca="1" si="72"/>
        <v>410</v>
      </c>
      <c r="O34" s="97">
        <f t="shared" ca="1" si="72"/>
        <v>440</v>
      </c>
      <c r="P34" s="97">
        <f t="shared" ca="1" si="72"/>
        <v>350</v>
      </c>
      <c r="Q34" s="97">
        <f t="shared" ca="1" si="72"/>
        <v>540</v>
      </c>
      <c r="R34" s="97">
        <f t="shared" ca="1" si="72"/>
        <v>550</v>
      </c>
      <c r="S34" s="97">
        <f t="shared" ca="1" si="72"/>
        <v>390</v>
      </c>
      <c r="T34" s="97">
        <f t="shared" ca="1" si="72"/>
        <v>530</v>
      </c>
      <c r="U34" s="97">
        <f t="shared" ca="1" si="72"/>
        <v>300</v>
      </c>
      <c r="V34" s="97">
        <f t="shared" ca="1" si="72"/>
        <v>420</v>
      </c>
      <c r="W34" s="97">
        <f t="shared" ca="1" si="72"/>
        <v>340</v>
      </c>
      <c r="X34" s="97">
        <f t="shared" ca="1" si="72"/>
        <v>460</v>
      </c>
      <c r="Y34" s="97">
        <f t="shared" ca="1" si="72"/>
        <v>540</v>
      </c>
      <c r="Z34" s="97">
        <f t="shared" ca="1" si="72"/>
        <v>360</v>
      </c>
      <c r="AA34" s="97">
        <f t="shared" ca="1" si="72"/>
        <v>620</v>
      </c>
      <c r="AB34" s="97">
        <f t="shared" ca="1" si="72"/>
        <v>400</v>
      </c>
      <c r="AC34" s="97">
        <f t="shared" ca="1" si="72"/>
        <v>400</v>
      </c>
      <c r="AD34" s="97">
        <f t="shared" ca="1" si="72"/>
        <v>220</v>
      </c>
      <c r="AE34" s="97">
        <f t="shared" ca="1" si="72"/>
        <v>210</v>
      </c>
      <c r="AF34" s="97">
        <f t="shared" ca="1" si="72"/>
        <v>40</v>
      </c>
      <c r="AG34" s="250"/>
      <c r="AH34" s="250"/>
      <c r="AI34" s="250"/>
      <c r="AJ34" s="250"/>
    </row>
    <row r="35" spans="1:36" x14ac:dyDescent="0.25">
      <c r="A35" s="30">
        <v>1000</v>
      </c>
      <c r="B35" s="102" t="s">
        <v>29</v>
      </c>
      <c r="C35" s="103" t="s">
        <v>49</v>
      </c>
      <c r="D35" s="42" t="s">
        <v>48</v>
      </c>
      <c r="E35" s="103" t="s">
        <v>49</v>
      </c>
      <c r="F35" s="42" t="s">
        <v>48</v>
      </c>
      <c r="G35" s="100" t="s">
        <v>37</v>
      </c>
      <c r="H35" s="92"/>
      <c r="I35" s="97">
        <f ca="1">H8+I5+I6-I34</f>
        <v>0</v>
      </c>
      <c r="J35" s="97">
        <f ca="1">I35+J5+J6-J34</f>
        <v>0</v>
      </c>
      <c r="K35" s="97">
        <f t="shared" ref="K35:AF35" ca="1" si="73">J35+K5+K6-K34</f>
        <v>0</v>
      </c>
      <c r="L35" s="97">
        <f t="shared" ca="1" si="73"/>
        <v>0</v>
      </c>
      <c r="M35" s="97">
        <f t="shared" ca="1" si="73"/>
        <v>0</v>
      </c>
      <c r="N35" s="97">
        <f t="shared" ca="1" si="73"/>
        <v>0</v>
      </c>
      <c r="O35" s="97">
        <f t="shared" ca="1" si="73"/>
        <v>0</v>
      </c>
      <c r="P35" s="97">
        <f t="shared" ca="1" si="73"/>
        <v>0</v>
      </c>
      <c r="Q35" s="97">
        <f t="shared" ca="1" si="73"/>
        <v>0</v>
      </c>
      <c r="R35" s="97">
        <f t="shared" ca="1" si="73"/>
        <v>0</v>
      </c>
      <c r="S35" s="97">
        <f t="shared" ca="1" si="73"/>
        <v>0</v>
      </c>
      <c r="T35" s="97">
        <f t="shared" ca="1" si="73"/>
        <v>0</v>
      </c>
      <c r="U35" s="97">
        <f t="shared" ca="1" si="73"/>
        <v>0</v>
      </c>
      <c r="V35" s="97">
        <f t="shared" ca="1" si="73"/>
        <v>0</v>
      </c>
      <c r="W35" s="97">
        <f t="shared" ca="1" si="73"/>
        <v>0</v>
      </c>
      <c r="X35" s="97">
        <f t="shared" ca="1" si="73"/>
        <v>0</v>
      </c>
      <c r="Y35" s="97">
        <f t="shared" ca="1" si="73"/>
        <v>0</v>
      </c>
      <c r="Z35" s="97">
        <f t="shared" ca="1" si="73"/>
        <v>0</v>
      </c>
      <c r="AA35" s="97">
        <f t="shared" ca="1" si="73"/>
        <v>0</v>
      </c>
      <c r="AB35" s="97">
        <f t="shared" ca="1" si="73"/>
        <v>0</v>
      </c>
      <c r="AC35" s="97">
        <f t="shared" ca="1" si="73"/>
        <v>0</v>
      </c>
      <c r="AD35" s="97">
        <f t="shared" ca="1" si="73"/>
        <v>0</v>
      </c>
      <c r="AE35" s="97">
        <f t="shared" ca="1" si="73"/>
        <v>0</v>
      </c>
      <c r="AF35" s="97">
        <f t="shared" ca="1" si="73"/>
        <v>0</v>
      </c>
      <c r="AG35" s="250"/>
      <c r="AH35" s="250"/>
      <c r="AI35" s="250"/>
      <c r="AJ35" s="250"/>
    </row>
    <row r="36" spans="1:36" x14ac:dyDescent="0.25">
      <c r="A36" s="30">
        <v>1000</v>
      </c>
      <c r="B36" s="102" t="s">
        <v>29</v>
      </c>
      <c r="C36" s="103" t="s">
        <v>49</v>
      </c>
      <c r="D36" s="42" t="s">
        <v>48</v>
      </c>
      <c r="E36" s="103" t="s">
        <v>49</v>
      </c>
      <c r="F36" s="42" t="s">
        <v>48</v>
      </c>
      <c r="G36" s="100" t="s">
        <v>24</v>
      </c>
      <c r="H36" s="42"/>
      <c r="I36" s="39">
        <f>CBN_CDC!I16</f>
        <v>0</v>
      </c>
      <c r="J36" s="39">
        <f>CBN_CDC!J16</f>
        <v>0</v>
      </c>
      <c r="K36" s="39">
        <f>CBN_CDC!K16</f>
        <v>0</v>
      </c>
      <c r="L36" s="39">
        <f>CBN_CDC!L16</f>
        <v>0</v>
      </c>
      <c r="M36" s="39">
        <f>CBN_CDC!M16</f>
        <v>0</v>
      </c>
      <c r="N36" s="39">
        <f>CBN_CDC!N16</f>
        <v>0</v>
      </c>
      <c r="O36" s="39">
        <f>CBN_CDC!O16</f>
        <v>0</v>
      </c>
      <c r="P36" s="39">
        <f>CBN_CDC!P16</f>
        <v>0</v>
      </c>
      <c r="Q36" s="39">
        <f>CBN_CDC!Q16</f>
        <v>0</v>
      </c>
      <c r="R36" s="39">
        <f>CBN_CDC!R16</f>
        <v>0</v>
      </c>
      <c r="S36" s="39">
        <f>CBN_CDC!S16</f>
        <v>0</v>
      </c>
      <c r="T36" s="39">
        <f>CBN_CDC!T16</f>
        <v>0</v>
      </c>
      <c r="U36" s="39">
        <f>CBN_CDC!U16</f>
        <v>0</v>
      </c>
      <c r="V36" s="39">
        <f>CBN_CDC!V16</f>
        <v>0</v>
      </c>
      <c r="W36" s="39">
        <f>CBN_CDC!W16</f>
        <v>0</v>
      </c>
      <c r="X36" s="39">
        <f>CBN_CDC!X16</f>
        <v>0</v>
      </c>
      <c r="Y36" s="39">
        <f>CBN_CDC!Y16</f>
        <v>0</v>
      </c>
      <c r="Z36" s="39">
        <f>CBN_CDC!Z16</f>
        <v>0</v>
      </c>
      <c r="AA36" s="39">
        <f>CBN_CDC!AA16</f>
        <v>0</v>
      </c>
      <c r="AB36" s="39">
        <f>CBN_CDC!AB16</f>
        <v>0</v>
      </c>
      <c r="AC36" s="39">
        <f>CBN_CDC!AC16</f>
        <v>0</v>
      </c>
      <c r="AD36" s="39">
        <f>CBN_CDC!AD16</f>
        <v>0</v>
      </c>
      <c r="AE36" s="39">
        <f>CBN_CDC!AE16</f>
        <v>0</v>
      </c>
      <c r="AF36" s="39">
        <f>CBN_CDC!AF16</f>
        <v>0</v>
      </c>
      <c r="AG36" s="238"/>
      <c r="AH36" s="238"/>
      <c r="AI36" s="238"/>
      <c r="AJ36" s="238"/>
    </row>
    <row r="37" spans="1:36" x14ac:dyDescent="0.25">
      <c r="A37" s="30">
        <v>1000</v>
      </c>
      <c r="B37" s="102" t="s">
        <v>29</v>
      </c>
      <c r="C37" s="103" t="s">
        <v>49</v>
      </c>
      <c r="D37" s="42" t="s">
        <v>48</v>
      </c>
      <c r="E37" s="103" t="s">
        <v>49</v>
      </c>
      <c r="F37" s="42" t="s">
        <v>48</v>
      </c>
      <c r="G37" s="100" t="s">
        <v>60</v>
      </c>
      <c r="H37" s="92"/>
      <c r="I37" s="97">
        <f ca="1">I33+I28+I23+I18</f>
        <v>0</v>
      </c>
      <c r="J37" s="97">
        <f t="shared" ref="J37:AF37" ca="1" si="74">J33+J28+J23+J18</f>
        <v>0</v>
      </c>
      <c r="K37" s="97">
        <f t="shared" ca="1" si="74"/>
        <v>0</v>
      </c>
      <c r="L37" s="97">
        <f t="shared" ca="1" si="74"/>
        <v>0</v>
      </c>
      <c r="M37" s="97">
        <f t="shared" ca="1" si="74"/>
        <v>0</v>
      </c>
      <c r="N37" s="97">
        <f t="shared" ca="1" si="74"/>
        <v>0</v>
      </c>
      <c r="O37" s="97">
        <f t="shared" ca="1" si="74"/>
        <v>0</v>
      </c>
      <c r="P37" s="97">
        <f t="shared" ca="1" si="74"/>
        <v>0</v>
      </c>
      <c r="Q37" s="97">
        <f t="shared" ca="1" si="74"/>
        <v>0</v>
      </c>
      <c r="R37" s="97">
        <f t="shared" ca="1" si="74"/>
        <v>0</v>
      </c>
      <c r="S37" s="97">
        <f t="shared" ca="1" si="74"/>
        <v>0</v>
      </c>
      <c r="T37" s="97">
        <f t="shared" ca="1" si="74"/>
        <v>0</v>
      </c>
      <c r="U37" s="97">
        <f t="shared" ca="1" si="74"/>
        <v>0</v>
      </c>
      <c r="V37" s="97">
        <f t="shared" ca="1" si="74"/>
        <v>0</v>
      </c>
      <c r="W37" s="97">
        <f t="shared" ca="1" si="74"/>
        <v>0</v>
      </c>
      <c r="X37" s="97">
        <f t="shared" ca="1" si="74"/>
        <v>0</v>
      </c>
      <c r="Y37" s="97">
        <f t="shared" ca="1" si="74"/>
        <v>0</v>
      </c>
      <c r="Z37" s="97">
        <f t="shared" ca="1" si="74"/>
        <v>0</v>
      </c>
      <c r="AA37" s="97">
        <f t="shared" ca="1" si="74"/>
        <v>0</v>
      </c>
      <c r="AB37" s="97">
        <f t="shared" ca="1" si="74"/>
        <v>0</v>
      </c>
      <c r="AC37" s="97">
        <f t="shared" ca="1" si="74"/>
        <v>0</v>
      </c>
      <c r="AD37" s="97">
        <f t="shared" ca="1" si="74"/>
        <v>0</v>
      </c>
      <c r="AE37" s="97">
        <f t="shared" ca="1" si="74"/>
        <v>0</v>
      </c>
      <c r="AF37" s="97">
        <f t="shared" ca="1" si="74"/>
        <v>0</v>
      </c>
      <c r="AG37" s="250"/>
      <c r="AH37" s="250"/>
      <c r="AI37" s="250"/>
      <c r="AJ37" s="250"/>
    </row>
    <row r="38" spans="1:36" x14ac:dyDescent="0.25">
      <c r="A38" s="11"/>
      <c r="B38" s="57"/>
      <c r="C38" s="15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226"/>
      <c r="AH38" s="226"/>
      <c r="AI38" s="226"/>
      <c r="AJ38" s="226"/>
    </row>
    <row r="39" spans="1:36" ht="15" customHeight="1" x14ac:dyDescent="0.25">
      <c r="A39" s="30">
        <v>2000</v>
      </c>
      <c r="B39" s="104" t="s">
        <v>30</v>
      </c>
      <c r="C39" s="155">
        <v>111</v>
      </c>
      <c r="D39" s="42" t="s">
        <v>65</v>
      </c>
      <c r="E39" s="103" t="s">
        <v>49</v>
      </c>
      <c r="F39" s="42" t="s">
        <v>48</v>
      </c>
      <c r="G39" s="98" t="s">
        <v>47</v>
      </c>
      <c r="H39" s="90"/>
      <c r="I39" s="153"/>
      <c r="J39" s="153"/>
      <c r="K39" s="16">
        <f ca="1">Factory!J20</f>
        <v>380</v>
      </c>
      <c r="L39" s="16">
        <f ca="1">Factory!K20</f>
        <v>140</v>
      </c>
      <c r="M39" s="16">
        <f ca="1">Factory!L20</f>
        <v>180</v>
      </c>
      <c r="N39" s="16">
        <f ca="1">Factory!M20</f>
        <v>180</v>
      </c>
      <c r="O39" s="16">
        <f ca="1">Factory!N20</f>
        <v>400</v>
      </c>
      <c r="P39" s="16">
        <f ca="1">Factory!O20</f>
        <v>300</v>
      </c>
      <c r="Q39" s="16">
        <f ca="1">Factory!P20</f>
        <v>330</v>
      </c>
      <c r="R39" s="16">
        <f ca="1">Factory!Q20</f>
        <v>140</v>
      </c>
      <c r="S39" s="16">
        <f ca="1">Factory!R20</f>
        <v>320</v>
      </c>
      <c r="T39" s="16">
        <f ca="1">Factory!S20</f>
        <v>240</v>
      </c>
      <c r="U39" s="16">
        <f ca="1">Factory!T20</f>
        <v>180</v>
      </c>
      <c r="V39" s="16">
        <f ca="1">Factory!U20</f>
        <v>420</v>
      </c>
      <c r="W39" s="16">
        <f ca="1">Factory!V20</f>
        <v>210</v>
      </c>
      <c r="X39" s="16">
        <f ca="1">Factory!W20</f>
        <v>140</v>
      </c>
      <c r="Y39" s="16">
        <f ca="1">Factory!X20</f>
        <v>240</v>
      </c>
      <c r="Z39" s="16">
        <f ca="1">Factory!Y20</f>
        <v>140</v>
      </c>
      <c r="AA39" s="16">
        <f ca="1">Factory!Z20</f>
        <v>150</v>
      </c>
      <c r="AB39" s="16">
        <f ca="1">Factory!AA20</f>
        <v>250</v>
      </c>
      <c r="AC39" s="16">
        <f ca="1">Factory!AB20</f>
        <v>270</v>
      </c>
      <c r="AD39" s="16">
        <f ca="1">Factory!AC20</f>
        <v>200</v>
      </c>
      <c r="AE39" s="16">
        <f ca="1">Factory!AD20</f>
        <v>250</v>
      </c>
      <c r="AF39" s="16">
        <f ca="1">Factory!AE20</f>
        <v>40</v>
      </c>
      <c r="AG39" s="229"/>
      <c r="AH39" s="229"/>
      <c r="AI39" s="229"/>
      <c r="AJ39" s="229"/>
    </row>
    <row r="40" spans="1:36" ht="15" customHeight="1" x14ac:dyDescent="0.25">
      <c r="A40" s="30">
        <v>2000</v>
      </c>
      <c r="B40" s="104" t="s">
        <v>30</v>
      </c>
      <c r="C40" s="155">
        <v>111</v>
      </c>
      <c r="D40" s="42" t="s">
        <v>65</v>
      </c>
      <c r="E40" s="103" t="s">
        <v>49</v>
      </c>
      <c r="F40" s="42" t="s">
        <v>48</v>
      </c>
      <c r="G40" s="35" t="s">
        <v>73</v>
      </c>
      <c r="H40" s="31"/>
      <c r="I40" s="36">
        <f>MJ_Initialisation!D46</f>
        <v>510</v>
      </c>
      <c r="J40" s="36">
        <f>MJ_Initialisation!E46</f>
        <v>110</v>
      </c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260"/>
      <c r="AH40" s="260"/>
      <c r="AI40" s="260"/>
      <c r="AJ40" s="260"/>
    </row>
    <row r="41" spans="1:36" ht="15" customHeight="1" x14ac:dyDescent="0.25">
      <c r="A41" s="30">
        <v>2000</v>
      </c>
      <c r="B41" s="104" t="s">
        <v>30</v>
      </c>
      <c r="C41" s="155">
        <v>111</v>
      </c>
      <c r="D41" s="42" t="s">
        <v>65</v>
      </c>
      <c r="E41" s="103" t="s">
        <v>49</v>
      </c>
      <c r="F41" s="42" t="s">
        <v>48</v>
      </c>
      <c r="G41" s="106" t="s">
        <v>127</v>
      </c>
      <c r="H41" s="42"/>
      <c r="I41" s="250">
        <f>I39+I40</f>
        <v>510</v>
      </c>
      <c r="J41" s="87">
        <f t="shared" ref="J41:AF41" si="75">J39+J40</f>
        <v>110</v>
      </c>
      <c r="K41" s="87">
        <f t="shared" ca="1" si="75"/>
        <v>380</v>
      </c>
      <c r="L41" s="87">
        <f t="shared" ca="1" si="75"/>
        <v>140</v>
      </c>
      <c r="M41" s="87">
        <f t="shared" ca="1" si="75"/>
        <v>180</v>
      </c>
      <c r="N41" s="87">
        <f t="shared" ca="1" si="75"/>
        <v>180</v>
      </c>
      <c r="O41" s="87">
        <f t="shared" ca="1" si="75"/>
        <v>400</v>
      </c>
      <c r="P41" s="87">
        <f t="shared" ca="1" si="75"/>
        <v>300</v>
      </c>
      <c r="Q41" s="87">
        <f t="shared" ca="1" si="75"/>
        <v>330</v>
      </c>
      <c r="R41" s="87">
        <f t="shared" ca="1" si="75"/>
        <v>140</v>
      </c>
      <c r="S41" s="87">
        <f t="shared" ca="1" si="75"/>
        <v>320</v>
      </c>
      <c r="T41" s="87">
        <f t="shared" ca="1" si="75"/>
        <v>240</v>
      </c>
      <c r="U41" s="87">
        <f t="shared" ca="1" si="75"/>
        <v>180</v>
      </c>
      <c r="V41" s="87">
        <f t="shared" ca="1" si="75"/>
        <v>420</v>
      </c>
      <c r="W41" s="87">
        <f t="shared" ca="1" si="75"/>
        <v>210</v>
      </c>
      <c r="X41" s="87">
        <f t="shared" ca="1" si="75"/>
        <v>140</v>
      </c>
      <c r="Y41" s="87">
        <f t="shared" ca="1" si="75"/>
        <v>240</v>
      </c>
      <c r="Z41" s="87">
        <f t="shared" ca="1" si="75"/>
        <v>140</v>
      </c>
      <c r="AA41" s="87">
        <f t="shared" ca="1" si="75"/>
        <v>150</v>
      </c>
      <c r="AB41" s="87">
        <f t="shared" ca="1" si="75"/>
        <v>250</v>
      </c>
      <c r="AC41" s="87">
        <f t="shared" ca="1" si="75"/>
        <v>270</v>
      </c>
      <c r="AD41" s="87">
        <f t="shared" ca="1" si="75"/>
        <v>200</v>
      </c>
      <c r="AE41" s="87">
        <f t="shared" ca="1" si="75"/>
        <v>250</v>
      </c>
      <c r="AF41" s="87">
        <f t="shared" ca="1" si="75"/>
        <v>40</v>
      </c>
      <c r="AG41" s="246"/>
      <c r="AH41" s="246"/>
      <c r="AI41" s="246"/>
      <c r="AJ41" s="246"/>
    </row>
    <row r="42" spans="1:36" ht="15.75" thickBot="1" x14ac:dyDescent="0.3">
      <c r="A42" s="30">
        <v>2000</v>
      </c>
      <c r="B42" s="121" t="s">
        <v>30</v>
      </c>
      <c r="C42" s="103" t="s">
        <v>49</v>
      </c>
      <c r="D42" s="42" t="s">
        <v>48</v>
      </c>
      <c r="E42" s="103" t="s">
        <v>49</v>
      </c>
      <c r="F42" s="42" t="s">
        <v>48</v>
      </c>
      <c r="G42" s="168" t="s">
        <v>120</v>
      </c>
      <c r="H42" s="66">
        <f>CBN_CDC!H26</f>
        <v>0</v>
      </c>
      <c r="I42" s="175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267"/>
      <c r="AH42" s="267"/>
      <c r="AI42" s="267"/>
      <c r="AJ42" s="267"/>
    </row>
    <row r="43" spans="1:36" x14ac:dyDescent="0.25">
      <c r="A43" s="30">
        <v>2000</v>
      </c>
      <c r="B43" s="104" t="s">
        <v>30</v>
      </c>
      <c r="C43" s="103" t="s">
        <v>49</v>
      </c>
      <c r="D43" s="42" t="s">
        <v>48</v>
      </c>
      <c r="E43" s="103" t="s">
        <v>49</v>
      </c>
      <c r="F43" s="42" t="s">
        <v>48</v>
      </c>
      <c r="G43" s="106" t="s">
        <v>63</v>
      </c>
      <c r="H43" s="42"/>
      <c r="I43" s="87">
        <f ca="1">IF(I50&gt;0,0,I48+H52)+IF(I55&gt;0,0,I53+H57)+IF(I60&gt;0,0,I58+H62)</f>
        <v>510</v>
      </c>
      <c r="J43" s="87">
        <f t="shared" ref="J43:AF43" ca="1" si="76">IF(J50&gt;0,0,J48+I52)+IF(J55&gt;0,0,J53+I57)+IF(J60&gt;0,0,J58+I62)</f>
        <v>110</v>
      </c>
      <c r="K43" s="87">
        <f t="shared" ca="1" si="76"/>
        <v>380</v>
      </c>
      <c r="L43" s="87">
        <f t="shared" ca="1" si="76"/>
        <v>140</v>
      </c>
      <c r="M43" s="87">
        <f t="shared" ca="1" si="76"/>
        <v>180</v>
      </c>
      <c r="N43" s="87">
        <f t="shared" ca="1" si="76"/>
        <v>180</v>
      </c>
      <c r="O43" s="87">
        <f t="shared" ca="1" si="76"/>
        <v>400</v>
      </c>
      <c r="P43" s="87">
        <f t="shared" ca="1" si="76"/>
        <v>300</v>
      </c>
      <c r="Q43" s="87">
        <f t="shared" ca="1" si="76"/>
        <v>330</v>
      </c>
      <c r="R43" s="87">
        <f t="shared" ca="1" si="76"/>
        <v>140</v>
      </c>
      <c r="S43" s="87">
        <f t="shared" ca="1" si="76"/>
        <v>320</v>
      </c>
      <c r="T43" s="87">
        <f t="shared" ca="1" si="76"/>
        <v>240</v>
      </c>
      <c r="U43" s="87">
        <f t="shared" ca="1" si="76"/>
        <v>180</v>
      </c>
      <c r="V43" s="87">
        <f t="shared" ca="1" si="76"/>
        <v>420</v>
      </c>
      <c r="W43" s="87">
        <f t="shared" ca="1" si="76"/>
        <v>210</v>
      </c>
      <c r="X43" s="87">
        <f t="shared" ca="1" si="76"/>
        <v>140</v>
      </c>
      <c r="Y43" s="87">
        <f t="shared" ca="1" si="76"/>
        <v>240</v>
      </c>
      <c r="Z43" s="87">
        <f t="shared" ca="1" si="76"/>
        <v>140</v>
      </c>
      <c r="AA43" s="87">
        <f t="shared" ca="1" si="76"/>
        <v>150</v>
      </c>
      <c r="AB43" s="87">
        <f t="shared" ca="1" si="76"/>
        <v>250</v>
      </c>
      <c r="AC43" s="87">
        <f t="shared" ca="1" si="76"/>
        <v>270</v>
      </c>
      <c r="AD43" s="87">
        <f t="shared" ca="1" si="76"/>
        <v>200</v>
      </c>
      <c r="AE43" s="87">
        <f t="shared" ca="1" si="76"/>
        <v>250</v>
      </c>
      <c r="AF43" s="87">
        <f t="shared" ca="1" si="76"/>
        <v>40</v>
      </c>
      <c r="AG43" s="246"/>
      <c r="AH43" s="246"/>
      <c r="AI43" s="246"/>
      <c r="AJ43" s="246"/>
    </row>
    <row r="44" spans="1:36" x14ac:dyDescent="0.25">
      <c r="A44" s="30">
        <v>2000</v>
      </c>
      <c r="B44" s="104" t="s">
        <v>30</v>
      </c>
      <c r="C44" s="103" t="s">
        <v>49</v>
      </c>
      <c r="D44" s="42" t="s">
        <v>48</v>
      </c>
      <c r="E44" s="103" t="s">
        <v>49</v>
      </c>
      <c r="F44" s="42" t="s">
        <v>48</v>
      </c>
      <c r="G44" s="99" t="s">
        <v>59</v>
      </c>
      <c r="H44" s="14"/>
      <c r="I44" s="17">
        <f ca="1">I49+I54+I59</f>
        <v>510</v>
      </c>
      <c r="J44" s="17">
        <f t="shared" ref="J44:AF44" ca="1" si="77">J49+J54+J59</f>
        <v>110</v>
      </c>
      <c r="K44" s="17">
        <f t="shared" ca="1" si="77"/>
        <v>380</v>
      </c>
      <c r="L44" s="17">
        <f t="shared" ca="1" si="77"/>
        <v>140</v>
      </c>
      <c r="M44" s="17">
        <f t="shared" ca="1" si="77"/>
        <v>180</v>
      </c>
      <c r="N44" s="17">
        <f t="shared" ca="1" si="77"/>
        <v>180</v>
      </c>
      <c r="O44" s="17">
        <f t="shared" ca="1" si="77"/>
        <v>400</v>
      </c>
      <c r="P44" s="17">
        <f t="shared" ca="1" si="77"/>
        <v>300</v>
      </c>
      <c r="Q44" s="17">
        <f t="shared" ca="1" si="77"/>
        <v>330</v>
      </c>
      <c r="R44" s="17">
        <f t="shared" ca="1" si="77"/>
        <v>140</v>
      </c>
      <c r="S44" s="17">
        <f t="shared" ca="1" si="77"/>
        <v>320</v>
      </c>
      <c r="T44" s="17">
        <f t="shared" ca="1" si="77"/>
        <v>240</v>
      </c>
      <c r="U44" s="17">
        <f t="shared" ca="1" si="77"/>
        <v>180</v>
      </c>
      <c r="V44" s="17">
        <f t="shared" ca="1" si="77"/>
        <v>420</v>
      </c>
      <c r="W44" s="17">
        <f t="shared" ca="1" si="77"/>
        <v>210</v>
      </c>
      <c r="X44" s="17">
        <f t="shared" ca="1" si="77"/>
        <v>140</v>
      </c>
      <c r="Y44" s="17">
        <f t="shared" ca="1" si="77"/>
        <v>240</v>
      </c>
      <c r="Z44" s="17">
        <f t="shared" ca="1" si="77"/>
        <v>140</v>
      </c>
      <c r="AA44" s="17">
        <f t="shared" ca="1" si="77"/>
        <v>150</v>
      </c>
      <c r="AB44" s="17">
        <f t="shared" ca="1" si="77"/>
        <v>250</v>
      </c>
      <c r="AC44" s="17">
        <f t="shared" ca="1" si="77"/>
        <v>270</v>
      </c>
      <c r="AD44" s="17">
        <f t="shared" ca="1" si="77"/>
        <v>200</v>
      </c>
      <c r="AE44" s="17">
        <f t="shared" ca="1" si="77"/>
        <v>250</v>
      </c>
      <c r="AF44" s="17">
        <f t="shared" ca="1" si="77"/>
        <v>40</v>
      </c>
      <c r="AG44" s="230"/>
      <c r="AH44" s="230"/>
      <c r="AI44" s="230"/>
      <c r="AJ44" s="230"/>
    </row>
    <row r="45" spans="1:36" x14ac:dyDescent="0.25">
      <c r="A45" s="30">
        <v>2000</v>
      </c>
      <c r="B45" s="104" t="s">
        <v>30</v>
      </c>
      <c r="C45" s="155" t="s">
        <v>49</v>
      </c>
      <c r="D45" s="42" t="s">
        <v>48</v>
      </c>
      <c r="E45" s="103" t="s">
        <v>49</v>
      </c>
      <c r="F45" s="42" t="s">
        <v>48</v>
      </c>
      <c r="G45" s="99" t="s">
        <v>64</v>
      </c>
      <c r="H45" s="14"/>
      <c r="I45" s="17">
        <f ca="1">SUM(I50,I55,I60)</f>
        <v>0</v>
      </c>
      <c r="J45" s="17">
        <f t="shared" ref="J45:AF45" ca="1" si="78">SUM(J50,J55,J60)</f>
        <v>0</v>
      </c>
      <c r="K45" s="17">
        <f t="shared" ca="1" si="78"/>
        <v>0</v>
      </c>
      <c r="L45" s="17">
        <f t="shared" ca="1" si="78"/>
        <v>0</v>
      </c>
      <c r="M45" s="17">
        <f t="shared" ca="1" si="78"/>
        <v>0</v>
      </c>
      <c r="N45" s="17">
        <f t="shared" ca="1" si="78"/>
        <v>0</v>
      </c>
      <c r="O45" s="17">
        <f t="shared" ca="1" si="78"/>
        <v>0</v>
      </c>
      <c r="P45" s="17">
        <f t="shared" ca="1" si="78"/>
        <v>0</v>
      </c>
      <c r="Q45" s="17">
        <f t="shared" ca="1" si="78"/>
        <v>0</v>
      </c>
      <c r="R45" s="17">
        <f t="shared" ca="1" si="78"/>
        <v>0</v>
      </c>
      <c r="S45" s="17">
        <f t="shared" ca="1" si="78"/>
        <v>0</v>
      </c>
      <c r="T45" s="17">
        <f t="shared" ca="1" si="78"/>
        <v>0</v>
      </c>
      <c r="U45" s="17">
        <f t="shared" ca="1" si="78"/>
        <v>0</v>
      </c>
      <c r="V45" s="17">
        <f t="shared" ca="1" si="78"/>
        <v>0</v>
      </c>
      <c r="W45" s="17">
        <f t="shared" ca="1" si="78"/>
        <v>0</v>
      </c>
      <c r="X45" s="17">
        <f t="shared" ca="1" si="78"/>
        <v>0</v>
      </c>
      <c r="Y45" s="17">
        <f t="shared" ca="1" si="78"/>
        <v>0</v>
      </c>
      <c r="Z45" s="17">
        <f t="shared" ca="1" si="78"/>
        <v>0</v>
      </c>
      <c r="AA45" s="17">
        <f t="shared" ca="1" si="78"/>
        <v>0</v>
      </c>
      <c r="AB45" s="17">
        <f t="shared" ca="1" si="78"/>
        <v>0</v>
      </c>
      <c r="AC45" s="17">
        <f t="shared" ca="1" si="78"/>
        <v>0</v>
      </c>
      <c r="AD45" s="17">
        <f t="shared" ca="1" si="78"/>
        <v>0</v>
      </c>
      <c r="AE45" s="17">
        <f t="shared" ca="1" si="78"/>
        <v>0</v>
      </c>
      <c r="AF45" s="17">
        <f t="shared" ca="1" si="78"/>
        <v>0</v>
      </c>
      <c r="AG45" s="230"/>
      <c r="AH45" s="230"/>
      <c r="AI45" s="230"/>
      <c r="AJ45" s="230"/>
    </row>
    <row r="46" spans="1:36" ht="14.25" customHeight="1" x14ac:dyDescent="0.25">
      <c r="A46" s="30">
        <v>2000</v>
      </c>
      <c r="B46" s="104" t="s">
        <v>30</v>
      </c>
      <c r="C46" s="155" t="s">
        <v>49</v>
      </c>
      <c r="D46" s="42" t="s">
        <v>48</v>
      </c>
      <c r="E46" s="103" t="s">
        <v>49</v>
      </c>
      <c r="F46" s="42" t="s">
        <v>48</v>
      </c>
      <c r="G46" s="106" t="s">
        <v>61</v>
      </c>
      <c r="H46" s="42"/>
      <c r="I46" s="97">
        <f ca="1">I44</f>
        <v>510</v>
      </c>
      <c r="J46" s="97">
        <f ca="1">J44</f>
        <v>110</v>
      </c>
      <c r="K46" s="97">
        <f t="shared" ref="K46:AF46" ca="1" si="79">MAX(MIN(K43,K39+J47-K45),0)</f>
        <v>380</v>
      </c>
      <c r="L46" s="97">
        <f t="shared" ca="1" si="79"/>
        <v>140</v>
      </c>
      <c r="M46" s="97">
        <f t="shared" ca="1" si="79"/>
        <v>180</v>
      </c>
      <c r="N46" s="97">
        <f t="shared" ca="1" si="79"/>
        <v>180</v>
      </c>
      <c r="O46" s="97">
        <f t="shared" ca="1" si="79"/>
        <v>400</v>
      </c>
      <c r="P46" s="97">
        <f t="shared" ca="1" si="79"/>
        <v>300</v>
      </c>
      <c r="Q46" s="97">
        <f t="shared" ca="1" si="79"/>
        <v>330</v>
      </c>
      <c r="R46" s="97">
        <f t="shared" ca="1" si="79"/>
        <v>140</v>
      </c>
      <c r="S46" s="97">
        <f t="shared" ca="1" si="79"/>
        <v>320</v>
      </c>
      <c r="T46" s="97">
        <f t="shared" ca="1" si="79"/>
        <v>240</v>
      </c>
      <c r="U46" s="97">
        <f t="shared" ca="1" si="79"/>
        <v>180</v>
      </c>
      <c r="V46" s="97">
        <f t="shared" ca="1" si="79"/>
        <v>420</v>
      </c>
      <c r="W46" s="97">
        <f t="shared" ca="1" si="79"/>
        <v>210</v>
      </c>
      <c r="X46" s="97">
        <f t="shared" ca="1" si="79"/>
        <v>140</v>
      </c>
      <c r="Y46" s="97">
        <f t="shared" ca="1" si="79"/>
        <v>240</v>
      </c>
      <c r="Z46" s="97">
        <f t="shared" ca="1" si="79"/>
        <v>140</v>
      </c>
      <c r="AA46" s="97">
        <f t="shared" ca="1" si="79"/>
        <v>150</v>
      </c>
      <c r="AB46" s="97">
        <f t="shared" ca="1" si="79"/>
        <v>250</v>
      </c>
      <c r="AC46" s="97">
        <f t="shared" ca="1" si="79"/>
        <v>270</v>
      </c>
      <c r="AD46" s="97">
        <f t="shared" ca="1" si="79"/>
        <v>200</v>
      </c>
      <c r="AE46" s="97">
        <f t="shared" ca="1" si="79"/>
        <v>250</v>
      </c>
      <c r="AF46" s="97">
        <f t="shared" ca="1" si="79"/>
        <v>40</v>
      </c>
      <c r="AG46" s="250"/>
      <c r="AH46" s="250"/>
      <c r="AI46" s="250"/>
      <c r="AJ46" s="250"/>
    </row>
    <row r="47" spans="1:36" x14ac:dyDescent="0.25">
      <c r="A47" s="30">
        <v>2000</v>
      </c>
      <c r="B47" s="104" t="s">
        <v>30</v>
      </c>
      <c r="C47" s="155" t="s">
        <v>49</v>
      </c>
      <c r="D47" s="42" t="s">
        <v>48</v>
      </c>
      <c r="E47" s="103" t="s">
        <v>49</v>
      </c>
      <c r="F47" s="42" t="s">
        <v>48</v>
      </c>
      <c r="G47" s="100" t="s">
        <v>37</v>
      </c>
      <c r="H47" s="184"/>
      <c r="I47" s="97">
        <f ca="1">H42+I41-I46-I45</f>
        <v>0</v>
      </c>
      <c r="J47" s="97">
        <f ca="1">I47+J41-J46-J45</f>
        <v>0</v>
      </c>
      <c r="K47" s="250">
        <f t="shared" ref="K47:AF47" ca="1" si="80">J47+K41-K46-K45</f>
        <v>0</v>
      </c>
      <c r="L47" s="250">
        <f t="shared" ca="1" si="80"/>
        <v>0</v>
      </c>
      <c r="M47" s="250">
        <f t="shared" ca="1" si="80"/>
        <v>0</v>
      </c>
      <c r="N47" s="250">
        <f t="shared" ca="1" si="80"/>
        <v>0</v>
      </c>
      <c r="O47" s="250">
        <f t="shared" ca="1" si="80"/>
        <v>0</v>
      </c>
      <c r="P47" s="250">
        <f t="shared" ca="1" si="80"/>
        <v>0</v>
      </c>
      <c r="Q47" s="250">
        <f t="shared" ca="1" si="80"/>
        <v>0</v>
      </c>
      <c r="R47" s="250">
        <f t="shared" ca="1" si="80"/>
        <v>0</v>
      </c>
      <c r="S47" s="250">
        <f t="shared" ca="1" si="80"/>
        <v>0</v>
      </c>
      <c r="T47" s="250">
        <f t="shared" ca="1" si="80"/>
        <v>0</v>
      </c>
      <c r="U47" s="250">
        <f t="shared" ca="1" si="80"/>
        <v>0</v>
      </c>
      <c r="V47" s="250">
        <f t="shared" ca="1" si="80"/>
        <v>0</v>
      </c>
      <c r="W47" s="250">
        <f t="shared" ca="1" si="80"/>
        <v>0</v>
      </c>
      <c r="X47" s="250">
        <f t="shared" ca="1" si="80"/>
        <v>0</v>
      </c>
      <c r="Y47" s="250">
        <f t="shared" ca="1" si="80"/>
        <v>0</v>
      </c>
      <c r="Z47" s="250">
        <f t="shared" ca="1" si="80"/>
        <v>0</v>
      </c>
      <c r="AA47" s="250">
        <f t="shared" ca="1" si="80"/>
        <v>0</v>
      </c>
      <c r="AB47" s="250">
        <f t="shared" ca="1" si="80"/>
        <v>0</v>
      </c>
      <c r="AC47" s="250">
        <f t="shared" ca="1" si="80"/>
        <v>0</v>
      </c>
      <c r="AD47" s="250">
        <f t="shared" ca="1" si="80"/>
        <v>0</v>
      </c>
      <c r="AE47" s="250">
        <f t="shared" ca="1" si="80"/>
        <v>0</v>
      </c>
      <c r="AF47" s="250">
        <f t="shared" ca="1" si="80"/>
        <v>0</v>
      </c>
      <c r="AG47" s="250"/>
      <c r="AH47" s="250"/>
      <c r="AI47" s="250"/>
      <c r="AJ47" s="250"/>
    </row>
    <row r="48" spans="1:36" x14ac:dyDescent="0.25">
      <c r="A48" s="30">
        <v>2000</v>
      </c>
      <c r="B48" s="104" t="s">
        <v>30</v>
      </c>
      <c r="C48" s="155" t="s">
        <v>50</v>
      </c>
      <c r="D48" s="116" t="s">
        <v>33</v>
      </c>
      <c r="E48" s="103" t="s">
        <v>49</v>
      </c>
      <c r="F48" s="42" t="s">
        <v>48</v>
      </c>
      <c r="G48" s="111" t="s">
        <v>57</v>
      </c>
      <c r="H48" s="14"/>
      <c r="I48" s="107">
        <f>France!J22</f>
        <v>310</v>
      </c>
      <c r="J48" s="107">
        <f>France!K22</f>
        <v>50</v>
      </c>
      <c r="K48" s="107">
        <f>France!L22</f>
        <v>110</v>
      </c>
      <c r="L48" s="107">
        <f>France!M22</f>
        <v>50</v>
      </c>
      <c r="M48" s="107">
        <f>France!N22</f>
        <v>20</v>
      </c>
      <c r="N48" s="107">
        <f>France!O22</f>
        <v>130</v>
      </c>
      <c r="O48" s="107">
        <f>France!P22</f>
        <v>170</v>
      </c>
      <c r="P48" s="107">
        <f>France!Q22</f>
        <v>180</v>
      </c>
      <c r="Q48" s="107">
        <f>France!R22</f>
        <v>180</v>
      </c>
      <c r="R48" s="107">
        <f>France!S22</f>
        <v>10</v>
      </c>
      <c r="S48" s="107">
        <f>France!T22</f>
        <v>100</v>
      </c>
      <c r="T48" s="107">
        <f>France!U22</f>
        <v>200</v>
      </c>
      <c r="U48" s="107">
        <f>France!V22</f>
        <v>30</v>
      </c>
      <c r="V48" s="107">
        <f>France!W22</f>
        <v>200</v>
      </c>
      <c r="W48" s="107">
        <f>France!X22</f>
        <v>50</v>
      </c>
      <c r="X48" s="107">
        <f>France!Y22</f>
        <v>40</v>
      </c>
      <c r="Y48" s="107">
        <f>France!Z22</f>
        <v>40</v>
      </c>
      <c r="Z48" s="107">
        <f>France!AA22</f>
        <v>10</v>
      </c>
      <c r="AA48" s="107">
        <f>France!AB22</f>
        <v>40</v>
      </c>
      <c r="AB48" s="107">
        <f>France!AC22</f>
        <v>100</v>
      </c>
      <c r="AC48" s="107">
        <f>France!AD22</f>
        <v>150</v>
      </c>
      <c r="AD48" s="107">
        <f>France!AE22</f>
        <v>100</v>
      </c>
      <c r="AE48" s="107">
        <f>France!AF22</f>
        <v>110</v>
      </c>
      <c r="AF48" s="107">
        <f>France!AG22</f>
        <v>40</v>
      </c>
      <c r="AG48" s="251"/>
      <c r="AH48" s="251"/>
      <c r="AI48" s="251"/>
      <c r="AJ48" s="251"/>
    </row>
    <row r="49" spans="1:36" x14ac:dyDescent="0.25">
      <c r="A49" s="30">
        <v>2000</v>
      </c>
      <c r="B49" s="104" t="s">
        <v>30</v>
      </c>
      <c r="C49" s="155" t="s">
        <v>49</v>
      </c>
      <c r="D49" s="42" t="s">
        <v>48</v>
      </c>
      <c r="E49" s="103" t="s">
        <v>50</v>
      </c>
      <c r="F49" s="116" t="s">
        <v>33</v>
      </c>
      <c r="G49" s="112" t="s">
        <v>54</v>
      </c>
      <c r="H49" s="14"/>
      <c r="I49" s="15">
        <f>MJ_Initialisation!D22</f>
        <v>310</v>
      </c>
      <c r="J49" s="15">
        <f>MJ_Initialisation!E22</f>
        <v>50</v>
      </c>
      <c r="K49" s="15">
        <f>MJ_Initialisation!F22</f>
        <v>110</v>
      </c>
      <c r="L49" s="15">
        <f>MJ_Initialisation!G22</f>
        <v>50</v>
      </c>
      <c r="M49" s="15">
        <f>MJ_Initialisation!H22</f>
        <v>20</v>
      </c>
      <c r="N49" s="15">
        <f>MJ_Initialisation!I22</f>
        <v>130</v>
      </c>
      <c r="O49" s="15">
        <f>MJ_Initialisation!J22</f>
        <v>170</v>
      </c>
      <c r="P49" s="15">
        <f>MJ_Initialisation!K22</f>
        <v>180</v>
      </c>
      <c r="Q49" s="15">
        <f>MJ_Initialisation!L22</f>
        <v>180</v>
      </c>
      <c r="R49" s="15">
        <f>MJ_Initialisation!M22</f>
        <v>10</v>
      </c>
      <c r="S49" s="15">
        <f>MJ_Initialisation!N22</f>
        <v>100</v>
      </c>
      <c r="T49" s="15">
        <f>MJ_Initialisation!O22</f>
        <v>200</v>
      </c>
      <c r="U49" s="15">
        <f>MJ_Initialisation!P22</f>
        <v>30</v>
      </c>
      <c r="V49" s="15">
        <f>MJ_Initialisation!Q22</f>
        <v>200</v>
      </c>
      <c r="W49" s="15">
        <f>MJ_Initialisation!R22</f>
        <v>50</v>
      </c>
      <c r="X49" s="15">
        <f>MJ_Initialisation!S22</f>
        <v>40</v>
      </c>
      <c r="Y49" s="15">
        <f>MJ_Initialisation!T22</f>
        <v>40</v>
      </c>
      <c r="Z49" s="15">
        <f>MJ_Initialisation!U22</f>
        <v>10</v>
      </c>
      <c r="AA49" s="15">
        <f>MJ_Initialisation!V22</f>
        <v>40</v>
      </c>
      <c r="AB49" s="15">
        <f>MJ_Initialisation!W22</f>
        <v>100</v>
      </c>
      <c r="AC49" s="15">
        <f>MJ_Initialisation!X22</f>
        <v>150</v>
      </c>
      <c r="AD49" s="15">
        <f>MJ_Initialisation!Y22</f>
        <v>100</v>
      </c>
      <c r="AE49" s="15">
        <f>MJ_Initialisation!Z22</f>
        <v>110</v>
      </c>
      <c r="AF49" s="15">
        <f>MJ_Initialisation!AA22</f>
        <v>40</v>
      </c>
      <c r="AG49" s="228"/>
      <c r="AH49" s="228"/>
      <c r="AI49" s="228"/>
      <c r="AJ49" s="228"/>
    </row>
    <row r="50" spans="1:36" x14ac:dyDescent="0.25">
      <c r="A50" s="30">
        <v>2000</v>
      </c>
      <c r="B50" s="104" t="s">
        <v>30</v>
      </c>
      <c r="C50" s="155" t="s">
        <v>49</v>
      </c>
      <c r="D50" s="42" t="s">
        <v>48</v>
      </c>
      <c r="E50" s="103" t="s">
        <v>50</v>
      </c>
      <c r="F50" s="116" t="s">
        <v>33</v>
      </c>
      <c r="G50" s="113" t="s">
        <v>55</v>
      </c>
      <c r="H50" s="14"/>
      <c r="I50" s="15">
        <f>MJ_Initialisation!D23</f>
        <v>0</v>
      </c>
      <c r="J50" s="15">
        <f>MJ_Initialisation!E23</f>
        <v>0</v>
      </c>
      <c r="K50" s="15">
        <f>MJ_Initialisation!F23</f>
        <v>0</v>
      </c>
      <c r="L50" s="15">
        <f>MJ_Initialisation!G23</f>
        <v>0</v>
      </c>
      <c r="M50" s="15">
        <f>MJ_Initialisation!H23</f>
        <v>0</v>
      </c>
      <c r="N50" s="15">
        <f>MJ_Initialisation!I23</f>
        <v>0</v>
      </c>
      <c r="O50" s="15">
        <f>MJ_Initialisation!J23</f>
        <v>0</v>
      </c>
      <c r="P50" s="15">
        <f>MJ_Initialisation!K23</f>
        <v>0</v>
      </c>
      <c r="Q50" s="15">
        <f>MJ_Initialisation!L23</f>
        <v>0</v>
      </c>
      <c r="R50" s="15">
        <f>MJ_Initialisation!M23</f>
        <v>0</v>
      </c>
      <c r="S50" s="15">
        <f>MJ_Initialisation!N23</f>
        <v>0</v>
      </c>
      <c r="T50" s="15">
        <f>MJ_Initialisation!O23</f>
        <v>0</v>
      </c>
      <c r="U50" s="15">
        <f>MJ_Initialisation!P23</f>
        <v>0</v>
      </c>
      <c r="V50" s="15">
        <f>MJ_Initialisation!Q23</f>
        <v>0</v>
      </c>
      <c r="W50" s="15">
        <f>MJ_Initialisation!R23</f>
        <v>0</v>
      </c>
      <c r="X50" s="15">
        <f>MJ_Initialisation!S23</f>
        <v>0</v>
      </c>
      <c r="Y50" s="15">
        <f>MJ_Initialisation!T23</f>
        <v>0</v>
      </c>
      <c r="Z50" s="15">
        <f>MJ_Initialisation!U23</f>
        <v>0</v>
      </c>
      <c r="AA50" s="15">
        <f>MJ_Initialisation!V23</f>
        <v>0</v>
      </c>
      <c r="AB50" s="15">
        <f>MJ_Initialisation!W23</f>
        <v>0</v>
      </c>
      <c r="AC50" s="15">
        <f>MJ_Initialisation!X23</f>
        <v>0</v>
      </c>
      <c r="AD50" s="15">
        <f>MJ_Initialisation!Y23</f>
        <v>0</v>
      </c>
      <c r="AE50" s="15">
        <f>MJ_Initialisation!Z23</f>
        <v>0</v>
      </c>
      <c r="AF50" s="15">
        <f>MJ_Initialisation!AA23</f>
        <v>0</v>
      </c>
      <c r="AG50" s="228"/>
      <c r="AH50" s="228"/>
      <c r="AI50" s="228"/>
      <c r="AJ50" s="228"/>
    </row>
    <row r="51" spans="1:36" x14ac:dyDescent="0.25">
      <c r="A51" s="30">
        <v>2000</v>
      </c>
      <c r="B51" s="104" t="s">
        <v>30</v>
      </c>
      <c r="C51" s="155" t="s">
        <v>49</v>
      </c>
      <c r="D51" s="42" t="s">
        <v>48</v>
      </c>
      <c r="E51" s="103" t="s">
        <v>50</v>
      </c>
      <c r="F51" s="116" t="s">
        <v>33</v>
      </c>
      <c r="G51" s="114" t="s">
        <v>56</v>
      </c>
      <c r="H51" s="14"/>
      <c r="I51" s="246">
        <f>I49</f>
        <v>310</v>
      </c>
      <c r="J51" s="246">
        <f>J49</f>
        <v>50</v>
      </c>
      <c r="K51" s="246">
        <f ca="1">IF(K50=0,IF(K$43&gt;0,MAX(ROUND((((K48+J52)/K$43)*K$46),0),0),0),K50)</f>
        <v>110</v>
      </c>
      <c r="L51" s="246">
        <f t="shared" ref="L51:AF51" ca="1" si="81">IF(L50=0,IF(L$43&gt;0,MAX(ROUND((((L48+K52)/L$43)*L$46),0),0),0),L50)</f>
        <v>50</v>
      </c>
      <c r="M51" s="246">
        <f t="shared" ca="1" si="81"/>
        <v>20</v>
      </c>
      <c r="N51" s="246">
        <f t="shared" ca="1" si="81"/>
        <v>130</v>
      </c>
      <c r="O51" s="246">
        <f t="shared" ca="1" si="81"/>
        <v>170</v>
      </c>
      <c r="P51" s="246">
        <f t="shared" ca="1" si="81"/>
        <v>180</v>
      </c>
      <c r="Q51" s="246">
        <f t="shared" ca="1" si="81"/>
        <v>180</v>
      </c>
      <c r="R51" s="246">
        <f t="shared" ca="1" si="81"/>
        <v>10</v>
      </c>
      <c r="S51" s="246">
        <f t="shared" ca="1" si="81"/>
        <v>100</v>
      </c>
      <c r="T51" s="246">
        <f t="shared" ca="1" si="81"/>
        <v>200</v>
      </c>
      <c r="U51" s="246">
        <f t="shared" ca="1" si="81"/>
        <v>30</v>
      </c>
      <c r="V51" s="246">
        <f t="shared" ca="1" si="81"/>
        <v>200</v>
      </c>
      <c r="W51" s="246">
        <f t="shared" ca="1" si="81"/>
        <v>50</v>
      </c>
      <c r="X51" s="246">
        <f t="shared" ca="1" si="81"/>
        <v>40</v>
      </c>
      <c r="Y51" s="246">
        <f t="shared" ca="1" si="81"/>
        <v>40</v>
      </c>
      <c r="Z51" s="246">
        <f t="shared" ca="1" si="81"/>
        <v>10</v>
      </c>
      <c r="AA51" s="246">
        <f t="shared" ca="1" si="81"/>
        <v>40</v>
      </c>
      <c r="AB51" s="246">
        <f t="shared" ca="1" si="81"/>
        <v>100</v>
      </c>
      <c r="AC51" s="246">
        <f t="shared" ca="1" si="81"/>
        <v>150</v>
      </c>
      <c r="AD51" s="246">
        <f t="shared" ca="1" si="81"/>
        <v>100</v>
      </c>
      <c r="AE51" s="246">
        <f t="shared" ca="1" si="81"/>
        <v>110</v>
      </c>
      <c r="AF51" s="246">
        <f t="shared" ca="1" si="81"/>
        <v>40</v>
      </c>
      <c r="AG51" s="246"/>
      <c r="AH51" s="246"/>
      <c r="AI51" s="246"/>
      <c r="AJ51" s="246"/>
    </row>
    <row r="52" spans="1:36" x14ac:dyDescent="0.25">
      <c r="A52" s="30">
        <v>2000</v>
      </c>
      <c r="B52" s="104" t="s">
        <v>30</v>
      </c>
      <c r="C52" s="155" t="s">
        <v>49</v>
      </c>
      <c r="D52" s="42" t="s">
        <v>48</v>
      </c>
      <c r="E52" s="103" t="s">
        <v>50</v>
      </c>
      <c r="F52" s="116" t="s">
        <v>33</v>
      </c>
      <c r="G52" s="110" t="s">
        <v>60</v>
      </c>
      <c r="H52" s="14"/>
      <c r="I52" s="87">
        <f>I48+H52-I51</f>
        <v>0</v>
      </c>
      <c r="J52" s="87">
        <f>J48+I52-J51</f>
        <v>0</v>
      </c>
      <c r="K52" s="87">
        <f ca="1">K48+J52-K51</f>
        <v>0</v>
      </c>
      <c r="L52" s="87">
        <f t="shared" ref="L52:AF52" ca="1" si="82">L48+K52-L51</f>
        <v>0</v>
      </c>
      <c r="M52" s="87">
        <f t="shared" ca="1" si="82"/>
        <v>0</v>
      </c>
      <c r="N52" s="87">
        <f t="shared" ca="1" si="82"/>
        <v>0</v>
      </c>
      <c r="O52" s="87">
        <f t="shared" ca="1" si="82"/>
        <v>0</v>
      </c>
      <c r="P52" s="87">
        <f t="shared" ca="1" si="82"/>
        <v>0</v>
      </c>
      <c r="Q52" s="87">
        <f t="shared" ca="1" si="82"/>
        <v>0</v>
      </c>
      <c r="R52" s="87">
        <f t="shared" ca="1" si="82"/>
        <v>0</v>
      </c>
      <c r="S52" s="87">
        <f t="shared" ca="1" si="82"/>
        <v>0</v>
      </c>
      <c r="T52" s="87">
        <f t="shared" ca="1" si="82"/>
        <v>0</v>
      </c>
      <c r="U52" s="87">
        <f t="shared" ca="1" si="82"/>
        <v>0</v>
      </c>
      <c r="V52" s="87">
        <f t="shared" ca="1" si="82"/>
        <v>0</v>
      </c>
      <c r="W52" s="87">
        <f t="shared" ca="1" si="82"/>
        <v>0</v>
      </c>
      <c r="X52" s="87">
        <f t="shared" ca="1" si="82"/>
        <v>0</v>
      </c>
      <c r="Y52" s="87">
        <f t="shared" ca="1" si="82"/>
        <v>0</v>
      </c>
      <c r="Z52" s="87">
        <f t="shared" ca="1" si="82"/>
        <v>0</v>
      </c>
      <c r="AA52" s="87">
        <f t="shared" ca="1" si="82"/>
        <v>0</v>
      </c>
      <c r="AB52" s="87">
        <f t="shared" ca="1" si="82"/>
        <v>0</v>
      </c>
      <c r="AC52" s="87">
        <f t="shared" ca="1" si="82"/>
        <v>0</v>
      </c>
      <c r="AD52" s="87">
        <f t="shared" ca="1" si="82"/>
        <v>0</v>
      </c>
      <c r="AE52" s="87">
        <f t="shared" ca="1" si="82"/>
        <v>0</v>
      </c>
      <c r="AF52" s="87">
        <f t="shared" ca="1" si="82"/>
        <v>0</v>
      </c>
      <c r="AG52" s="246"/>
      <c r="AH52" s="246"/>
      <c r="AI52" s="246"/>
      <c r="AJ52" s="246"/>
    </row>
    <row r="53" spans="1:36" x14ac:dyDescent="0.25">
      <c r="A53" s="30">
        <v>2000</v>
      </c>
      <c r="B53" s="104" t="s">
        <v>30</v>
      </c>
      <c r="C53" s="103" t="s">
        <v>51</v>
      </c>
      <c r="D53" s="117" t="s">
        <v>35</v>
      </c>
      <c r="E53" s="103" t="s">
        <v>49</v>
      </c>
      <c r="F53" s="42" t="s">
        <v>48</v>
      </c>
      <c r="G53" s="111" t="s">
        <v>57</v>
      </c>
      <c r="H53" s="14"/>
      <c r="I53" s="115">
        <f ca="1">OFFSET(Espagne!J22,0,1)</f>
        <v>140</v>
      </c>
      <c r="J53" s="115">
        <f ca="1">OFFSET(Espagne!K22,0,1)</f>
        <v>20</v>
      </c>
      <c r="K53" s="115">
        <f ca="1">OFFSET(Espagne!L22,0,1)</f>
        <v>170</v>
      </c>
      <c r="L53" s="115">
        <f ca="1">OFFSET(Espagne!M22,0,1)</f>
        <v>0</v>
      </c>
      <c r="M53" s="115">
        <f ca="1">OFFSET(Espagne!N22,0,1)</f>
        <v>60</v>
      </c>
      <c r="N53" s="115">
        <f ca="1">OFFSET(Espagne!O22,0,1)</f>
        <v>20</v>
      </c>
      <c r="O53" s="115">
        <f ca="1">OFFSET(Espagne!P22,0,1)</f>
        <v>170</v>
      </c>
      <c r="P53" s="115">
        <f ca="1">OFFSET(Espagne!Q22,0,1)</f>
        <v>40</v>
      </c>
      <c r="Q53" s="115">
        <f ca="1">OFFSET(Espagne!R22,0,1)</f>
        <v>80</v>
      </c>
      <c r="R53" s="115">
        <f ca="1">OFFSET(Espagne!S22,0,1)</f>
        <v>130</v>
      </c>
      <c r="S53" s="115">
        <f ca="1">OFFSET(Espagne!T22,0,1)</f>
        <v>140</v>
      </c>
      <c r="T53" s="115">
        <f ca="1">OFFSET(Espagne!U22,0,1)</f>
        <v>30</v>
      </c>
      <c r="U53" s="115">
        <f ca="1">OFFSET(Espagne!V22,0,1)</f>
        <v>70</v>
      </c>
      <c r="V53" s="115">
        <f ca="1">OFFSET(Espagne!W22,0,1)</f>
        <v>120</v>
      </c>
      <c r="W53" s="115">
        <f ca="1">OFFSET(Espagne!X22,0,1)</f>
        <v>140</v>
      </c>
      <c r="X53" s="115">
        <f ca="1">OFFSET(Espagne!Y22,0,1)</f>
        <v>10</v>
      </c>
      <c r="Y53" s="115">
        <f ca="1">OFFSET(Espagne!Z22,0,1)</f>
        <v>110</v>
      </c>
      <c r="Z53" s="115">
        <f ca="1">OFFSET(Espagne!AA22,0,1)</f>
        <v>30</v>
      </c>
      <c r="AA53" s="115">
        <f ca="1">OFFSET(Espagne!AB22,0,1)</f>
        <v>30</v>
      </c>
      <c r="AB53" s="115">
        <f ca="1">OFFSET(Espagne!AC22,0,1)</f>
        <v>60</v>
      </c>
      <c r="AC53" s="115">
        <f ca="1">OFFSET(Espagne!AD22,0,1)</f>
        <v>100</v>
      </c>
      <c r="AD53" s="115">
        <f ca="1">OFFSET(Espagne!AE22,0,1)</f>
        <v>100</v>
      </c>
      <c r="AE53" s="115">
        <f ca="1">OFFSET(Espagne!AF22,0,1)</f>
        <v>140</v>
      </c>
      <c r="AF53" s="115">
        <f ca="1">OFFSET(Espagne!AG22,0,1)</f>
        <v>0</v>
      </c>
      <c r="AG53" s="252"/>
      <c r="AH53" s="252"/>
      <c r="AI53" s="252"/>
      <c r="AJ53" s="252"/>
    </row>
    <row r="54" spans="1:36" x14ac:dyDescent="0.25">
      <c r="A54" s="30">
        <v>2000</v>
      </c>
      <c r="B54" s="104" t="s">
        <v>30</v>
      </c>
      <c r="C54" s="155" t="s">
        <v>49</v>
      </c>
      <c r="D54" s="42" t="s">
        <v>48</v>
      </c>
      <c r="E54" s="103" t="s">
        <v>51</v>
      </c>
      <c r="F54" s="117" t="s">
        <v>35</v>
      </c>
      <c r="G54" s="99" t="s">
        <v>54</v>
      </c>
      <c r="H54" s="20"/>
      <c r="I54" s="115">
        <f ca="1">OFFSET(MJ_Initialisation!D30,0,1)</f>
        <v>140</v>
      </c>
      <c r="J54" s="115">
        <f ca="1">OFFSET(MJ_Initialisation!E30,0,1)</f>
        <v>20</v>
      </c>
      <c r="K54" s="115">
        <f ca="1">OFFSET(MJ_Initialisation!F30,0,1)</f>
        <v>170</v>
      </c>
      <c r="L54" s="115">
        <f ca="1">OFFSET(MJ_Initialisation!G30,0,1)</f>
        <v>0</v>
      </c>
      <c r="M54" s="115">
        <f ca="1">OFFSET(MJ_Initialisation!H30,0,1)</f>
        <v>60</v>
      </c>
      <c r="N54" s="115">
        <f ca="1">OFFSET(MJ_Initialisation!I30,0,1)</f>
        <v>20</v>
      </c>
      <c r="O54" s="115">
        <f ca="1">OFFSET(MJ_Initialisation!J30,0,1)</f>
        <v>170</v>
      </c>
      <c r="P54" s="115">
        <f ca="1">OFFSET(MJ_Initialisation!K30,0,1)</f>
        <v>40</v>
      </c>
      <c r="Q54" s="115">
        <f ca="1">OFFSET(MJ_Initialisation!L30,0,1)</f>
        <v>80</v>
      </c>
      <c r="R54" s="115">
        <f ca="1">OFFSET(MJ_Initialisation!M30,0,1)</f>
        <v>130</v>
      </c>
      <c r="S54" s="115">
        <f ca="1">OFFSET(MJ_Initialisation!N30,0,1)</f>
        <v>140</v>
      </c>
      <c r="T54" s="115">
        <f ca="1">OFFSET(MJ_Initialisation!O30,0,1)</f>
        <v>30</v>
      </c>
      <c r="U54" s="115">
        <f ca="1">OFFSET(MJ_Initialisation!P30,0,1)</f>
        <v>70</v>
      </c>
      <c r="V54" s="115">
        <f ca="1">OFFSET(MJ_Initialisation!Q30,0,1)</f>
        <v>120</v>
      </c>
      <c r="W54" s="115">
        <f ca="1">OFFSET(MJ_Initialisation!R30,0,1)</f>
        <v>140</v>
      </c>
      <c r="X54" s="115">
        <f ca="1">OFFSET(MJ_Initialisation!S30,0,1)</f>
        <v>10</v>
      </c>
      <c r="Y54" s="115">
        <f ca="1">OFFSET(MJ_Initialisation!T30,0,1)</f>
        <v>110</v>
      </c>
      <c r="Z54" s="115">
        <f ca="1">OFFSET(MJ_Initialisation!U30,0,1)</f>
        <v>30</v>
      </c>
      <c r="AA54" s="115">
        <f ca="1">OFFSET(MJ_Initialisation!V30,0,1)</f>
        <v>30</v>
      </c>
      <c r="AB54" s="115">
        <f ca="1">OFFSET(MJ_Initialisation!W30,0,1)</f>
        <v>60</v>
      </c>
      <c r="AC54" s="115">
        <f ca="1">OFFSET(MJ_Initialisation!X30,0,1)</f>
        <v>100</v>
      </c>
      <c r="AD54" s="115">
        <f ca="1">OFFSET(MJ_Initialisation!Y30,0,1)</f>
        <v>100</v>
      </c>
      <c r="AE54" s="115">
        <f ca="1">OFFSET(MJ_Initialisation!Z30,0,1)</f>
        <v>140</v>
      </c>
      <c r="AF54" s="115">
        <f ca="1">OFFSET(MJ_Initialisation!AA30,0,1)</f>
        <v>0</v>
      </c>
      <c r="AG54" s="252"/>
      <c r="AH54" s="252"/>
      <c r="AI54" s="252"/>
      <c r="AJ54" s="252"/>
    </row>
    <row r="55" spans="1:36" x14ac:dyDescent="0.25">
      <c r="A55" s="30">
        <v>2000</v>
      </c>
      <c r="B55" s="104" t="s">
        <v>30</v>
      </c>
      <c r="C55" s="155" t="s">
        <v>49</v>
      </c>
      <c r="D55" s="42" t="s">
        <v>48</v>
      </c>
      <c r="E55" s="103" t="s">
        <v>51</v>
      </c>
      <c r="F55" s="117" t="s">
        <v>35</v>
      </c>
      <c r="G55" s="105" t="s">
        <v>55</v>
      </c>
      <c r="H55" s="20"/>
      <c r="I55" s="115">
        <f ca="1">OFFSET(MJ_Initialisation!D31,0,1)</f>
        <v>0</v>
      </c>
      <c r="J55" s="115">
        <f ca="1">OFFSET(MJ_Initialisation!E31,0,1)</f>
        <v>0</v>
      </c>
      <c r="K55" s="115">
        <f ca="1">OFFSET(MJ_Initialisation!F31,0,1)</f>
        <v>0</v>
      </c>
      <c r="L55" s="115">
        <f ca="1">OFFSET(MJ_Initialisation!G31,0,1)</f>
        <v>0</v>
      </c>
      <c r="M55" s="115">
        <f ca="1">OFFSET(MJ_Initialisation!H31,0,1)</f>
        <v>0</v>
      </c>
      <c r="N55" s="115">
        <f ca="1">OFFSET(MJ_Initialisation!I31,0,1)</f>
        <v>0</v>
      </c>
      <c r="O55" s="115">
        <f ca="1">OFFSET(MJ_Initialisation!J31,0,1)</f>
        <v>0</v>
      </c>
      <c r="P55" s="115">
        <f ca="1">OFFSET(MJ_Initialisation!K31,0,1)</f>
        <v>0</v>
      </c>
      <c r="Q55" s="115">
        <f ca="1">OFFSET(MJ_Initialisation!L31,0,1)</f>
        <v>0</v>
      </c>
      <c r="R55" s="115">
        <f ca="1">OFFSET(MJ_Initialisation!M31,0,1)</f>
        <v>0</v>
      </c>
      <c r="S55" s="115">
        <f ca="1">OFFSET(MJ_Initialisation!N31,0,1)</f>
        <v>0</v>
      </c>
      <c r="T55" s="115">
        <f ca="1">OFFSET(MJ_Initialisation!O31,0,1)</f>
        <v>0</v>
      </c>
      <c r="U55" s="115">
        <f ca="1">OFFSET(MJ_Initialisation!P31,0,1)</f>
        <v>0</v>
      </c>
      <c r="V55" s="115">
        <f ca="1">OFFSET(MJ_Initialisation!Q31,0,1)</f>
        <v>0</v>
      </c>
      <c r="W55" s="115">
        <f ca="1">OFFSET(MJ_Initialisation!R31,0,1)</f>
        <v>0</v>
      </c>
      <c r="X55" s="115">
        <f ca="1">OFFSET(MJ_Initialisation!S31,0,1)</f>
        <v>0</v>
      </c>
      <c r="Y55" s="115">
        <f ca="1">OFFSET(MJ_Initialisation!T31,0,1)</f>
        <v>0</v>
      </c>
      <c r="Z55" s="115">
        <f ca="1">OFFSET(MJ_Initialisation!U31,0,1)</f>
        <v>0</v>
      </c>
      <c r="AA55" s="115">
        <f ca="1">OFFSET(MJ_Initialisation!V31,0,1)</f>
        <v>0</v>
      </c>
      <c r="AB55" s="115">
        <f ca="1">OFFSET(MJ_Initialisation!W31,0,1)</f>
        <v>0</v>
      </c>
      <c r="AC55" s="115">
        <f ca="1">OFFSET(MJ_Initialisation!X31,0,1)</f>
        <v>0</v>
      </c>
      <c r="AD55" s="115">
        <f ca="1">OFFSET(MJ_Initialisation!Y31,0,1)</f>
        <v>0</v>
      </c>
      <c r="AE55" s="115">
        <f ca="1">OFFSET(MJ_Initialisation!Z31,0,1)</f>
        <v>0</v>
      </c>
      <c r="AF55" s="115">
        <f ca="1">OFFSET(MJ_Initialisation!AA31,0,1)</f>
        <v>0</v>
      </c>
      <c r="AG55" s="252"/>
      <c r="AH55" s="252"/>
      <c r="AI55" s="252"/>
      <c r="AJ55" s="252"/>
    </row>
    <row r="56" spans="1:36" x14ac:dyDescent="0.25">
      <c r="A56" s="30">
        <v>2000</v>
      </c>
      <c r="B56" s="104" t="s">
        <v>30</v>
      </c>
      <c r="C56" s="155" t="s">
        <v>49</v>
      </c>
      <c r="D56" s="42" t="s">
        <v>48</v>
      </c>
      <c r="E56" s="103" t="s">
        <v>51</v>
      </c>
      <c r="F56" s="117" t="s">
        <v>35</v>
      </c>
      <c r="G56" s="106" t="s">
        <v>56</v>
      </c>
      <c r="H56" s="20"/>
      <c r="I56" s="246">
        <f ca="1">I54</f>
        <v>140</v>
      </c>
      <c r="J56" s="246">
        <f ca="1">J54</f>
        <v>20</v>
      </c>
      <c r="K56" s="246">
        <f ca="1">IF(K55=0,IF(K$43&gt;0,MAX(ROUND((((K53+J57)/K$43)*K$46),0),0),0),K55)</f>
        <v>170</v>
      </c>
      <c r="L56" s="246">
        <f t="shared" ref="L56" ca="1" si="83">IF(L55=0,IF(L$43&gt;0,MAX(ROUND((((L53+K57)/L$43)*L$46),0),0),0),L55)</f>
        <v>0</v>
      </c>
      <c r="M56" s="246">
        <f t="shared" ref="M56" ca="1" si="84">IF(M55=0,IF(M$43&gt;0,MAX(ROUND((((M53+L57)/M$43)*M$46),0),0),0),M55)</f>
        <v>60</v>
      </c>
      <c r="N56" s="246">
        <f t="shared" ref="N56" ca="1" si="85">IF(N55=0,IF(N$43&gt;0,MAX(ROUND((((N53+M57)/N$43)*N$46),0),0),0),N55)</f>
        <v>20</v>
      </c>
      <c r="O56" s="246">
        <f t="shared" ref="O56" ca="1" si="86">IF(O55=0,IF(O$43&gt;0,MAX(ROUND((((O53+N57)/O$43)*O$46),0),0),0),O55)</f>
        <v>170</v>
      </c>
      <c r="P56" s="246">
        <f t="shared" ref="P56" ca="1" si="87">IF(P55=0,IF(P$43&gt;0,MAX(ROUND((((P53+O57)/P$43)*P$46),0),0),0),P55)</f>
        <v>40</v>
      </c>
      <c r="Q56" s="246">
        <f t="shared" ref="Q56" ca="1" si="88">IF(Q55=0,IF(Q$43&gt;0,MAX(ROUND((((Q53+P57)/Q$43)*Q$46),0),0),0),Q55)</f>
        <v>80</v>
      </c>
      <c r="R56" s="246">
        <f t="shared" ref="R56" ca="1" si="89">IF(R55=0,IF(R$43&gt;0,MAX(ROUND((((R53+Q57)/R$43)*R$46),0),0),0),R55)</f>
        <v>130</v>
      </c>
      <c r="S56" s="246">
        <f t="shared" ref="S56" ca="1" si="90">IF(S55=0,IF(S$43&gt;0,MAX(ROUND((((S53+R57)/S$43)*S$46),0),0),0),S55)</f>
        <v>140</v>
      </c>
      <c r="T56" s="246">
        <f t="shared" ref="T56" ca="1" si="91">IF(T55=0,IF(T$43&gt;0,MAX(ROUND((((T53+S57)/T$43)*T$46),0),0),0),T55)</f>
        <v>30</v>
      </c>
      <c r="U56" s="246">
        <f t="shared" ref="U56" ca="1" si="92">IF(U55=0,IF(U$43&gt;0,MAX(ROUND((((U53+T57)/U$43)*U$46),0),0),0),U55)</f>
        <v>70</v>
      </c>
      <c r="V56" s="246">
        <f t="shared" ref="V56" ca="1" si="93">IF(V55=0,IF(V$43&gt;0,MAX(ROUND((((V53+U57)/V$43)*V$46),0),0),0),V55)</f>
        <v>120</v>
      </c>
      <c r="W56" s="246">
        <f t="shared" ref="W56" ca="1" si="94">IF(W55=0,IF(W$43&gt;0,MAX(ROUND((((W53+V57)/W$43)*W$46),0),0),0),W55)</f>
        <v>140</v>
      </c>
      <c r="X56" s="246">
        <f t="shared" ref="X56" ca="1" si="95">IF(X55=0,IF(X$43&gt;0,MAX(ROUND((((X53+W57)/X$43)*X$46),0),0),0),X55)</f>
        <v>10</v>
      </c>
      <c r="Y56" s="246">
        <f t="shared" ref="Y56" ca="1" si="96">IF(Y55=0,IF(Y$43&gt;0,MAX(ROUND((((Y53+X57)/Y$43)*Y$46),0),0),0),Y55)</f>
        <v>110</v>
      </c>
      <c r="Z56" s="246">
        <f t="shared" ref="Z56" ca="1" si="97">IF(Z55=0,IF(Z$43&gt;0,MAX(ROUND((((Z53+Y57)/Z$43)*Z$46),0),0),0),Z55)</f>
        <v>30</v>
      </c>
      <c r="AA56" s="246">
        <f t="shared" ref="AA56" ca="1" si="98">IF(AA55=0,IF(AA$43&gt;0,MAX(ROUND((((AA53+Z57)/AA$43)*AA$46),0),0),0),AA55)</f>
        <v>30</v>
      </c>
      <c r="AB56" s="246">
        <f t="shared" ref="AB56" ca="1" si="99">IF(AB55=0,IF(AB$43&gt;0,MAX(ROUND((((AB53+AA57)/AB$43)*AB$46),0),0),0),AB55)</f>
        <v>60</v>
      </c>
      <c r="AC56" s="246">
        <f t="shared" ref="AC56" ca="1" si="100">IF(AC55=0,IF(AC$43&gt;0,MAX(ROUND((((AC53+AB57)/AC$43)*AC$46),0),0),0),AC55)</f>
        <v>100</v>
      </c>
      <c r="AD56" s="246">
        <f t="shared" ref="AD56" ca="1" si="101">IF(AD55=0,IF(AD$43&gt;0,MAX(ROUND((((AD53+AC57)/AD$43)*AD$46),0),0),0),AD55)</f>
        <v>100</v>
      </c>
      <c r="AE56" s="246">
        <f t="shared" ref="AE56" ca="1" si="102">IF(AE55=0,IF(AE$43&gt;0,MAX(ROUND((((AE53+AD57)/AE$43)*AE$46),0),0),0),AE55)</f>
        <v>140</v>
      </c>
      <c r="AF56" s="246">
        <f t="shared" ref="AF56" ca="1" si="103">IF(AF55=0,IF(AF$43&gt;0,MAX(ROUND((((AF53+AE57)/AF$43)*AF$46),0),0),0),AF55)</f>
        <v>0</v>
      </c>
      <c r="AG56" s="246"/>
      <c r="AH56" s="246"/>
      <c r="AI56" s="246"/>
      <c r="AJ56" s="246"/>
    </row>
    <row r="57" spans="1:36" x14ac:dyDescent="0.25">
      <c r="A57" s="30">
        <v>2000</v>
      </c>
      <c r="B57" s="104" t="s">
        <v>30</v>
      </c>
      <c r="C57" s="155" t="s">
        <v>49</v>
      </c>
      <c r="D57" s="42" t="s">
        <v>48</v>
      </c>
      <c r="E57" s="103" t="s">
        <v>51</v>
      </c>
      <c r="F57" s="117" t="s">
        <v>35</v>
      </c>
      <c r="G57" s="100" t="s">
        <v>60</v>
      </c>
      <c r="H57" s="20"/>
      <c r="I57" s="87">
        <f ca="1">I53+H57-I56</f>
        <v>0</v>
      </c>
      <c r="J57" s="87">
        <f t="shared" ref="J57:AF57" ca="1" si="104">J53+I57-J56</f>
        <v>0</v>
      </c>
      <c r="K57" s="87">
        <f t="shared" ca="1" si="104"/>
        <v>0</v>
      </c>
      <c r="L57" s="87">
        <f t="shared" ca="1" si="104"/>
        <v>0</v>
      </c>
      <c r="M57" s="87">
        <f t="shared" ca="1" si="104"/>
        <v>0</v>
      </c>
      <c r="N57" s="87">
        <f t="shared" ca="1" si="104"/>
        <v>0</v>
      </c>
      <c r="O57" s="87">
        <f t="shared" ca="1" si="104"/>
        <v>0</v>
      </c>
      <c r="P57" s="87">
        <f t="shared" ca="1" si="104"/>
        <v>0</v>
      </c>
      <c r="Q57" s="87">
        <f t="shared" ca="1" si="104"/>
        <v>0</v>
      </c>
      <c r="R57" s="87">
        <f t="shared" ca="1" si="104"/>
        <v>0</v>
      </c>
      <c r="S57" s="87">
        <f t="shared" ca="1" si="104"/>
        <v>0</v>
      </c>
      <c r="T57" s="87">
        <f t="shared" ca="1" si="104"/>
        <v>0</v>
      </c>
      <c r="U57" s="87">
        <f t="shared" ca="1" si="104"/>
        <v>0</v>
      </c>
      <c r="V57" s="87">
        <f t="shared" ca="1" si="104"/>
        <v>0</v>
      </c>
      <c r="W57" s="87">
        <f t="shared" ca="1" si="104"/>
        <v>0</v>
      </c>
      <c r="X57" s="87">
        <f t="shared" ca="1" si="104"/>
        <v>0</v>
      </c>
      <c r="Y57" s="87">
        <f t="shared" ca="1" si="104"/>
        <v>0</v>
      </c>
      <c r="Z57" s="87">
        <f t="shared" ca="1" si="104"/>
        <v>0</v>
      </c>
      <c r="AA57" s="87">
        <f t="shared" ca="1" si="104"/>
        <v>0</v>
      </c>
      <c r="AB57" s="87">
        <f t="shared" ca="1" si="104"/>
        <v>0</v>
      </c>
      <c r="AC57" s="87">
        <f t="shared" ca="1" si="104"/>
        <v>0</v>
      </c>
      <c r="AD57" s="87">
        <f t="shared" ca="1" si="104"/>
        <v>0</v>
      </c>
      <c r="AE57" s="87">
        <f t="shared" ca="1" si="104"/>
        <v>0</v>
      </c>
      <c r="AF57" s="87">
        <f t="shared" ca="1" si="104"/>
        <v>0</v>
      </c>
      <c r="AG57" s="246"/>
      <c r="AH57" s="246"/>
      <c r="AI57" s="246"/>
      <c r="AJ57" s="246"/>
    </row>
    <row r="58" spans="1:36" x14ac:dyDescent="0.25">
      <c r="A58" s="30">
        <v>2000</v>
      </c>
      <c r="B58" s="104" t="s">
        <v>30</v>
      </c>
      <c r="C58" s="103" t="s">
        <v>53</v>
      </c>
      <c r="D58" s="119" t="s">
        <v>34</v>
      </c>
      <c r="E58" s="103" t="s">
        <v>49</v>
      </c>
      <c r="F58" s="42" t="s">
        <v>48</v>
      </c>
      <c r="G58" s="98" t="s">
        <v>57</v>
      </c>
      <c r="H58" s="14"/>
      <c r="I58" s="15">
        <f ca="1">OFFSET(Australie!J22,0,3)</f>
        <v>60</v>
      </c>
      <c r="J58" s="15">
        <f ca="1">OFFSET(Australie!K22,0,3)</f>
        <v>40</v>
      </c>
      <c r="K58" s="15">
        <f ca="1">OFFSET(Australie!L22,0,3)</f>
        <v>100</v>
      </c>
      <c r="L58" s="15">
        <f ca="1">OFFSET(Australie!M22,0,3)</f>
        <v>90</v>
      </c>
      <c r="M58" s="15">
        <f ca="1">OFFSET(Australie!N22,0,3)</f>
        <v>100</v>
      </c>
      <c r="N58" s="15">
        <f ca="1">OFFSET(Australie!O22,0,3)</f>
        <v>30</v>
      </c>
      <c r="O58" s="15">
        <f ca="1">OFFSET(Australie!P22,0,3)</f>
        <v>60</v>
      </c>
      <c r="P58" s="15">
        <f ca="1">OFFSET(Australie!Q22,0,3)</f>
        <v>80</v>
      </c>
      <c r="Q58" s="15">
        <f ca="1">OFFSET(Australie!R22,0,3)</f>
        <v>70</v>
      </c>
      <c r="R58" s="15">
        <f ca="1">OFFSET(Australie!S22,0,3)</f>
        <v>0</v>
      </c>
      <c r="S58" s="15">
        <f ca="1">OFFSET(Australie!T22,0,3)</f>
        <v>80</v>
      </c>
      <c r="T58" s="15">
        <f ca="1">OFFSET(Australie!U22,0,3)</f>
        <v>10</v>
      </c>
      <c r="U58" s="15">
        <f ca="1">OFFSET(Australie!V22,0,3)</f>
        <v>80</v>
      </c>
      <c r="V58" s="15">
        <f ca="1">OFFSET(Australie!W22,0,3)</f>
        <v>100</v>
      </c>
      <c r="W58" s="15">
        <f ca="1">OFFSET(Australie!X22,0,3)</f>
        <v>20</v>
      </c>
      <c r="X58" s="15">
        <f ca="1">OFFSET(Australie!Y22,0,3)</f>
        <v>90</v>
      </c>
      <c r="Y58" s="15">
        <f ca="1">OFFSET(Australie!Z22,0,3)</f>
        <v>90</v>
      </c>
      <c r="Z58" s="15">
        <f ca="1">OFFSET(Australie!AA22,0,3)</f>
        <v>100</v>
      </c>
      <c r="AA58" s="15">
        <f ca="1">OFFSET(Australie!AB22,0,3)</f>
        <v>80</v>
      </c>
      <c r="AB58" s="15">
        <f ca="1">OFFSET(Australie!AC22,0,3)</f>
        <v>90</v>
      </c>
      <c r="AC58" s="15">
        <f ca="1">OFFSET(Australie!AD22,0,3)</f>
        <v>20</v>
      </c>
      <c r="AD58" s="15">
        <f ca="1">OFFSET(Australie!AE22,0,3)</f>
        <v>0</v>
      </c>
      <c r="AE58" s="15">
        <f ca="1">OFFSET(Australie!AF22,0,3)</f>
        <v>0</v>
      </c>
      <c r="AF58" s="15">
        <f ca="1">OFFSET(Australie!AG22,0,3)</f>
        <v>0</v>
      </c>
      <c r="AG58" s="228"/>
      <c r="AH58" s="228"/>
      <c r="AI58" s="228"/>
      <c r="AJ58" s="228"/>
    </row>
    <row r="59" spans="1:36" x14ac:dyDescent="0.25">
      <c r="A59" s="30">
        <v>2000</v>
      </c>
      <c r="B59" s="104" t="s">
        <v>30</v>
      </c>
      <c r="C59" s="155" t="s">
        <v>49</v>
      </c>
      <c r="D59" s="42" t="s">
        <v>48</v>
      </c>
      <c r="E59" s="103" t="s">
        <v>53</v>
      </c>
      <c r="F59" s="119" t="s">
        <v>34</v>
      </c>
      <c r="G59" s="99" t="s">
        <v>54</v>
      </c>
      <c r="H59" s="20"/>
      <c r="I59" s="15">
        <f ca="1">OFFSET(MJ_Initialisation!D38,0,3)</f>
        <v>60</v>
      </c>
      <c r="J59" s="15">
        <f ca="1">OFFSET(MJ_Initialisation!E38,0,3)</f>
        <v>40</v>
      </c>
      <c r="K59" s="15">
        <f ca="1">OFFSET(MJ_Initialisation!F38,0,3)</f>
        <v>100</v>
      </c>
      <c r="L59" s="15">
        <f ca="1">OFFSET(MJ_Initialisation!G38,0,3)</f>
        <v>90</v>
      </c>
      <c r="M59" s="15">
        <f ca="1">OFFSET(MJ_Initialisation!H38,0,3)</f>
        <v>100</v>
      </c>
      <c r="N59" s="15">
        <f ca="1">OFFSET(MJ_Initialisation!I38,0,3)</f>
        <v>30</v>
      </c>
      <c r="O59" s="15">
        <f ca="1">OFFSET(MJ_Initialisation!J38,0,3)</f>
        <v>60</v>
      </c>
      <c r="P59" s="15">
        <f ca="1">OFFSET(MJ_Initialisation!K38,0,3)</f>
        <v>80</v>
      </c>
      <c r="Q59" s="15">
        <f ca="1">OFFSET(MJ_Initialisation!L38,0,3)</f>
        <v>70</v>
      </c>
      <c r="R59" s="15">
        <f ca="1">OFFSET(MJ_Initialisation!M38,0,3)</f>
        <v>0</v>
      </c>
      <c r="S59" s="15">
        <f ca="1">OFFSET(MJ_Initialisation!N38,0,3)</f>
        <v>80</v>
      </c>
      <c r="T59" s="15">
        <f ca="1">OFFSET(MJ_Initialisation!O38,0,3)</f>
        <v>10</v>
      </c>
      <c r="U59" s="15">
        <f ca="1">OFFSET(MJ_Initialisation!P38,0,3)</f>
        <v>80</v>
      </c>
      <c r="V59" s="15">
        <f ca="1">OFFSET(MJ_Initialisation!Q38,0,3)</f>
        <v>100</v>
      </c>
      <c r="W59" s="15">
        <f ca="1">OFFSET(MJ_Initialisation!R38,0,3)</f>
        <v>20</v>
      </c>
      <c r="X59" s="15">
        <f ca="1">OFFSET(MJ_Initialisation!S38,0,3)</f>
        <v>90</v>
      </c>
      <c r="Y59" s="15">
        <f ca="1">OFFSET(MJ_Initialisation!T38,0,3)</f>
        <v>90</v>
      </c>
      <c r="Z59" s="15">
        <f ca="1">OFFSET(MJ_Initialisation!U38,0,3)</f>
        <v>100</v>
      </c>
      <c r="AA59" s="15">
        <f ca="1">OFFSET(MJ_Initialisation!V38,0,3)</f>
        <v>80</v>
      </c>
      <c r="AB59" s="15">
        <f ca="1">OFFSET(MJ_Initialisation!W38,0,3)</f>
        <v>90</v>
      </c>
      <c r="AC59" s="15">
        <f ca="1">OFFSET(MJ_Initialisation!X38,0,3)</f>
        <v>20</v>
      </c>
      <c r="AD59" s="15">
        <f ca="1">OFFSET(MJ_Initialisation!Y38,0,3)</f>
        <v>0</v>
      </c>
      <c r="AE59" s="15">
        <f ca="1">OFFSET(MJ_Initialisation!Z38,0,3)</f>
        <v>0</v>
      </c>
      <c r="AF59" s="15">
        <f ca="1">OFFSET(MJ_Initialisation!AA38,0,3)</f>
        <v>0</v>
      </c>
      <c r="AG59" s="228"/>
      <c r="AH59" s="228"/>
      <c r="AI59" s="228"/>
      <c r="AJ59" s="228"/>
    </row>
    <row r="60" spans="1:36" x14ac:dyDescent="0.25">
      <c r="A60" s="30">
        <v>2000</v>
      </c>
      <c r="B60" s="104" t="s">
        <v>30</v>
      </c>
      <c r="C60" s="155" t="s">
        <v>49</v>
      </c>
      <c r="D60" s="42" t="s">
        <v>48</v>
      </c>
      <c r="E60" s="103" t="s">
        <v>53</v>
      </c>
      <c r="F60" s="119" t="s">
        <v>34</v>
      </c>
      <c r="G60" s="105" t="s">
        <v>55</v>
      </c>
      <c r="H60" s="20"/>
      <c r="I60" s="15">
        <f ca="1">OFFSET(MJ_Initialisation!D39,0,3)</f>
        <v>0</v>
      </c>
      <c r="J60" s="15">
        <f ca="1">OFFSET(MJ_Initialisation!E39,0,3)</f>
        <v>0</v>
      </c>
      <c r="K60" s="15">
        <f ca="1">OFFSET(MJ_Initialisation!F39,0,3)</f>
        <v>0</v>
      </c>
      <c r="L60" s="15">
        <f ca="1">OFFSET(MJ_Initialisation!G39,0,3)</f>
        <v>0</v>
      </c>
      <c r="M60" s="15">
        <f ca="1">OFFSET(MJ_Initialisation!H39,0,3)</f>
        <v>0</v>
      </c>
      <c r="N60" s="15">
        <f ca="1">OFFSET(MJ_Initialisation!I39,0,3)</f>
        <v>0</v>
      </c>
      <c r="O60" s="15">
        <f ca="1">OFFSET(MJ_Initialisation!J39,0,3)</f>
        <v>0</v>
      </c>
      <c r="P60" s="15">
        <f ca="1">OFFSET(MJ_Initialisation!K39,0,3)</f>
        <v>0</v>
      </c>
      <c r="Q60" s="15">
        <f ca="1">OFFSET(MJ_Initialisation!L39,0,3)</f>
        <v>0</v>
      </c>
      <c r="R60" s="15">
        <f ca="1">OFFSET(MJ_Initialisation!M39,0,3)</f>
        <v>0</v>
      </c>
      <c r="S60" s="15">
        <f ca="1">OFFSET(MJ_Initialisation!N39,0,3)</f>
        <v>0</v>
      </c>
      <c r="T60" s="15">
        <f ca="1">OFFSET(MJ_Initialisation!O39,0,3)</f>
        <v>0</v>
      </c>
      <c r="U60" s="15">
        <f ca="1">OFFSET(MJ_Initialisation!P39,0,3)</f>
        <v>0</v>
      </c>
      <c r="V60" s="15">
        <f ca="1">OFFSET(MJ_Initialisation!Q39,0,3)</f>
        <v>0</v>
      </c>
      <c r="W60" s="15">
        <f ca="1">OFFSET(MJ_Initialisation!R39,0,3)</f>
        <v>0</v>
      </c>
      <c r="X60" s="15">
        <f ca="1">OFFSET(MJ_Initialisation!S39,0,3)</f>
        <v>0</v>
      </c>
      <c r="Y60" s="15">
        <f ca="1">OFFSET(MJ_Initialisation!T39,0,3)</f>
        <v>0</v>
      </c>
      <c r="Z60" s="15">
        <f ca="1">OFFSET(MJ_Initialisation!U39,0,3)</f>
        <v>0</v>
      </c>
      <c r="AA60" s="15">
        <f ca="1">OFFSET(MJ_Initialisation!V39,0,3)</f>
        <v>0</v>
      </c>
      <c r="AB60" s="15">
        <f ca="1">OFFSET(MJ_Initialisation!W39,0,3)</f>
        <v>0</v>
      </c>
      <c r="AC60" s="15">
        <f ca="1">OFFSET(MJ_Initialisation!X39,0,3)</f>
        <v>0</v>
      </c>
      <c r="AD60" s="15">
        <f ca="1">OFFSET(MJ_Initialisation!Y39,0,3)</f>
        <v>0</v>
      </c>
      <c r="AE60" s="15">
        <f ca="1">OFFSET(MJ_Initialisation!Z39,0,3)</f>
        <v>0</v>
      </c>
      <c r="AF60" s="15">
        <f ca="1">OFFSET(MJ_Initialisation!AA39,0,3)</f>
        <v>0</v>
      </c>
      <c r="AG60" s="228"/>
      <c r="AH60" s="228"/>
      <c r="AI60" s="228"/>
      <c r="AJ60" s="228"/>
    </row>
    <row r="61" spans="1:36" x14ac:dyDescent="0.25">
      <c r="A61" s="30">
        <v>2000</v>
      </c>
      <c r="B61" s="104" t="s">
        <v>30</v>
      </c>
      <c r="C61" s="155" t="s">
        <v>49</v>
      </c>
      <c r="D61" s="42" t="s">
        <v>48</v>
      </c>
      <c r="E61" s="103" t="s">
        <v>53</v>
      </c>
      <c r="F61" s="119" t="s">
        <v>34</v>
      </c>
      <c r="G61" s="106" t="s">
        <v>56</v>
      </c>
      <c r="H61" s="49"/>
      <c r="I61" s="246">
        <f ca="1">I59</f>
        <v>60</v>
      </c>
      <c r="J61" s="246">
        <f ca="1">J59</f>
        <v>40</v>
      </c>
      <c r="K61" s="246">
        <f ca="1">IF(K60=0,IF(K$43&gt;0,MAX(ROUND((((K58+J62)/K$43)*K$46),0),0),0),K60)</f>
        <v>100</v>
      </c>
      <c r="L61" s="246">
        <f t="shared" ref="L61" ca="1" si="105">IF(L60=0,IF(L$43&gt;0,MAX(ROUND((((L58+K62)/L$43)*L$46),0),0),0),L60)</f>
        <v>90</v>
      </c>
      <c r="M61" s="246">
        <f t="shared" ref="M61" ca="1" si="106">IF(M60=0,IF(M$43&gt;0,MAX(ROUND((((M58+L62)/M$43)*M$46),0),0),0),M60)</f>
        <v>100</v>
      </c>
      <c r="N61" s="246">
        <f t="shared" ref="N61" ca="1" si="107">IF(N60=0,IF(N$43&gt;0,MAX(ROUND((((N58+M62)/N$43)*N$46),0),0),0),N60)</f>
        <v>30</v>
      </c>
      <c r="O61" s="246">
        <f t="shared" ref="O61" ca="1" si="108">IF(O60=0,IF(O$43&gt;0,MAX(ROUND((((O58+N62)/O$43)*O$46),0),0),0),O60)</f>
        <v>60</v>
      </c>
      <c r="P61" s="246">
        <f t="shared" ref="P61" ca="1" si="109">IF(P60=0,IF(P$43&gt;0,MAX(ROUND((((P58+O62)/P$43)*P$46),0),0),0),P60)</f>
        <v>80</v>
      </c>
      <c r="Q61" s="246">
        <f t="shared" ref="Q61" ca="1" si="110">IF(Q60=0,IF(Q$43&gt;0,MAX(ROUND((((Q58+P62)/Q$43)*Q$46),0),0),0),Q60)</f>
        <v>70</v>
      </c>
      <c r="R61" s="246">
        <f t="shared" ref="R61" ca="1" si="111">IF(R60=0,IF(R$43&gt;0,MAX(ROUND((((R58+Q62)/R$43)*R$46),0),0),0),R60)</f>
        <v>0</v>
      </c>
      <c r="S61" s="246">
        <f t="shared" ref="S61" ca="1" si="112">IF(S60=0,IF(S$43&gt;0,MAX(ROUND((((S58+R62)/S$43)*S$46),0),0),0),S60)</f>
        <v>80</v>
      </c>
      <c r="T61" s="246">
        <f t="shared" ref="T61" ca="1" si="113">IF(T60=0,IF(T$43&gt;0,MAX(ROUND((((T58+S62)/T$43)*T$46),0),0),0),T60)</f>
        <v>10</v>
      </c>
      <c r="U61" s="246">
        <f t="shared" ref="U61" ca="1" si="114">IF(U60=0,IF(U$43&gt;0,MAX(ROUND((((U58+T62)/U$43)*U$46),0),0),0),U60)</f>
        <v>80</v>
      </c>
      <c r="V61" s="246">
        <f t="shared" ref="V61" ca="1" si="115">IF(V60=0,IF(V$43&gt;0,MAX(ROUND((((V58+U62)/V$43)*V$46),0),0),0),V60)</f>
        <v>100</v>
      </c>
      <c r="W61" s="246">
        <f t="shared" ref="W61" ca="1" si="116">IF(W60=0,IF(W$43&gt;0,MAX(ROUND((((W58+V62)/W$43)*W$46),0),0),0),W60)</f>
        <v>20</v>
      </c>
      <c r="X61" s="246">
        <f t="shared" ref="X61" ca="1" si="117">IF(X60=0,IF(X$43&gt;0,MAX(ROUND((((X58+W62)/X$43)*X$46),0),0),0),X60)</f>
        <v>90</v>
      </c>
      <c r="Y61" s="246">
        <f t="shared" ref="Y61" ca="1" si="118">IF(Y60=0,IF(Y$43&gt;0,MAX(ROUND((((Y58+X62)/Y$43)*Y$46),0),0),0),Y60)</f>
        <v>90</v>
      </c>
      <c r="Z61" s="246">
        <f t="shared" ref="Z61" ca="1" si="119">IF(Z60=0,IF(Z$43&gt;0,MAX(ROUND((((Z58+Y62)/Z$43)*Z$46),0),0),0),Z60)</f>
        <v>100</v>
      </c>
      <c r="AA61" s="246">
        <f t="shared" ref="AA61" ca="1" si="120">IF(AA60=0,IF(AA$43&gt;0,MAX(ROUND((((AA58+Z62)/AA$43)*AA$46),0),0),0),AA60)</f>
        <v>80</v>
      </c>
      <c r="AB61" s="246">
        <f t="shared" ref="AB61" ca="1" si="121">IF(AB60=0,IF(AB$43&gt;0,MAX(ROUND((((AB58+AA62)/AB$43)*AB$46),0),0),0),AB60)</f>
        <v>90</v>
      </c>
      <c r="AC61" s="246">
        <f t="shared" ref="AC61" ca="1" si="122">IF(AC60=0,IF(AC$43&gt;0,MAX(ROUND((((AC58+AB62)/AC$43)*AC$46),0),0),0),AC60)</f>
        <v>20</v>
      </c>
      <c r="AD61" s="246">
        <f t="shared" ref="AD61" ca="1" si="123">IF(AD60=0,IF(AD$43&gt;0,MAX(ROUND((((AD58+AC62)/AD$43)*AD$46),0),0),0),AD60)</f>
        <v>0</v>
      </c>
      <c r="AE61" s="246">
        <f t="shared" ref="AE61" ca="1" si="124">IF(AE60=0,IF(AE$43&gt;0,MAX(ROUND((((AE58+AD62)/AE$43)*AE$46),0),0),0),AE60)</f>
        <v>0</v>
      </c>
      <c r="AF61" s="246">
        <f t="shared" ref="AF61" ca="1" si="125">IF(AF60=0,IF(AF$43&gt;0,MAX(ROUND((((AF58+AE62)/AF$43)*AF$46),0),0),0),AF60)</f>
        <v>0</v>
      </c>
      <c r="AG61" s="246"/>
      <c r="AH61" s="246"/>
      <c r="AI61" s="246"/>
      <c r="AJ61" s="246"/>
    </row>
    <row r="62" spans="1:36" x14ac:dyDescent="0.25">
      <c r="A62" s="30">
        <v>2000</v>
      </c>
      <c r="B62" s="104" t="s">
        <v>30</v>
      </c>
      <c r="C62" s="155" t="s">
        <v>49</v>
      </c>
      <c r="D62" s="42" t="s">
        <v>48</v>
      </c>
      <c r="E62" s="103" t="s">
        <v>53</v>
      </c>
      <c r="F62" s="119" t="s">
        <v>34</v>
      </c>
      <c r="G62" s="100" t="s">
        <v>60</v>
      </c>
      <c r="H62" s="95"/>
      <c r="I62" s="87">
        <f t="shared" ref="I62:AF62" ca="1" si="126">I58+H62-I61</f>
        <v>0</v>
      </c>
      <c r="J62" s="87">
        <f t="shared" ca="1" si="126"/>
        <v>0</v>
      </c>
      <c r="K62" s="87">
        <f t="shared" ca="1" si="126"/>
        <v>0</v>
      </c>
      <c r="L62" s="87">
        <f t="shared" ca="1" si="126"/>
        <v>0</v>
      </c>
      <c r="M62" s="87">
        <f t="shared" ca="1" si="126"/>
        <v>0</v>
      </c>
      <c r="N62" s="87">
        <f t="shared" ca="1" si="126"/>
        <v>0</v>
      </c>
      <c r="O62" s="87">
        <f t="shared" ca="1" si="126"/>
        <v>0</v>
      </c>
      <c r="P62" s="87">
        <f t="shared" ca="1" si="126"/>
        <v>0</v>
      </c>
      <c r="Q62" s="87">
        <f t="shared" ca="1" si="126"/>
        <v>0</v>
      </c>
      <c r="R62" s="87">
        <f t="shared" ca="1" si="126"/>
        <v>0</v>
      </c>
      <c r="S62" s="87">
        <f t="shared" ca="1" si="126"/>
        <v>0</v>
      </c>
      <c r="T62" s="87">
        <f t="shared" ca="1" si="126"/>
        <v>0</v>
      </c>
      <c r="U62" s="87">
        <f t="shared" ca="1" si="126"/>
        <v>0</v>
      </c>
      <c r="V62" s="87">
        <f t="shared" ca="1" si="126"/>
        <v>0</v>
      </c>
      <c r="W62" s="87">
        <f t="shared" ca="1" si="126"/>
        <v>0</v>
      </c>
      <c r="X62" s="87">
        <f t="shared" ca="1" si="126"/>
        <v>0</v>
      </c>
      <c r="Y62" s="87">
        <f t="shared" ca="1" si="126"/>
        <v>0</v>
      </c>
      <c r="Z62" s="87">
        <f t="shared" ca="1" si="126"/>
        <v>0</v>
      </c>
      <c r="AA62" s="87">
        <f t="shared" ca="1" si="126"/>
        <v>0</v>
      </c>
      <c r="AB62" s="87">
        <f t="shared" ca="1" si="126"/>
        <v>0</v>
      </c>
      <c r="AC62" s="87">
        <f t="shared" ca="1" si="126"/>
        <v>0</v>
      </c>
      <c r="AD62" s="87">
        <f t="shared" ca="1" si="126"/>
        <v>0</v>
      </c>
      <c r="AE62" s="87">
        <f t="shared" ca="1" si="126"/>
        <v>0</v>
      </c>
      <c r="AF62" s="87">
        <f t="shared" ca="1" si="126"/>
        <v>0</v>
      </c>
      <c r="AG62" s="246"/>
      <c r="AH62" s="246"/>
      <c r="AI62" s="246"/>
      <c r="AJ62" s="246"/>
    </row>
    <row r="63" spans="1:36" x14ac:dyDescent="0.25">
      <c r="A63" s="30">
        <v>2000</v>
      </c>
      <c r="B63" s="104" t="s">
        <v>30</v>
      </c>
      <c r="C63" s="103" t="s">
        <v>49</v>
      </c>
      <c r="D63" s="42" t="s">
        <v>48</v>
      </c>
      <c r="E63" s="103" t="s">
        <v>49</v>
      </c>
      <c r="F63" s="42" t="s">
        <v>48</v>
      </c>
      <c r="G63" s="106" t="s">
        <v>58</v>
      </c>
      <c r="H63" s="42"/>
      <c r="I63" s="97">
        <f ca="1">I51+I56+I61</f>
        <v>510</v>
      </c>
      <c r="J63" s="97">
        <f t="shared" ref="J63:AF63" ca="1" si="127">J51+J56+J61</f>
        <v>110</v>
      </c>
      <c r="K63" s="97">
        <f ca="1">K51+K56+K61</f>
        <v>380</v>
      </c>
      <c r="L63" s="97">
        <f t="shared" ca="1" si="127"/>
        <v>140</v>
      </c>
      <c r="M63" s="97">
        <f t="shared" ca="1" si="127"/>
        <v>180</v>
      </c>
      <c r="N63" s="97">
        <f t="shared" ca="1" si="127"/>
        <v>180</v>
      </c>
      <c r="O63" s="97">
        <f t="shared" ca="1" si="127"/>
        <v>400</v>
      </c>
      <c r="P63" s="97">
        <f t="shared" ca="1" si="127"/>
        <v>300</v>
      </c>
      <c r="Q63" s="97">
        <f t="shared" ca="1" si="127"/>
        <v>330</v>
      </c>
      <c r="R63" s="97">
        <f t="shared" ca="1" si="127"/>
        <v>140</v>
      </c>
      <c r="S63" s="97">
        <f t="shared" ca="1" si="127"/>
        <v>320</v>
      </c>
      <c r="T63" s="97">
        <f t="shared" ca="1" si="127"/>
        <v>240</v>
      </c>
      <c r="U63" s="97">
        <f t="shared" ca="1" si="127"/>
        <v>180</v>
      </c>
      <c r="V63" s="97">
        <f t="shared" ca="1" si="127"/>
        <v>420</v>
      </c>
      <c r="W63" s="97">
        <f t="shared" ca="1" si="127"/>
        <v>210</v>
      </c>
      <c r="X63" s="97">
        <f t="shared" ca="1" si="127"/>
        <v>140</v>
      </c>
      <c r="Y63" s="97">
        <f t="shared" ca="1" si="127"/>
        <v>240</v>
      </c>
      <c r="Z63" s="97">
        <f t="shared" ca="1" si="127"/>
        <v>140</v>
      </c>
      <c r="AA63" s="97">
        <f t="shared" ca="1" si="127"/>
        <v>150</v>
      </c>
      <c r="AB63" s="97">
        <f t="shared" ca="1" si="127"/>
        <v>250</v>
      </c>
      <c r="AC63" s="97">
        <f t="shared" ca="1" si="127"/>
        <v>270</v>
      </c>
      <c r="AD63" s="97">
        <f t="shared" ca="1" si="127"/>
        <v>200</v>
      </c>
      <c r="AE63" s="97">
        <f t="shared" ca="1" si="127"/>
        <v>250</v>
      </c>
      <c r="AF63" s="97">
        <f t="shared" ca="1" si="127"/>
        <v>40</v>
      </c>
      <c r="AG63" s="250"/>
      <c r="AH63" s="250"/>
      <c r="AI63" s="250"/>
      <c r="AJ63" s="250"/>
    </row>
    <row r="64" spans="1:36" x14ac:dyDescent="0.25">
      <c r="A64" s="30">
        <v>2000</v>
      </c>
      <c r="B64" s="104" t="s">
        <v>30</v>
      </c>
      <c r="C64" s="103" t="s">
        <v>49</v>
      </c>
      <c r="D64" s="42" t="s">
        <v>48</v>
      </c>
      <c r="E64" s="103" t="s">
        <v>49</v>
      </c>
      <c r="F64" s="42" t="s">
        <v>48</v>
      </c>
      <c r="G64" s="100" t="s">
        <v>37</v>
      </c>
      <c r="H64" s="92"/>
      <c r="I64" s="97">
        <f ca="1">H42+I39+I40-I63</f>
        <v>0</v>
      </c>
      <c r="J64" s="97">
        <f t="shared" ref="J64:AF64" ca="1" si="128">I64+J39+J40-J63</f>
        <v>0</v>
      </c>
      <c r="K64" s="97">
        <f t="shared" ca="1" si="128"/>
        <v>0</v>
      </c>
      <c r="L64" s="97">
        <f t="shared" ca="1" si="128"/>
        <v>0</v>
      </c>
      <c r="M64" s="97">
        <f t="shared" ca="1" si="128"/>
        <v>0</v>
      </c>
      <c r="N64" s="97">
        <f t="shared" ca="1" si="128"/>
        <v>0</v>
      </c>
      <c r="O64" s="97">
        <f t="shared" ca="1" si="128"/>
        <v>0</v>
      </c>
      <c r="P64" s="97">
        <f t="shared" ca="1" si="128"/>
        <v>0</v>
      </c>
      <c r="Q64" s="97">
        <f t="shared" ca="1" si="128"/>
        <v>0</v>
      </c>
      <c r="R64" s="97">
        <f t="shared" ca="1" si="128"/>
        <v>0</v>
      </c>
      <c r="S64" s="97">
        <f t="shared" ca="1" si="128"/>
        <v>0</v>
      </c>
      <c r="T64" s="97">
        <f t="shared" ca="1" si="128"/>
        <v>0</v>
      </c>
      <c r="U64" s="97">
        <f t="shared" ca="1" si="128"/>
        <v>0</v>
      </c>
      <c r="V64" s="97">
        <f t="shared" ca="1" si="128"/>
        <v>0</v>
      </c>
      <c r="W64" s="97">
        <f t="shared" ca="1" si="128"/>
        <v>0</v>
      </c>
      <c r="X64" s="97">
        <f t="shared" ca="1" si="128"/>
        <v>0</v>
      </c>
      <c r="Y64" s="97">
        <f t="shared" ca="1" si="128"/>
        <v>0</v>
      </c>
      <c r="Z64" s="97">
        <f t="shared" ca="1" si="128"/>
        <v>0</v>
      </c>
      <c r="AA64" s="97">
        <f t="shared" ca="1" si="128"/>
        <v>0</v>
      </c>
      <c r="AB64" s="97">
        <f t="shared" ca="1" si="128"/>
        <v>0</v>
      </c>
      <c r="AC64" s="97">
        <f t="shared" ca="1" si="128"/>
        <v>0</v>
      </c>
      <c r="AD64" s="97">
        <f t="shared" ca="1" si="128"/>
        <v>0</v>
      </c>
      <c r="AE64" s="97">
        <f t="shared" ca="1" si="128"/>
        <v>0</v>
      </c>
      <c r="AF64" s="97">
        <f t="shared" ca="1" si="128"/>
        <v>0</v>
      </c>
      <c r="AG64" s="250"/>
      <c r="AH64" s="250"/>
      <c r="AI64" s="250"/>
      <c r="AJ64" s="250"/>
    </row>
    <row r="65" spans="1:36" x14ac:dyDescent="0.25">
      <c r="A65" s="30">
        <v>2000</v>
      </c>
      <c r="B65" s="104" t="s">
        <v>30</v>
      </c>
      <c r="C65" s="103" t="s">
        <v>49</v>
      </c>
      <c r="D65" s="42" t="s">
        <v>48</v>
      </c>
      <c r="E65" s="103" t="s">
        <v>49</v>
      </c>
      <c r="F65" s="42" t="s">
        <v>48</v>
      </c>
      <c r="G65" s="100" t="s">
        <v>24</v>
      </c>
      <c r="H65" s="42"/>
      <c r="I65" s="39">
        <f>CBN_CDC!I30</f>
        <v>0</v>
      </c>
      <c r="J65" s="39">
        <f>CBN_CDC!J30</f>
        <v>0</v>
      </c>
      <c r="K65" s="39">
        <f>CBN_CDC!K30</f>
        <v>0</v>
      </c>
      <c r="L65" s="39">
        <f>CBN_CDC!L30</f>
        <v>0</v>
      </c>
      <c r="M65" s="39">
        <f>CBN_CDC!M30</f>
        <v>0</v>
      </c>
      <c r="N65" s="39">
        <f>CBN_CDC!N30</f>
        <v>0</v>
      </c>
      <c r="O65" s="39">
        <f>CBN_CDC!O30</f>
        <v>0</v>
      </c>
      <c r="P65" s="39">
        <f>CBN_CDC!P30</f>
        <v>0</v>
      </c>
      <c r="Q65" s="39">
        <f>CBN_CDC!Q30</f>
        <v>0</v>
      </c>
      <c r="R65" s="39">
        <f>CBN_CDC!R30</f>
        <v>0</v>
      </c>
      <c r="S65" s="39">
        <f>CBN_CDC!S30</f>
        <v>0</v>
      </c>
      <c r="T65" s="39">
        <f>CBN_CDC!T30</f>
        <v>0</v>
      </c>
      <c r="U65" s="39">
        <f>CBN_CDC!U30</f>
        <v>0</v>
      </c>
      <c r="V65" s="39">
        <f>CBN_CDC!V30</f>
        <v>0</v>
      </c>
      <c r="W65" s="39">
        <f>CBN_CDC!W30</f>
        <v>0</v>
      </c>
      <c r="X65" s="39">
        <f>CBN_CDC!X30</f>
        <v>0</v>
      </c>
      <c r="Y65" s="39">
        <f>CBN_CDC!Y30</f>
        <v>0</v>
      </c>
      <c r="Z65" s="39">
        <f>CBN_CDC!Z30</f>
        <v>0</v>
      </c>
      <c r="AA65" s="39">
        <f>CBN_CDC!AA30</f>
        <v>0</v>
      </c>
      <c r="AB65" s="39">
        <f>CBN_CDC!AB30</f>
        <v>0</v>
      </c>
      <c r="AC65" s="39">
        <f>CBN_CDC!AC30</f>
        <v>0</v>
      </c>
      <c r="AD65" s="39">
        <f>CBN_CDC!AD30</f>
        <v>0</v>
      </c>
      <c r="AE65" s="39">
        <f>CBN_CDC!AE30</f>
        <v>0</v>
      </c>
      <c r="AF65" s="39">
        <f>CBN_CDC!AF30</f>
        <v>0</v>
      </c>
      <c r="AG65" s="238"/>
      <c r="AH65" s="238"/>
      <c r="AI65" s="238"/>
      <c r="AJ65" s="238"/>
    </row>
    <row r="66" spans="1:36" x14ac:dyDescent="0.25">
      <c r="A66" s="30">
        <v>2000</v>
      </c>
      <c r="B66" s="104" t="s">
        <v>30</v>
      </c>
      <c r="C66" s="103" t="s">
        <v>49</v>
      </c>
      <c r="D66" s="42" t="s">
        <v>48</v>
      </c>
      <c r="E66" s="103" t="s">
        <v>49</v>
      </c>
      <c r="F66" s="42" t="s">
        <v>48</v>
      </c>
      <c r="G66" s="100" t="s">
        <v>60</v>
      </c>
      <c r="H66" s="92"/>
      <c r="I66" s="97">
        <f ca="1">I62+I57+I52</f>
        <v>0</v>
      </c>
      <c r="J66" s="97">
        <f t="shared" ref="J66:AF66" ca="1" si="129">J62+J57+J52</f>
        <v>0</v>
      </c>
      <c r="K66" s="97">
        <f t="shared" ca="1" si="129"/>
        <v>0</v>
      </c>
      <c r="L66" s="97">
        <f t="shared" ca="1" si="129"/>
        <v>0</v>
      </c>
      <c r="M66" s="97">
        <f t="shared" ca="1" si="129"/>
        <v>0</v>
      </c>
      <c r="N66" s="97">
        <f t="shared" ca="1" si="129"/>
        <v>0</v>
      </c>
      <c r="O66" s="97">
        <f t="shared" ca="1" si="129"/>
        <v>0</v>
      </c>
      <c r="P66" s="97">
        <f t="shared" ca="1" si="129"/>
        <v>0</v>
      </c>
      <c r="Q66" s="97">
        <f t="shared" ca="1" si="129"/>
        <v>0</v>
      </c>
      <c r="R66" s="97">
        <f t="shared" ca="1" si="129"/>
        <v>0</v>
      </c>
      <c r="S66" s="97">
        <f t="shared" ca="1" si="129"/>
        <v>0</v>
      </c>
      <c r="T66" s="97">
        <f t="shared" ca="1" si="129"/>
        <v>0</v>
      </c>
      <c r="U66" s="97">
        <f t="shared" ca="1" si="129"/>
        <v>0</v>
      </c>
      <c r="V66" s="97">
        <f t="shared" ca="1" si="129"/>
        <v>0</v>
      </c>
      <c r="W66" s="97">
        <f t="shared" ca="1" si="129"/>
        <v>0</v>
      </c>
      <c r="X66" s="97">
        <f t="shared" ca="1" si="129"/>
        <v>0</v>
      </c>
      <c r="Y66" s="97">
        <f t="shared" ca="1" si="129"/>
        <v>0</v>
      </c>
      <c r="Z66" s="97">
        <f t="shared" ca="1" si="129"/>
        <v>0</v>
      </c>
      <c r="AA66" s="97">
        <f t="shared" ca="1" si="129"/>
        <v>0</v>
      </c>
      <c r="AB66" s="97">
        <f t="shared" ca="1" si="129"/>
        <v>0</v>
      </c>
      <c r="AC66" s="97">
        <f t="shared" ca="1" si="129"/>
        <v>0</v>
      </c>
      <c r="AD66" s="97">
        <f t="shared" ca="1" si="129"/>
        <v>0</v>
      </c>
      <c r="AE66" s="97">
        <f t="shared" ca="1" si="129"/>
        <v>0</v>
      </c>
      <c r="AF66" s="97">
        <f t="shared" ca="1" si="129"/>
        <v>0</v>
      </c>
      <c r="AG66" s="250"/>
      <c r="AH66" s="250"/>
      <c r="AI66" s="250"/>
      <c r="AJ66" s="250"/>
    </row>
    <row r="67" spans="1:36" x14ac:dyDescent="0.25">
      <c r="A67" s="11"/>
      <c r="B67" s="57"/>
      <c r="C67" s="154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226"/>
      <c r="AH67" s="226"/>
      <c r="AI67" s="226"/>
      <c r="AJ67" s="226"/>
    </row>
    <row r="68" spans="1:36" x14ac:dyDescent="0.25">
      <c r="A68" s="108">
        <v>3000</v>
      </c>
      <c r="B68" s="109" t="s">
        <v>31</v>
      </c>
      <c r="C68" s="155">
        <v>111</v>
      </c>
      <c r="D68" s="42" t="s">
        <v>65</v>
      </c>
      <c r="E68" s="103" t="s">
        <v>49</v>
      </c>
      <c r="F68" s="42" t="s">
        <v>48</v>
      </c>
      <c r="G68" s="98" t="s">
        <v>47</v>
      </c>
      <c r="H68" s="14"/>
      <c r="I68" s="153"/>
      <c r="J68" s="153"/>
      <c r="K68" s="16">
        <f ca="1">Factory!J28</f>
        <v>310</v>
      </c>
      <c r="L68" s="16">
        <f ca="1">Factory!K28</f>
        <v>210</v>
      </c>
      <c r="M68" s="16">
        <f ca="1">Factory!L28</f>
        <v>300</v>
      </c>
      <c r="N68" s="16">
        <f ca="1">Factory!M28</f>
        <v>330</v>
      </c>
      <c r="O68" s="16">
        <f ca="1">Factory!N28</f>
        <v>380</v>
      </c>
      <c r="P68" s="16">
        <f ca="1">Factory!O28</f>
        <v>270</v>
      </c>
      <c r="Q68" s="16">
        <f ca="1">Factory!P28</f>
        <v>170</v>
      </c>
      <c r="R68" s="16">
        <f ca="1">Factory!Q28</f>
        <v>120</v>
      </c>
      <c r="S68" s="16">
        <f ca="1">Factory!R28</f>
        <v>100</v>
      </c>
      <c r="T68" s="16">
        <f ca="1">Factory!S28</f>
        <v>220</v>
      </c>
      <c r="U68" s="16">
        <f ca="1">Factory!T28</f>
        <v>300</v>
      </c>
      <c r="V68" s="16">
        <f ca="1">Factory!U28</f>
        <v>290</v>
      </c>
      <c r="W68" s="16">
        <f ca="1">Factory!V28</f>
        <v>260</v>
      </c>
      <c r="X68" s="16">
        <f ca="1">Factory!W28</f>
        <v>80</v>
      </c>
      <c r="Y68" s="16">
        <f ca="1">Factory!X28</f>
        <v>280</v>
      </c>
      <c r="Z68" s="16">
        <f ca="1">Factory!Y28</f>
        <v>150</v>
      </c>
      <c r="AA68" s="16">
        <f ca="1">Factory!Z28</f>
        <v>360</v>
      </c>
      <c r="AB68" s="16">
        <f ca="1">Factory!AA28</f>
        <v>280</v>
      </c>
      <c r="AC68" s="16">
        <f ca="1">Factory!AB28</f>
        <v>280</v>
      </c>
      <c r="AD68" s="16">
        <f ca="1">Factory!AC28</f>
        <v>220</v>
      </c>
      <c r="AE68" s="16">
        <f ca="1">Factory!AD28</f>
        <v>20</v>
      </c>
      <c r="AF68" s="16">
        <f ca="1">Factory!AE28</f>
        <v>30</v>
      </c>
      <c r="AG68" s="229"/>
      <c r="AH68" s="229"/>
      <c r="AI68" s="229"/>
      <c r="AJ68" s="229"/>
    </row>
    <row r="69" spans="1:36" x14ac:dyDescent="0.25">
      <c r="A69" s="108">
        <v>3000</v>
      </c>
      <c r="B69" s="109" t="s">
        <v>31</v>
      </c>
      <c r="C69" s="155">
        <v>111</v>
      </c>
      <c r="D69" s="42" t="s">
        <v>65</v>
      </c>
      <c r="E69" s="103" t="s">
        <v>49</v>
      </c>
      <c r="F69" s="42" t="s">
        <v>48</v>
      </c>
      <c r="G69" s="35" t="s">
        <v>73</v>
      </c>
      <c r="H69" s="31"/>
      <c r="I69" s="36">
        <f>MJ_Initialisation!D48</f>
        <v>520</v>
      </c>
      <c r="J69" s="36">
        <f>MJ_Initialisation!E48</f>
        <v>320</v>
      </c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260"/>
      <c r="AH69" s="260"/>
      <c r="AI69" s="260"/>
      <c r="AJ69" s="260"/>
    </row>
    <row r="70" spans="1:36" x14ac:dyDescent="0.25">
      <c r="A70" s="108">
        <v>3000</v>
      </c>
      <c r="B70" s="109" t="s">
        <v>31</v>
      </c>
      <c r="C70" s="155">
        <v>111</v>
      </c>
      <c r="D70" s="42" t="s">
        <v>65</v>
      </c>
      <c r="E70" s="103" t="s">
        <v>49</v>
      </c>
      <c r="F70" s="42" t="s">
        <v>48</v>
      </c>
      <c r="G70" s="106" t="s">
        <v>127</v>
      </c>
      <c r="H70" s="42"/>
      <c r="I70" s="87">
        <f>I68+I69</f>
        <v>520</v>
      </c>
      <c r="J70" s="87">
        <f t="shared" ref="J70" si="130">J68+J69</f>
        <v>320</v>
      </c>
      <c r="K70" s="87">
        <f t="shared" ref="K70" ca="1" si="131">K68+K69</f>
        <v>310</v>
      </c>
      <c r="L70" s="87">
        <f t="shared" ref="L70" ca="1" si="132">L68+L69</f>
        <v>210</v>
      </c>
      <c r="M70" s="87">
        <f t="shared" ref="M70" ca="1" si="133">M68+M69</f>
        <v>300</v>
      </c>
      <c r="N70" s="87">
        <f t="shared" ref="N70" ca="1" si="134">N68+N69</f>
        <v>330</v>
      </c>
      <c r="O70" s="87">
        <f t="shared" ref="O70" ca="1" si="135">O68+O69</f>
        <v>380</v>
      </c>
      <c r="P70" s="87">
        <f t="shared" ref="P70" ca="1" si="136">P68+P69</f>
        <v>270</v>
      </c>
      <c r="Q70" s="87">
        <f t="shared" ref="Q70" ca="1" si="137">Q68+Q69</f>
        <v>170</v>
      </c>
      <c r="R70" s="87">
        <f t="shared" ref="R70" ca="1" si="138">R68+R69</f>
        <v>120</v>
      </c>
      <c r="S70" s="87">
        <f t="shared" ref="S70" ca="1" si="139">S68+S69</f>
        <v>100</v>
      </c>
      <c r="T70" s="87">
        <f t="shared" ref="T70" ca="1" si="140">T68+T69</f>
        <v>220</v>
      </c>
      <c r="U70" s="87">
        <f t="shared" ref="U70" ca="1" si="141">U68+U69</f>
        <v>300</v>
      </c>
      <c r="V70" s="87">
        <f t="shared" ref="V70" ca="1" si="142">V68+V69</f>
        <v>290</v>
      </c>
      <c r="W70" s="87">
        <f t="shared" ref="W70" ca="1" si="143">W68+W69</f>
        <v>260</v>
      </c>
      <c r="X70" s="87">
        <f t="shared" ref="X70" ca="1" si="144">X68+X69</f>
        <v>80</v>
      </c>
      <c r="Y70" s="87">
        <f t="shared" ref="Y70" ca="1" si="145">Y68+Y69</f>
        <v>280</v>
      </c>
      <c r="Z70" s="87">
        <f t="shared" ref="Z70" ca="1" si="146">Z68+Z69</f>
        <v>150</v>
      </c>
      <c r="AA70" s="87">
        <f t="shared" ref="AA70" ca="1" si="147">AA68+AA69</f>
        <v>360</v>
      </c>
      <c r="AB70" s="87">
        <f t="shared" ref="AB70" ca="1" si="148">AB68+AB69</f>
        <v>280</v>
      </c>
      <c r="AC70" s="87">
        <f t="shared" ref="AC70" ca="1" si="149">AC68+AC69</f>
        <v>280</v>
      </c>
      <c r="AD70" s="87">
        <f t="shared" ref="AD70" ca="1" si="150">AD68+AD69</f>
        <v>220</v>
      </c>
      <c r="AE70" s="87">
        <f t="shared" ref="AE70" ca="1" si="151">AE68+AE69</f>
        <v>20</v>
      </c>
      <c r="AF70" s="87">
        <f t="shared" ref="AF70" ca="1" si="152">AF68+AF69</f>
        <v>30</v>
      </c>
      <c r="AG70" s="246"/>
      <c r="AH70" s="246"/>
      <c r="AI70" s="246"/>
      <c r="AJ70" s="246"/>
    </row>
    <row r="71" spans="1:36" x14ac:dyDescent="0.25">
      <c r="A71" s="108">
        <v>3000</v>
      </c>
      <c r="B71" s="122" t="s">
        <v>31</v>
      </c>
      <c r="C71" s="103" t="s">
        <v>49</v>
      </c>
      <c r="D71" s="42" t="s">
        <v>48</v>
      </c>
      <c r="E71" s="103" t="s">
        <v>49</v>
      </c>
      <c r="F71" s="42" t="s">
        <v>48</v>
      </c>
      <c r="G71" s="168" t="s">
        <v>120</v>
      </c>
      <c r="H71" s="67">
        <f>CBN_CDC!H39</f>
        <v>0</v>
      </c>
      <c r="I71" s="171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263"/>
      <c r="AH71" s="263"/>
      <c r="AI71" s="263"/>
      <c r="AJ71" s="263"/>
    </row>
    <row r="72" spans="1:36" x14ac:dyDescent="0.25">
      <c r="A72" s="108">
        <v>3000</v>
      </c>
      <c r="B72" s="109" t="s">
        <v>31</v>
      </c>
      <c r="C72" s="103" t="s">
        <v>49</v>
      </c>
      <c r="D72" s="42" t="s">
        <v>48</v>
      </c>
      <c r="E72" s="103" t="s">
        <v>49</v>
      </c>
      <c r="F72" s="42" t="s">
        <v>48</v>
      </c>
      <c r="G72" s="106" t="s">
        <v>63</v>
      </c>
      <c r="H72" s="42"/>
      <c r="I72" s="87">
        <f ca="1">IF(I79&gt;0,0,I77+H81)+IF(I84&gt;0,0,I82+H86)</f>
        <v>520</v>
      </c>
      <c r="J72" s="87">
        <f t="shared" ref="J72:AF72" ca="1" si="153">IF(J79&gt;0,0,J77+I81)+IF(J84&gt;0,0,J82+I86)</f>
        <v>320</v>
      </c>
      <c r="K72" s="87">
        <f ca="1">IF(K79&gt;0,0,K77+J81)+IF(K84&gt;0,0,K82+J86)</f>
        <v>310</v>
      </c>
      <c r="L72" s="87">
        <f ca="1">IF(L79&gt;0,0,L77+K81)+IF(L84&gt;0,0,L82+K86)</f>
        <v>210</v>
      </c>
      <c r="M72" s="87">
        <f t="shared" ca="1" si="153"/>
        <v>300</v>
      </c>
      <c r="N72" s="87">
        <f t="shared" ca="1" si="153"/>
        <v>330</v>
      </c>
      <c r="O72" s="87">
        <f t="shared" ca="1" si="153"/>
        <v>380</v>
      </c>
      <c r="P72" s="87">
        <f t="shared" ca="1" si="153"/>
        <v>270</v>
      </c>
      <c r="Q72" s="87">
        <f t="shared" ca="1" si="153"/>
        <v>170</v>
      </c>
      <c r="R72" s="87">
        <f t="shared" ca="1" si="153"/>
        <v>120</v>
      </c>
      <c r="S72" s="87">
        <f t="shared" ca="1" si="153"/>
        <v>100</v>
      </c>
      <c r="T72" s="87">
        <f t="shared" ca="1" si="153"/>
        <v>220</v>
      </c>
      <c r="U72" s="87">
        <f t="shared" ca="1" si="153"/>
        <v>300</v>
      </c>
      <c r="V72" s="87">
        <f t="shared" ca="1" si="153"/>
        <v>290</v>
      </c>
      <c r="W72" s="87">
        <f t="shared" ca="1" si="153"/>
        <v>260</v>
      </c>
      <c r="X72" s="87">
        <f t="shared" ca="1" si="153"/>
        <v>80</v>
      </c>
      <c r="Y72" s="87">
        <f t="shared" ca="1" si="153"/>
        <v>280</v>
      </c>
      <c r="Z72" s="87">
        <f t="shared" ca="1" si="153"/>
        <v>150</v>
      </c>
      <c r="AA72" s="87">
        <f t="shared" ca="1" si="153"/>
        <v>360</v>
      </c>
      <c r="AB72" s="87">
        <f t="shared" ca="1" si="153"/>
        <v>280</v>
      </c>
      <c r="AC72" s="87">
        <f t="shared" ca="1" si="153"/>
        <v>280</v>
      </c>
      <c r="AD72" s="87">
        <f t="shared" ca="1" si="153"/>
        <v>220</v>
      </c>
      <c r="AE72" s="87">
        <f t="shared" ca="1" si="153"/>
        <v>20</v>
      </c>
      <c r="AF72" s="87">
        <f t="shared" ca="1" si="153"/>
        <v>30</v>
      </c>
      <c r="AG72" s="246"/>
      <c r="AH72" s="246"/>
      <c r="AI72" s="246"/>
      <c r="AJ72" s="246"/>
    </row>
    <row r="73" spans="1:36" x14ac:dyDescent="0.25">
      <c r="A73" s="108">
        <v>3000</v>
      </c>
      <c r="B73" s="109" t="s">
        <v>31</v>
      </c>
      <c r="C73" s="103" t="s">
        <v>49</v>
      </c>
      <c r="D73" s="42" t="s">
        <v>48</v>
      </c>
      <c r="E73" s="103" t="s">
        <v>49</v>
      </c>
      <c r="F73" s="42" t="s">
        <v>48</v>
      </c>
      <c r="G73" s="99" t="s">
        <v>59</v>
      </c>
      <c r="H73" s="14"/>
      <c r="I73" s="17">
        <f t="shared" ref="I73:AF73" ca="1" si="154">I78+I83</f>
        <v>520</v>
      </c>
      <c r="J73" s="17">
        <f t="shared" ca="1" si="154"/>
        <v>320</v>
      </c>
      <c r="K73" s="17">
        <f ca="1">K78+K83</f>
        <v>310</v>
      </c>
      <c r="L73" s="17">
        <f t="shared" ca="1" si="154"/>
        <v>210</v>
      </c>
      <c r="M73" s="17">
        <f t="shared" ca="1" si="154"/>
        <v>300</v>
      </c>
      <c r="N73" s="17">
        <f t="shared" ca="1" si="154"/>
        <v>330</v>
      </c>
      <c r="O73" s="17">
        <f t="shared" ca="1" si="154"/>
        <v>380</v>
      </c>
      <c r="P73" s="17">
        <f t="shared" ca="1" si="154"/>
        <v>270</v>
      </c>
      <c r="Q73" s="17">
        <f t="shared" ca="1" si="154"/>
        <v>170</v>
      </c>
      <c r="R73" s="17">
        <f t="shared" ca="1" si="154"/>
        <v>120</v>
      </c>
      <c r="S73" s="17">
        <f t="shared" ca="1" si="154"/>
        <v>100</v>
      </c>
      <c r="T73" s="17">
        <f t="shared" ca="1" si="154"/>
        <v>220</v>
      </c>
      <c r="U73" s="17">
        <f t="shared" ca="1" si="154"/>
        <v>300</v>
      </c>
      <c r="V73" s="17">
        <f t="shared" ca="1" si="154"/>
        <v>290</v>
      </c>
      <c r="W73" s="17">
        <f t="shared" ca="1" si="154"/>
        <v>260</v>
      </c>
      <c r="X73" s="17">
        <f t="shared" ca="1" si="154"/>
        <v>80</v>
      </c>
      <c r="Y73" s="17">
        <f t="shared" ca="1" si="154"/>
        <v>280</v>
      </c>
      <c r="Z73" s="17">
        <f t="shared" ca="1" si="154"/>
        <v>150</v>
      </c>
      <c r="AA73" s="17">
        <f t="shared" ca="1" si="154"/>
        <v>360</v>
      </c>
      <c r="AB73" s="17">
        <f t="shared" ca="1" si="154"/>
        <v>280</v>
      </c>
      <c r="AC73" s="17">
        <f t="shared" ca="1" si="154"/>
        <v>280</v>
      </c>
      <c r="AD73" s="17">
        <f t="shared" ca="1" si="154"/>
        <v>220</v>
      </c>
      <c r="AE73" s="17">
        <f t="shared" ca="1" si="154"/>
        <v>20</v>
      </c>
      <c r="AF73" s="17">
        <f t="shared" ca="1" si="154"/>
        <v>30</v>
      </c>
      <c r="AG73" s="230"/>
      <c r="AH73" s="230"/>
      <c r="AI73" s="230"/>
      <c r="AJ73" s="230"/>
    </row>
    <row r="74" spans="1:36" x14ac:dyDescent="0.25">
      <c r="A74" s="108">
        <v>3000</v>
      </c>
      <c r="B74" s="109" t="s">
        <v>31</v>
      </c>
      <c r="C74" s="155" t="s">
        <v>49</v>
      </c>
      <c r="D74" s="42" t="s">
        <v>48</v>
      </c>
      <c r="E74" s="103" t="s">
        <v>49</v>
      </c>
      <c r="F74" s="42" t="s">
        <v>48</v>
      </c>
      <c r="G74" s="99" t="s">
        <v>64</v>
      </c>
      <c r="H74" s="14"/>
      <c r="I74" s="17">
        <f ca="1">SUM(I79,I84)</f>
        <v>0</v>
      </c>
      <c r="J74" s="17">
        <f t="shared" ref="J74:AF74" ca="1" si="155">SUM(J79,J84)</f>
        <v>0</v>
      </c>
      <c r="K74" s="17">
        <f t="shared" ca="1" si="155"/>
        <v>0</v>
      </c>
      <c r="L74" s="17">
        <f t="shared" ca="1" si="155"/>
        <v>0</v>
      </c>
      <c r="M74" s="17">
        <f t="shared" ca="1" si="155"/>
        <v>0</v>
      </c>
      <c r="N74" s="17">
        <f t="shared" ca="1" si="155"/>
        <v>0</v>
      </c>
      <c r="O74" s="17">
        <f t="shared" ca="1" si="155"/>
        <v>0</v>
      </c>
      <c r="P74" s="17">
        <f t="shared" ca="1" si="155"/>
        <v>0</v>
      </c>
      <c r="Q74" s="17">
        <f t="shared" ca="1" si="155"/>
        <v>0</v>
      </c>
      <c r="R74" s="17">
        <f t="shared" ca="1" si="155"/>
        <v>0</v>
      </c>
      <c r="S74" s="17">
        <f t="shared" ca="1" si="155"/>
        <v>0</v>
      </c>
      <c r="T74" s="17">
        <f t="shared" ca="1" si="155"/>
        <v>0</v>
      </c>
      <c r="U74" s="17">
        <f t="shared" ca="1" si="155"/>
        <v>0</v>
      </c>
      <c r="V74" s="17">
        <f t="shared" ca="1" si="155"/>
        <v>0</v>
      </c>
      <c r="W74" s="17">
        <f t="shared" ca="1" si="155"/>
        <v>0</v>
      </c>
      <c r="X74" s="17">
        <f t="shared" ca="1" si="155"/>
        <v>0</v>
      </c>
      <c r="Y74" s="17">
        <f t="shared" ca="1" si="155"/>
        <v>0</v>
      </c>
      <c r="Z74" s="17">
        <f t="shared" ca="1" si="155"/>
        <v>0</v>
      </c>
      <c r="AA74" s="17">
        <f t="shared" ca="1" si="155"/>
        <v>0</v>
      </c>
      <c r="AB74" s="17">
        <f t="shared" ca="1" si="155"/>
        <v>0</v>
      </c>
      <c r="AC74" s="17">
        <f t="shared" ca="1" si="155"/>
        <v>0</v>
      </c>
      <c r="AD74" s="17">
        <f t="shared" ca="1" si="155"/>
        <v>0</v>
      </c>
      <c r="AE74" s="17">
        <f t="shared" ca="1" si="155"/>
        <v>0</v>
      </c>
      <c r="AF74" s="17">
        <f t="shared" ca="1" si="155"/>
        <v>0</v>
      </c>
      <c r="AG74" s="230"/>
      <c r="AH74" s="230"/>
      <c r="AI74" s="230"/>
      <c r="AJ74" s="230"/>
    </row>
    <row r="75" spans="1:36" x14ac:dyDescent="0.25">
      <c r="A75" s="108">
        <v>3000</v>
      </c>
      <c r="B75" s="109" t="s">
        <v>31</v>
      </c>
      <c r="C75" s="155" t="s">
        <v>49</v>
      </c>
      <c r="D75" s="42" t="s">
        <v>48</v>
      </c>
      <c r="E75" s="103" t="s">
        <v>49</v>
      </c>
      <c r="F75" s="42" t="s">
        <v>48</v>
      </c>
      <c r="G75" s="106" t="s">
        <v>61</v>
      </c>
      <c r="H75" s="42"/>
      <c r="I75" s="97">
        <f ca="1">I73</f>
        <v>520</v>
      </c>
      <c r="J75" s="97">
        <f ca="1">J73</f>
        <v>320</v>
      </c>
      <c r="K75" s="97">
        <f ca="1">MAX(MIN(K72,K68+J76-K74),0)</f>
        <v>310</v>
      </c>
      <c r="L75" s="97">
        <f t="shared" ref="L75:AF75" ca="1" si="156">MAX(MIN(L72,L68+K76-L74),0)</f>
        <v>210</v>
      </c>
      <c r="M75" s="97">
        <f t="shared" ca="1" si="156"/>
        <v>300</v>
      </c>
      <c r="N75" s="97">
        <f t="shared" ca="1" si="156"/>
        <v>330</v>
      </c>
      <c r="O75" s="97">
        <f t="shared" ca="1" si="156"/>
        <v>380</v>
      </c>
      <c r="P75" s="97">
        <f t="shared" ca="1" si="156"/>
        <v>270</v>
      </c>
      <c r="Q75" s="97">
        <f t="shared" ca="1" si="156"/>
        <v>170</v>
      </c>
      <c r="R75" s="97">
        <f t="shared" ca="1" si="156"/>
        <v>120</v>
      </c>
      <c r="S75" s="97">
        <f t="shared" ca="1" si="156"/>
        <v>100</v>
      </c>
      <c r="T75" s="97">
        <f t="shared" ca="1" si="156"/>
        <v>220</v>
      </c>
      <c r="U75" s="97">
        <f t="shared" ca="1" si="156"/>
        <v>300</v>
      </c>
      <c r="V75" s="97">
        <f t="shared" ca="1" si="156"/>
        <v>290</v>
      </c>
      <c r="W75" s="97">
        <f t="shared" ca="1" si="156"/>
        <v>260</v>
      </c>
      <c r="X75" s="97">
        <f t="shared" ca="1" si="156"/>
        <v>80</v>
      </c>
      <c r="Y75" s="97">
        <f t="shared" ca="1" si="156"/>
        <v>280</v>
      </c>
      <c r="Z75" s="97">
        <f t="shared" ca="1" si="156"/>
        <v>150</v>
      </c>
      <c r="AA75" s="97">
        <f t="shared" ca="1" si="156"/>
        <v>360</v>
      </c>
      <c r="AB75" s="97">
        <f t="shared" ca="1" si="156"/>
        <v>280</v>
      </c>
      <c r="AC75" s="97">
        <f t="shared" ca="1" si="156"/>
        <v>280</v>
      </c>
      <c r="AD75" s="97">
        <f t="shared" ca="1" si="156"/>
        <v>220</v>
      </c>
      <c r="AE75" s="97">
        <f t="shared" ca="1" si="156"/>
        <v>20</v>
      </c>
      <c r="AF75" s="97">
        <f t="shared" ca="1" si="156"/>
        <v>30</v>
      </c>
      <c r="AG75" s="250"/>
      <c r="AH75" s="250"/>
      <c r="AI75" s="250"/>
      <c r="AJ75" s="250"/>
    </row>
    <row r="76" spans="1:36" x14ac:dyDescent="0.25">
      <c r="A76" s="108">
        <v>3000</v>
      </c>
      <c r="B76" s="109" t="s">
        <v>31</v>
      </c>
      <c r="C76" s="155" t="s">
        <v>49</v>
      </c>
      <c r="D76" s="42" t="s">
        <v>48</v>
      </c>
      <c r="E76" s="103" t="s">
        <v>49</v>
      </c>
      <c r="F76" s="42" t="s">
        <v>48</v>
      </c>
      <c r="G76" s="100" t="s">
        <v>37</v>
      </c>
      <c r="H76" s="92"/>
      <c r="I76" s="97">
        <f ca="1">H71+I70-I75-I74</f>
        <v>0</v>
      </c>
      <c r="J76" s="97">
        <f ca="1">I76+J70-J75-J74</f>
        <v>0</v>
      </c>
      <c r="K76" s="250">
        <f t="shared" ref="K76:AF76" ca="1" si="157">J76+K70-K75-K74</f>
        <v>0</v>
      </c>
      <c r="L76" s="250">
        <f t="shared" ca="1" si="157"/>
        <v>0</v>
      </c>
      <c r="M76" s="250">
        <f t="shared" ca="1" si="157"/>
        <v>0</v>
      </c>
      <c r="N76" s="250">
        <f t="shared" ca="1" si="157"/>
        <v>0</v>
      </c>
      <c r="O76" s="250">
        <f t="shared" ca="1" si="157"/>
        <v>0</v>
      </c>
      <c r="P76" s="250">
        <f t="shared" ca="1" si="157"/>
        <v>0</v>
      </c>
      <c r="Q76" s="250">
        <f t="shared" ca="1" si="157"/>
        <v>0</v>
      </c>
      <c r="R76" s="250">
        <f t="shared" ca="1" si="157"/>
        <v>0</v>
      </c>
      <c r="S76" s="250">
        <f t="shared" ca="1" si="157"/>
        <v>0</v>
      </c>
      <c r="T76" s="250">
        <f t="shared" ca="1" si="157"/>
        <v>0</v>
      </c>
      <c r="U76" s="250">
        <f t="shared" ca="1" si="157"/>
        <v>0</v>
      </c>
      <c r="V76" s="250">
        <f t="shared" ca="1" si="157"/>
        <v>0</v>
      </c>
      <c r="W76" s="250">
        <f t="shared" ca="1" si="157"/>
        <v>0</v>
      </c>
      <c r="X76" s="250">
        <f t="shared" ca="1" si="157"/>
        <v>0</v>
      </c>
      <c r="Y76" s="250">
        <f t="shared" ca="1" si="157"/>
        <v>0</v>
      </c>
      <c r="Z76" s="250">
        <f t="shared" ca="1" si="157"/>
        <v>0</v>
      </c>
      <c r="AA76" s="250">
        <f t="shared" ca="1" si="157"/>
        <v>0</v>
      </c>
      <c r="AB76" s="250">
        <f t="shared" ca="1" si="157"/>
        <v>0</v>
      </c>
      <c r="AC76" s="250">
        <f t="shared" ca="1" si="157"/>
        <v>0</v>
      </c>
      <c r="AD76" s="250">
        <f t="shared" ca="1" si="157"/>
        <v>0</v>
      </c>
      <c r="AE76" s="250">
        <f t="shared" ca="1" si="157"/>
        <v>0</v>
      </c>
      <c r="AF76" s="250">
        <f t="shared" ca="1" si="157"/>
        <v>0</v>
      </c>
      <c r="AG76" s="250"/>
      <c r="AH76" s="250"/>
      <c r="AI76" s="250"/>
      <c r="AJ76" s="250"/>
    </row>
    <row r="77" spans="1:36" x14ac:dyDescent="0.25">
      <c r="A77" s="108">
        <v>3000</v>
      </c>
      <c r="B77" s="109" t="s">
        <v>31</v>
      </c>
      <c r="C77" s="155" t="s">
        <v>50</v>
      </c>
      <c r="D77" s="116" t="s">
        <v>33</v>
      </c>
      <c r="E77" s="103" t="s">
        <v>49</v>
      </c>
      <c r="F77" s="42" t="s">
        <v>48</v>
      </c>
      <c r="G77" s="98" t="s">
        <v>57</v>
      </c>
      <c r="H77" s="14"/>
      <c r="I77" s="107">
        <f>France!J32</f>
        <v>370</v>
      </c>
      <c r="J77" s="107">
        <f>France!K32</f>
        <v>170</v>
      </c>
      <c r="K77" s="107">
        <f>France!L32</f>
        <v>110</v>
      </c>
      <c r="L77" s="107">
        <f>France!M32</f>
        <v>110</v>
      </c>
      <c r="M77" s="107">
        <f>France!N32</f>
        <v>150</v>
      </c>
      <c r="N77" s="107">
        <f>France!O32</f>
        <v>180</v>
      </c>
      <c r="O77" s="107">
        <f>France!P32</f>
        <v>80</v>
      </c>
      <c r="P77" s="107">
        <f>France!Q32</f>
        <v>120</v>
      </c>
      <c r="Q77" s="107">
        <f>France!R32</f>
        <v>20</v>
      </c>
      <c r="R77" s="107">
        <f>France!S32</f>
        <v>20</v>
      </c>
      <c r="S77" s="107">
        <f>France!T32</f>
        <v>50</v>
      </c>
      <c r="T77" s="107">
        <f>France!U32</f>
        <v>120</v>
      </c>
      <c r="U77" s="107">
        <f>France!V32</f>
        <v>150</v>
      </c>
      <c r="V77" s="107">
        <f>France!W32</f>
        <v>140</v>
      </c>
      <c r="W77" s="107">
        <f>France!X32</f>
        <v>160</v>
      </c>
      <c r="X77" s="107">
        <f>France!Y32</f>
        <v>30</v>
      </c>
      <c r="Y77" s="107">
        <f>France!Z32</f>
        <v>30</v>
      </c>
      <c r="Z77" s="107">
        <f>France!AA32</f>
        <v>0</v>
      </c>
      <c r="AA77" s="107">
        <f>France!AB32</f>
        <v>110</v>
      </c>
      <c r="AB77" s="107">
        <f>France!AC32</f>
        <v>80</v>
      </c>
      <c r="AC77" s="107">
        <f>France!AD32</f>
        <v>180</v>
      </c>
      <c r="AD77" s="107">
        <f>France!AE32</f>
        <v>170</v>
      </c>
      <c r="AE77" s="107">
        <f>France!AF32</f>
        <v>20</v>
      </c>
      <c r="AF77" s="107">
        <f>France!AG32</f>
        <v>30</v>
      </c>
      <c r="AG77" s="251"/>
      <c r="AH77" s="251"/>
      <c r="AI77" s="251"/>
      <c r="AJ77" s="251"/>
    </row>
    <row r="78" spans="1:36" x14ac:dyDescent="0.25">
      <c r="A78" s="108">
        <v>3000</v>
      </c>
      <c r="B78" s="109" t="s">
        <v>31</v>
      </c>
      <c r="C78" s="155" t="s">
        <v>49</v>
      </c>
      <c r="D78" s="42" t="s">
        <v>48</v>
      </c>
      <c r="E78" s="103" t="s">
        <v>50</v>
      </c>
      <c r="F78" s="116" t="s">
        <v>33</v>
      </c>
      <c r="G78" s="99" t="s">
        <v>54</v>
      </c>
      <c r="H78" s="14"/>
      <c r="I78" s="15">
        <f>MJ_Initialisation!D24</f>
        <v>370</v>
      </c>
      <c r="J78" s="15">
        <f>MJ_Initialisation!E24</f>
        <v>170</v>
      </c>
      <c r="K78" s="15">
        <f>MJ_Initialisation!F24</f>
        <v>110</v>
      </c>
      <c r="L78" s="15">
        <f>MJ_Initialisation!G24</f>
        <v>110</v>
      </c>
      <c r="M78" s="15">
        <f>MJ_Initialisation!H24</f>
        <v>150</v>
      </c>
      <c r="N78" s="15">
        <f>MJ_Initialisation!I24</f>
        <v>180</v>
      </c>
      <c r="O78" s="15">
        <f>MJ_Initialisation!J24</f>
        <v>80</v>
      </c>
      <c r="P78" s="15">
        <f>MJ_Initialisation!K24</f>
        <v>120</v>
      </c>
      <c r="Q78" s="15">
        <f>MJ_Initialisation!L24</f>
        <v>20</v>
      </c>
      <c r="R78" s="15">
        <f>MJ_Initialisation!M24</f>
        <v>20</v>
      </c>
      <c r="S78" s="15">
        <f>MJ_Initialisation!N24</f>
        <v>50</v>
      </c>
      <c r="T78" s="15">
        <f>MJ_Initialisation!O24</f>
        <v>120</v>
      </c>
      <c r="U78" s="15">
        <f>MJ_Initialisation!P24</f>
        <v>150</v>
      </c>
      <c r="V78" s="15">
        <f>MJ_Initialisation!Q24</f>
        <v>140</v>
      </c>
      <c r="W78" s="15">
        <f>MJ_Initialisation!R24</f>
        <v>160</v>
      </c>
      <c r="X78" s="15">
        <f>MJ_Initialisation!S24</f>
        <v>30</v>
      </c>
      <c r="Y78" s="15">
        <f>MJ_Initialisation!T24</f>
        <v>30</v>
      </c>
      <c r="Z78" s="15">
        <f>MJ_Initialisation!U24</f>
        <v>0</v>
      </c>
      <c r="AA78" s="15">
        <f>MJ_Initialisation!V24</f>
        <v>110</v>
      </c>
      <c r="AB78" s="15">
        <f>MJ_Initialisation!W24</f>
        <v>80</v>
      </c>
      <c r="AC78" s="15">
        <f>MJ_Initialisation!X24</f>
        <v>180</v>
      </c>
      <c r="AD78" s="15">
        <f>MJ_Initialisation!Y24</f>
        <v>170</v>
      </c>
      <c r="AE78" s="15">
        <f>MJ_Initialisation!Z24</f>
        <v>20</v>
      </c>
      <c r="AF78" s="15">
        <f>MJ_Initialisation!AA24</f>
        <v>30</v>
      </c>
      <c r="AG78" s="228"/>
      <c r="AH78" s="228"/>
      <c r="AI78" s="228"/>
      <c r="AJ78" s="228"/>
    </row>
    <row r="79" spans="1:36" x14ac:dyDescent="0.25">
      <c r="A79" s="108">
        <v>3000</v>
      </c>
      <c r="B79" s="109" t="s">
        <v>31</v>
      </c>
      <c r="C79" s="155" t="s">
        <v>49</v>
      </c>
      <c r="D79" s="42" t="s">
        <v>48</v>
      </c>
      <c r="E79" s="103" t="s">
        <v>50</v>
      </c>
      <c r="F79" s="116" t="s">
        <v>33</v>
      </c>
      <c r="G79" s="105" t="s">
        <v>55</v>
      </c>
      <c r="H79" s="14"/>
      <c r="I79" s="15">
        <f>MJ_Initialisation!D25</f>
        <v>0</v>
      </c>
      <c r="J79" s="15">
        <f>MJ_Initialisation!E25</f>
        <v>0</v>
      </c>
      <c r="K79" s="15">
        <f>MJ_Initialisation!F25</f>
        <v>0</v>
      </c>
      <c r="L79" s="15">
        <f>MJ_Initialisation!G25</f>
        <v>0</v>
      </c>
      <c r="M79" s="15">
        <f>MJ_Initialisation!H25</f>
        <v>0</v>
      </c>
      <c r="N79" s="15">
        <f>MJ_Initialisation!I25</f>
        <v>0</v>
      </c>
      <c r="O79" s="15">
        <f>MJ_Initialisation!J25</f>
        <v>0</v>
      </c>
      <c r="P79" s="15">
        <f>MJ_Initialisation!K25</f>
        <v>0</v>
      </c>
      <c r="Q79" s="15">
        <f>MJ_Initialisation!L25</f>
        <v>0</v>
      </c>
      <c r="R79" s="15">
        <f>MJ_Initialisation!M25</f>
        <v>0</v>
      </c>
      <c r="S79" s="15">
        <f>MJ_Initialisation!N25</f>
        <v>0</v>
      </c>
      <c r="T79" s="15">
        <f>MJ_Initialisation!O25</f>
        <v>0</v>
      </c>
      <c r="U79" s="15">
        <f>MJ_Initialisation!P25</f>
        <v>0</v>
      </c>
      <c r="V79" s="15">
        <f>MJ_Initialisation!Q25</f>
        <v>0</v>
      </c>
      <c r="W79" s="15">
        <f>MJ_Initialisation!R25</f>
        <v>0</v>
      </c>
      <c r="X79" s="15">
        <f>MJ_Initialisation!S25</f>
        <v>0</v>
      </c>
      <c r="Y79" s="15">
        <f>MJ_Initialisation!T25</f>
        <v>0</v>
      </c>
      <c r="Z79" s="15">
        <f>MJ_Initialisation!U25</f>
        <v>0</v>
      </c>
      <c r="AA79" s="15">
        <f>MJ_Initialisation!V25</f>
        <v>0</v>
      </c>
      <c r="AB79" s="15">
        <f>MJ_Initialisation!W25</f>
        <v>0</v>
      </c>
      <c r="AC79" s="15">
        <f>MJ_Initialisation!X25</f>
        <v>0</v>
      </c>
      <c r="AD79" s="15">
        <f>MJ_Initialisation!Y25</f>
        <v>0</v>
      </c>
      <c r="AE79" s="15">
        <f>MJ_Initialisation!Z25</f>
        <v>0</v>
      </c>
      <c r="AF79" s="15">
        <f>MJ_Initialisation!AA25</f>
        <v>0</v>
      </c>
      <c r="AG79" s="228"/>
      <c r="AH79" s="228"/>
      <c r="AI79" s="228"/>
      <c r="AJ79" s="228"/>
    </row>
    <row r="80" spans="1:36" x14ac:dyDescent="0.25">
      <c r="A80" s="108">
        <v>3000</v>
      </c>
      <c r="B80" s="109" t="s">
        <v>31</v>
      </c>
      <c r="C80" s="155" t="s">
        <v>49</v>
      </c>
      <c r="D80" s="42" t="s">
        <v>48</v>
      </c>
      <c r="E80" s="103" t="s">
        <v>50</v>
      </c>
      <c r="F80" s="116" t="s">
        <v>33</v>
      </c>
      <c r="G80" s="106" t="s">
        <v>56</v>
      </c>
      <c r="H80" s="14"/>
      <c r="I80" s="246">
        <f>I78</f>
        <v>370</v>
      </c>
      <c r="J80" s="246">
        <f>J78</f>
        <v>170</v>
      </c>
      <c r="K80" s="246">
        <f ca="1">IF(K79=0,IF(K$72&gt;0,MAX(ROUND((((K77+J81)/K$72)*K$75),0),0),0),K79)</f>
        <v>110</v>
      </c>
      <c r="L80" s="246">
        <f t="shared" ref="L80:AF80" ca="1" si="158">IF(L79=0,IF(L$72&gt;0,MAX(ROUND((((L77+K81)/L$72)*L$75),0),0),0),L79)</f>
        <v>110</v>
      </c>
      <c r="M80" s="246">
        <f t="shared" ca="1" si="158"/>
        <v>150</v>
      </c>
      <c r="N80" s="246">
        <f t="shared" ca="1" si="158"/>
        <v>180</v>
      </c>
      <c r="O80" s="246">
        <f t="shared" ca="1" si="158"/>
        <v>80</v>
      </c>
      <c r="P80" s="246">
        <f t="shared" ca="1" si="158"/>
        <v>120</v>
      </c>
      <c r="Q80" s="246">
        <f t="shared" ca="1" si="158"/>
        <v>20</v>
      </c>
      <c r="R80" s="246">
        <f t="shared" ca="1" si="158"/>
        <v>20</v>
      </c>
      <c r="S80" s="246">
        <f t="shared" ca="1" si="158"/>
        <v>50</v>
      </c>
      <c r="T80" s="246">
        <f t="shared" ca="1" si="158"/>
        <v>120</v>
      </c>
      <c r="U80" s="246">
        <f t="shared" ca="1" si="158"/>
        <v>150</v>
      </c>
      <c r="V80" s="246">
        <f t="shared" ca="1" si="158"/>
        <v>140</v>
      </c>
      <c r="W80" s="246">
        <f t="shared" ca="1" si="158"/>
        <v>160</v>
      </c>
      <c r="X80" s="246">
        <f t="shared" ca="1" si="158"/>
        <v>30</v>
      </c>
      <c r="Y80" s="246">
        <f t="shared" ca="1" si="158"/>
        <v>30</v>
      </c>
      <c r="Z80" s="246">
        <f t="shared" ca="1" si="158"/>
        <v>0</v>
      </c>
      <c r="AA80" s="246">
        <f t="shared" ca="1" si="158"/>
        <v>110</v>
      </c>
      <c r="AB80" s="246">
        <f t="shared" ca="1" si="158"/>
        <v>80</v>
      </c>
      <c r="AC80" s="246">
        <f t="shared" ca="1" si="158"/>
        <v>180</v>
      </c>
      <c r="AD80" s="246">
        <f t="shared" ca="1" si="158"/>
        <v>170</v>
      </c>
      <c r="AE80" s="246">
        <f t="shared" ca="1" si="158"/>
        <v>20</v>
      </c>
      <c r="AF80" s="246">
        <f t="shared" ca="1" si="158"/>
        <v>30</v>
      </c>
      <c r="AG80" s="246"/>
      <c r="AH80" s="246"/>
      <c r="AI80" s="246"/>
      <c r="AJ80" s="246"/>
    </row>
    <row r="81" spans="1:36" x14ac:dyDescent="0.25">
      <c r="A81" s="108">
        <v>3000</v>
      </c>
      <c r="B81" s="109" t="s">
        <v>31</v>
      </c>
      <c r="C81" s="155" t="s">
        <v>49</v>
      </c>
      <c r="D81" s="42" t="s">
        <v>48</v>
      </c>
      <c r="E81" s="103" t="s">
        <v>50</v>
      </c>
      <c r="F81" s="116" t="s">
        <v>33</v>
      </c>
      <c r="G81" s="100" t="s">
        <v>60</v>
      </c>
      <c r="H81" s="14"/>
      <c r="I81" s="87">
        <f>I77+H81-I80</f>
        <v>0</v>
      </c>
      <c r="J81" s="87">
        <f t="shared" ref="J81:AF81" si="159">J77+I81-J80</f>
        <v>0</v>
      </c>
      <c r="K81" s="87">
        <f t="shared" ca="1" si="159"/>
        <v>0</v>
      </c>
      <c r="L81" s="87">
        <f t="shared" ca="1" si="159"/>
        <v>0</v>
      </c>
      <c r="M81" s="87">
        <f t="shared" ca="1" si="159"/>
        <v>0</v>
      </c>
      <c r="N81" s="87">
        <f t="shared" ca="1" si="159"/>
        <v>0</v>
      </c>
      <c r="O81" s="87">
        <f t="shared" ca="1" si="159"/>
        <v>0</v>
      </c>
      <c r="P81" s="87">
        <f t="shared" ca="1" si="159"/>
        <v>0</v>
      </c>
      <c r="Q81" s="87">
        <f t="shared" ca="1" si="159"/>
        <v>0</v>
      </c>
      <c r="R81" s="87">
        <f t="shared" ca="1" si="159"/>
        <v>0</v>
      </c>
      <c r="S81" s="87">
        <f t="shared" ca="1" si="159"/>
        <v>0</v>
      </c>
      <c r="T81" s="87">
        <f t="shared" ca="1" si="159"/>
        <v>0</v>
      </c>
      <c r="U81" s="87">
        <f t="shared" ca="1" si="159"/>
        <v>0</v>
      </c>
      <c r="V81" s="87">
        <f t="shared" ca="1" si="159"/>
        <v>0</v>
      </c>
      <c r="W81" s="87">
        <f t="shared" ca="1" si="159"/>
        <v>0</v>
      </c>
      <c r="X81" s="87">
        <f t="shared" ca="1" si="159"/>
        <v>0</v>
      </c>
      <c r="Y81" s="87">
        <f t="shared" ca="1" si="159"/>
        <v>0</v>
      </c>
      <c r="Z81" s="87">
        <f t="shared" ca="1" si="159"/>
        <v>0</v>
      </c>
      <c r="AA81" s="87">
        <f t="shared" ca="1" si="159"/>
        <v>0</v>
      </c>
      <c r="AB81" s="87">
        <f t="shared" ca="1" si="159"/>
        <v>0</v>
      </c>
      <c r="AC81" s="87">
        <f t="shared" ca="1" si="159"/>
        <v>0</v>
      </c>
      <c r="AD81" s="87">
        <f t="shared" ca="1" si="159"/>
        <v>0</v>
      </c>
      <c r="AE81" s="87">
        <f t="shared" ca="1" si="159"/>
        <v>0</v>
      </c>
      <c r="AF81" s="87">
        <f t="shared" ca="1" si="159"/>
        <v>0</v>
      </c>
      <c r="AG81" s="246"/>
      <c r="AH81" s="246"/>
      <c r="AI81" s="246"/>
      <c r="AJ81" s="246"/>
    </row>
    <row r="82" spans="1:36" x14ac:dyDescent="0.25">
      <c r="A82" s="108">
        <v>3000</v>
      </c>
      <c r="B82" s="109" t="s">
        <v>31</v>
      </c>
      <c r="C82" s="103" t="s">
        <v>52</v>
      </c>
      <c r="D82" s="118" t="s">
        <v>36</v>
      </c>
      <c r="E82" s="103" t="s">
        <v>49</v>
      </c>
      <c r="F82" s="42" t="s">
        <v>48</v>
      </c>
      <c r="G82" s="98" t="s">
        <v>57</v>
      </c>
      <c r="H82" s="14"/>
      <c r="I82" s="15">
        <f ca="1">OFFSET(Chili!J22,0,2)</f>
        <v>150</v>
      </c>
      <c r="J82" s="15">
        <f ca="1">OFFSET(Chili!K22,0,2)</f>
        <v>150</v>
      </c>
      <c r="K82" s="15">
        <f ca="1">OFFSET(Chili!L22,0,2)</f>
        <v>200</v>
      </c>
      <c r="L82" s="15">
        <f ca="1">OFFSET(Chili!M22,0,2)</f>
        <v>100</v>
      </c>
      <c r="M82" s="15">
        <f ca="1">OFFSET(Chili!N22,0,2)</f>
        <v>150</v>
      </c>
      <c r="N82" s="15">
        <f ca="1">OFFSET(Chili!O22,0,2)</f>
        <v>150</v>
      </c>
      <c r="O82" s="15">
        <f ca="1">OFFSET(Chili!P22,0,2)</f>
        <v>300</v>
      </c>
      <c r="P82" s="15">
        <f ca="1">OFFSET(Chili!Q22,0,2)</f>
        <v>150</v>
      </c>
      <c r="Q82" s="15">
        <f ca="1">OFFSET(Chili!R22,0,2)</f>
        <v>150</v>
      </c>
      <c r="R82" s="15">
        <f ca="1">OFFSET(Chili!S22,0,2)</f>
        <v>100</v>
      </c>
      <c r="S82" s="15">
        <f ca="1">OFFSET(Chili!T22,0,2)</f>
        <v>50</v>
      </c>
      <c r="T82" s="15">
        <f ca="1">OFFSET(Chili!U22,0,2)</f>
        <v>100</v>
      </c>
      <c r="U82" s="15">
        <f ca="1">OFFSET(Chili!V22,0,2)</f>
        <v>150</v>
      </c>
      <c r="V82" s="15">
        <f ca="1">OFFSET(Chili!W22,0,2)</f>
        <v>150</v>
      </c>
      <c r="W82" s="15">
        <f ca="1">OFFSET(Chili!X22,0,2)</f>
        <v>100</v>
      </c>
      <c r="X82" s="15">
        <f ca="1">OFFSET(Chili!Y22,0,2)</f>
        <v>50</v>
      </c>
      <c r="Y82" s="15">
        <f ca="1">OFFSET(Chili!Z22,0,2)</f>
        <v>250</v>
      </c>
      <c r="Z82" s="15">
        <f ca="1">OFFSET(Chili!AA22,0,2)</f>
        <v>150</v>
      </c>
      <c r="AA82" s="15">
        <f ca="1">OFFSET(Chili!AB22,0,2)</f>
        <v>250</v>
      </c>
      <c r="AB82" s="15">
        <f ca="1">OFFSET(Chili!AC22,0,2)</f>
        <v>200</v>
      </c>
      <c r="AC82" s="15">
        <f ca="1">OFFSET(Chili!AD22,0,2)</f>
        <v>100</v>
      </c>
      <c r="AD82" s="15">
        <f ca="1">OFFSET(Chili!AE22,0,2)</f>
        <v>50</v>
      </c>
      <c r="AE82" s="15">
        <f ca="1">OFFSET(Chili!AF22,0,2)</f>
        <v>0</v>
      </c>
      <c r="AF82" s="15">
        <f ca="1">OFFSET(Chili!AG22,0,2)</f>
        <v>0</v>
      </c>
      <c r="AG82" s="228"/>
      <c r="AH82" s="228"/>
      <c r="AI82" s="228"/>
      <c r="AJ82" s="228"/>
    </row>
    <row r="83" spans="1:36" x14ac:dyDescent="0.25">
      <c r="A83" s="108">
        <v>3000</v>
      </c>
      <c r="B83" s="109" t="s">
        <v>31</v>
      </c>
      <c r="C83" s="155" t="s">
        <v>49</v>
      </c>
      <c r="D83" s="42" t="s">
        <v>48</v>
      </c>
      <c r="E83" s="103" t="s">
        <v>52</v>
      </c>
      <c r="F83" s="118" t="s">
        <v>36</v>
      </c>
      <c r="G83" s="99" t="s">
        <v>54</v>
      </c>
      <c r="H83" s="14"/>
      <c r="I83" s="15">
        <f ca="1">OFFSET(MJ_Initialisation!D34,0,2)</f>
        <v>150</v>
      </c>
      <c r="J83" s="15">
        <f ca="1">OFFSET(MJ_Initialisation!E34,0,2)</f>
        <v>150</v>
      </c>
      <c r="K83" s="15">
        <f ca="1">OFFSET(MJ_Initialisation!F34,0,2)</f>
        <v>200</v>
      </c>
      <c r="L83" s="15">
        <f ca="1">OFFSET(MJ_Initialisation!G34,0,2)</f>
        <v>100</v>
      </c>
      <c r="M83" s="15">
        <f ca="1">OFFSET(MJ_Initialisation!H34,0,2)</f>
        <v>150</v>
      </c>
      <c r="N83" s="15">
        <f ca="1">OFFSET(MJ_Initialisation!I34,0,2)</f>
        <v>150</v>
      </c>
      <c r="O83" s="15">
        <f ca="1">OFFSET(MJ_Initialisation!J34,0,2)</f>
        <v>300</v>
      </c>
      <c r="P83" s="15">
        <f ca="1">OFFSET(MJ_Initialisation!K34,0,2)</f>
        <v>150</v>
      </c>
      <c r="Q83" s="15">
        <f ca="1">OFFSET(MJ_Initialisation!L34,0,2)</f>
        <v>150</v>
      </c>
      <c r="R83" s="15">
        <f ca="1">OFFSET(MJ_Initialisation!M34,0,2)</f>
        <v>100</v>
      </c>
      <c r="S83" s="15">
        <f ca="1">OFFSET(MJ_Initialisation!N34,0,2)</f>
        <v>50</v>
      </c>
      <c r="T83" s="15">
        <f ca="1">OFFSET(MJ_Initialisation!O34,0,2)</f>
        <v>100</v>
      </c>
      <c r="U83" s="15">
        <f ca="1">OFFSET(MJ_Initialisation!P34,0,2)</f>
        <v>150</v>
      </c>
      <c r="V83" s="15">
        <f ca="1">OFFSET(MJ_Initialisation!Q34,0,2)</f>
        <v>150</v>
      </c>
      <c r="W83" s="15">
        <f ca="1">OFFSET(MJ_Initialisation!R34,0,2)</f>
        <v>100</v>
      </c>
      <c r="X83" s="15">
        <f ca="1">OFFSET(MJ_Initialisation!S34,0,2)</f>
        <v>50</v>
      </c>
      <c r="Y83" s="15">
        <f ca="1">OFFSET(MJ_Initialisation!T34,0,2)</f>
        <v>250</v>
      </c>
      <c r="Z83" s="15">
        <f ca="1">OFFSET(MJ_Initialisation!U34,0,2)</f>
        <v>150</v>
      </c>
      <c r="AA83" s="15">
        <f ca="1">OFFSET(MJ_Initialisation!V34,0,2)</f>
        <v>250</v>
      </c>
      <c r="AB83" s="15">
        <f ca="1">OFFSET(MJ_Initialisation!W34,0,2)</f>
        <v>200</v>
      </c>
      <c r="AC83" s="15">
        <f ca="1">OFFSET(MJ_Initialisation!X34,0,2)</f>
        <v>100</v>
      </c>
      <c r="AD83" s="15">
        <f ca="1">OFFSET(MJ_Initialisation!Y34,0,2)</f>
        <v>50</v>
      </c>
      <c r="AE83" s="15">
        <f ca="1">OFFSET(MJ_Initialisation!Z34,0,2)</f>
        <v>0</v>
      </c>
      <c r="AF83" s="15">
        <f ca="1">OFFSET(MJ_Initialisation!AA34,0,2)</f>
        <v>0</v>
      </c>
      <c r="AG83" s="228"/>
      <c r="AH83" s="228"/>
      <c r="AI83" s="228"/>
      <c r="AJ83" s="228"/>
    </row>
    <row r="84" spans="1:36" x14ac:dyDescent="0.25">
      <c r="A84" s="108">
        <v>3000</v>
      </c>
      <c r="B84" s="109" t="s">
        <v>31</v>
      </c>
      <c r="C84" s="155" t="s">
        <v>49</v>
      </c>
      <c r="D84" s="42" t="s">
        <v>48</v>
      </c>
      <c r="E84" s="103" t="s">
        <v>52</v>
      </c>
      <c r="F84" s="118" t="s">
        <v>36</v>
      </c>
      <c r="G84" s="105" t="s">
        <v>55</v>
      </c>
      <c r="H84" s="14"/>
      <c r="I84" s="15">
        <f ca="1">OFFSET(MJ_Initialisation!D35,0,2)</f>
        <v>0</v>
      </c>
      <c r="J84" s="15">
        <f ca="1">OFFSET(MJ_Initialisation!E35,0,2)</f>
        <v>0</v>
      </c>
      <c r="K84" s="15">
        <f ca="1">OFFSET(MJ_Initialisation!F35,0,2)</f>
        <v>0</v>
      </c>
      <c r="L84" s="15">
        <f ca="1">OFFSET(MJ_Initialisation!G35,0,2)</f>
        <v>0</v>
      </c>
      <c r="M84" s="15">
        <f ca="1">OFFSET(MJ_Initialisation!H35,0,2)</f>
        <v>0</v>
      </c>
      <c r="N84" s="15">
        <f ca="1">OFFSET(MJ_Initialisation!I35,0,2)</f>
        <v>0</v>
      </c>
      <c r="O84" s="15">
        <f ca="1">OFFSET(MJ_Initialisation!J35,0,2)</f>
        <v>0</v>
      </c>
      <c r="P84" s="15">
        <f ca="1">OFFSET(MJ_Initialisation!K35,0,2)</f>
        <v>0</v>
      </c>
      <c r="Q84" s="15">
        <f ca="1">OFFSET(MJ_Initialisation!L35,0,2)</f>
        <v>0</v>
      </c>
      <c r="R84" s="15">
        <f ca="1">OFFSET(MJ_Initialisation!M35,0,2)</f>
        <v>0</v>
      </c>
      <c r="S84" s="15">
        <f ca="1">OFFSET(MJ_Initialisation!N35,0,2)</f>
        <v>0</v>
      </c>
      <c r="T84" s="15">
        <f ca="1">OFFSET(MJ_Initialisation!O35,0,2)</f>
        <v>0</v>
      </c>
      <c r="U84" s="15">
        <f ca="1">OFFSET(MJ_Initialisation!P35,0,2)</f>
        <v>0</v>
      </c>
      <c r="V84" s="15">
        <f ca="1">OFFSET(MJ_Initialisation!Q35,0,2)</f>
        <v>0</v>
      </c>
      <c r="W84" s="15">
        <f ca="1">OFFSET(MJ_Initialisation!R35,0,2)</f>
        <v>0</v>
      </c>
      <c r="X84" s="15">
        <f ca="1">OFFSET(MJ_Initialisation!S35,0,2)</f>
        <v>0</v>
      </c>
      <c r="Y84" s="15">
        <f ca="1">OFFSET(MJ_Initialisation!T35,0,2)</f>
        <v>0</v>
      </c>
      <c r="Z84" s="15">
        <f ca="1">OFFSET(MJ_Initialisation!U35,0,2)</f>
        <v>0</v>
      </c>
      <c r="AA84" s="15">
        <f ca="1">OFFSET(MJ_Initialisation!V35,0,2)</f>
        <v>0</v>
      </c>
      <c r="AB84" s="15">
        <f ca="1">OFFSET(MJ_Initialisation!W35,0,2)</f>
        <v>0</v>
      </c>
      <c r="AC84" s="15">
        <f ca="1">OFFSET(MJ_Initialisation!X35,0,2)</f>
        <v>0</v>
      </c>
      <c r="AD84" s="15">
        <f ca="1">OFFSET(MJ_Initialisation!Y35,0,2)</f>
        <v>0</v>
      </c>
      <c r="AE84" s="15">
        <f ca="1">OFFSET(MJ_Initialisation!Z35,0,2)</f>
        <v>0</v>
      </c>
      <c r="AF84" s="15">
        <f ca="1">OFFSET(MJ_Initialisation!AA35,0,2)</f>
        <v>0</v>
      </c>
      <c r="AG84" s="228"/>
      <c r="AH84" s="228"/>
      <c r="AI84" s="228"/>
      <c r="AJ84" s="228"/>
    </row>
    <row r="85" spans="1:36" x14ac:dyDescent="0.25">
      <c r="A85" s="108">
        <v>3000</v>
      </c>
      <c r="B85" s="109" t="s">
        <v>31</v>
      </c>
      <c r="C85" s="155" t="s">
        <v>49</v>
      </c>
      <c r="D85" s="42" t="s">
        <v>48</v>
      </c>
      <c r="E85" s="103" t="s">
        <v>52</v>
      </c>
      <c r="F85" s="118" t="s">
        <v>36</v>
      </c>
      <c r="G85" s="106" t="s">
        <v>56</v>
      </c>
      <c r="H85" s="14"/>
      <c r="I85" s="246">
        <f ca="1">I83</f>
        <v>150</v>
      </c>
      <c r="J85" s="246">
        <f ca="1">J83</f>
        <v>150</v>
      </c>
      <c r="K85" s="246">
        <f ca="1">IF(K84=0,IF(K$72&gt;0,MAX(ROUND((((K82+J86)/K$72)*K$75),0),0),0),K84)</f>
        <v>200</v>
      </c>
      <c r="L85" s="246">
        <f t="shared" ref="L85" ca="1" si="160">IF(L84=0,IF(L$72&gt;0,MAX(ROUND((((L82+K86)/L$72)*L$75),0),0),0),L84)</f>
        <v>100</v>
      </c>
      <c r="M85" s="246">
        <f t="shared" ref="M85" ca="1" si="161">IF(M84=0,IF(M$72&gt;0,MAX(ROUND((((M82+L86)/M$72)*M$75),0),0),0),M84)</f>
        <v>150</v>
      </c>
      <c r="N85" s="246">
        <f t="shared" ref="N85" ca="1" si="162">IF(N84=0,IF(N$72&gt;0,MAX(ROUND((((N82+M86)/N$72)*N$75),0),0),0),N84)</f>
        <v>150</v>
      </c>
      <c r="O85" s="246">
        <f t="shared" ref="O85" ca="1" si="163">IF(O84=0,IF(O$72&gt;0,MAX(ROUND((((O82+N86)/O$72)*O$75),0),0),0),O84)</f>
        <v>300</v>
      </c>
      <c r="P85" s="246">
        <f t="shared" ref="P85" ca="1" si="164">IF(P84=0,IF(P$72&gt;0,MAX(ROUND((((P82+O86)/P$72)*P$75),0),0),0),P84)</f>
        <v>150</v>
      </c>
      <c r="Q85" s="246">
        <f t="shared" ref="Q85" ca="1" si="165">IF(Q84=0,IF(Q$72&gt;0,MAX(ROUND((((Q82+P86)/Q$72)*Q$75),0),0),0),Q84)</f>
        <v>150</v>
      </c>
      <c r="R85" s="246">
        <f t="shared" ref="R85" ca="1" si="166">IF(R84=0,IF(R$72&gt;0,MAX(ROUND((((R82+Q86)/R$72)*R$75),0),0),0),R84)</f>
        <v>100</v>
      </c>
      <c r="S85" s="246">
        <f t="shared" ref="S85" ca="1" si="167">IF(S84=0,IF(S$72&gt;0,MAX(ROUND((((S82+R86)/S$72)*S$75),0),0),0),S84)</f>
        <v>50</v>
      </c>
      <c r="T85" s="246">
        <f t="shared" ref="T85" ca="1" si="168">IF(T84=0,IF(T$72&gt;0,MAX(ROUND((((T82+S86)/T$72)*T$75),0),0),0),T84)</f>
        <v>100</v>
      </c>
      <c r="U85" s="246">
        <f t="shared" ref="U85" ca="1" si="169">IF(U84=0,IF(U$72&gt;0,MAX(ROUND((((U82+T86)/U$72)*U$75),0),0),0),U84)</f>
        <v>150</v>
      </c>
      <c r="V85" s="246">
        <f t="shared" ref="V85" ca="1" si="170">IF(V84=0,IF(V$72&gt;0,MAX(ROUND((((V82+U86)/V$72)*V$75),0),0),0),V84)</f>
        <v>150</v>
      </c>
      <c r="W85" s="246">
        <f t="shared" ref="W85" ca="1" si="171">IF(W84=0,IF(W$72&gt;0,MAX(ROUND((((W82+V86)/W$72)*W$75),0),0),0),W84)</f>
        <v>100</v>
      </c>
      <c r="X85" s="246">
        <f t="shared" ref="X85" ca="1" si="172">IF(X84=0,IF(X$72&gt;0,MAX(ROUND((((X82+W86)/X$72)*X$75),0),0),0),X84)</f>
        <v>50</v>
      </c>
      <c r="Y85" s="246">
        <f t="shared" ref="Y85" ca="1" si="173">IF(Y84=0,IF(Y$72&gt;0,MAX(ROUND((((Y82+X86)/Y$72)*Y$75),0),0),0),Y84)</f>
        <v>250</v>
      </c>
      <c r="Z85" s="246">
        <f t="shared" ref="Z85" ca="1" si="174">IF(Z84=0,IF(Z$72&gt;0,MAX(ROUND((((Z82+Y86)/Z$72)*Z$75),0),0),0),Z84)</f>
        <v>150</v>
      </c>
      <c r="AA85" s="246">
        <f t="shared" ref="AA85" ca="1" si="175">IF(AA84=0,IF(AA$72&gt;0,MAX(ROUND((((AA82+Z86)/AA$72)*AA$75),0),0),0),AA84)</f>
        <v>250</v>
      </c>
      <c r="AB85" s="246">
        <f t="shared" ref="AB85" ca="1" si="176">IF(AB84=0,IF(AB$72&gt;0,MAX(ROUND((((AB82+AA86)/AB$72)*AB$75),0),0),0),AB84)</f>
        <v>200</v>
      </c>
      <c r="AC85" s="246">
        <f t="shared" ref="AC85" ca="1" si="177">IF(AC84=0,IF(AC$72&gt;0,MAX(ROUND((((AC82+AB86)/AC$72)*AC$75),0),0),0),AC84)</f>
        <v>100</v>
      </c>
      <c r="AD85" s="246">
        <f t="shared" ref="AD85" ca="1" si="178">IF(AD84=0,IF(AD$72&gt;0,MAX(ROUND((((AD82+AC86)/AD$72)*AD$75),0),0),0),AD84)</f>
        <v>50</v>
      </c>
      <c r="AE85" s="246">
        <f t="shared" ref="AE85" ca="1" si="179">IF(AE84=0,IF(AE$72&gt;0,MAX(ROUND((((AE82+AD86)/AE$72)*AE$75),0),0),0),AE84)</f>
        <v>0</v>
      </c>
      <c r="AF85" s="246">
        <f ca="1">IF(AF84=0,IF(AF$72&gt;0,MAX(ROUND((((AF82+AE86)/AF$72)*AF$75),0),0),0),AF84)</f>
        <v>0</v>
      </c>
      <c r="AG85" s="246"/>
      <c r="AH85" s="246"/>
      <c r="AI85" s="246"/>
      <c r="AJ85" s="246"/>
    </row>
    <row r="86" spans="1:36" x14ac:dyDescent="0.25">
      <c r="A86" s="108">
        <v>3000</v>
      </c>
      <c r="B86" s="109" t="s">
        <v>31</v>
      </c>
      <c r="C86" s="155" t="s">
        <v>49</v>
      </c>
      <c r="D86" s="42" t="s">
        <v>48</v>
      </c>
      <c r="E86" s="103" t="s">
        <v>52</v>
      </c>
      <c r="F86" s="118" t="s">
        <v>36</v>
      </c>
      <c r="G86" s="100" t="s">
        <v>60</v>
      </c>
      <c r="H86" s="92"/>
      <c r="I86" s="87">
        <f t="shared" ref="I86:AF86" ca="1" si="180">I82+H86-I85</f>
        <v>0</v>
      </c>
      <c r="J86" s="87">
        <f t="shared" ca="1" si="180"/>
        <v>0</v>
      </c>
      <c r="K86" s="87">
        <f t="shared" ca="1" si="180"/>
        <v>0</v>
      </c>
      <c r="L86" s="87">
        <f t="shared" ca="1" si="180"/>
        <v>0</v>
      </c>
      <c r="M86" s="87">
        <f t="shared" ca="1" si="180"/>
        <v>0</v>
      </c>
      <c r="N86" s="87">
        <f t="shared" ca="1" si="180"/>
        <v>0</v>
      </c>
      <c r="O86" s="87">
        <f t="shared" ca="1" si="180"/>
        <v>0</v>
      </c>
      <c r="P86" s="87">
        <f t="shared" ca="1" si="180"/>
        <v>0</v>
      </c>
      <c r="Q86" s="87">
        <f t="shared" ca="1" si="180"/>
        <v>0</v>
      </c>
      <c r="R86" s="87">
        <f t="shared" ca="1" si="180"/>
        <v>0</v>
      </c>
      <c r="S86" s="87">
        <f t="shared" ca="1" si="180"/>
        <v>0</v>
      </c>
      <c r="T86" s="87">
        <f t="shared" ca="1" si="180"/>
        <v>0</v>
      </c>
      <c r="U86" s="87">
        <f t="shared" ca="1" si="180"/>
        <v>0</v>
      </c>
      <c r="V86" s="87">
        <f t="shared" ca="1" si="180"/>
        <v>0</v>
      </c>
      <c r="W86" s="87">
        <f t="shared" ca="1" si="180"/>
        <v>0</v>
      </c>
      <c r="X86" s="87">
        <f t="shared" ca="1" si="180"/>
        <v>0</v>
      </c>
      <c r="Y86" s="87">
        <f t="shared" ca="1" si="180"/>
        <v>0</v>
      </c>
      <c r="Z86" s="87">
        <f t="shared" ca="1" si="180"/>
        <v>0</v>
      </c>
      <c r="AA86" s="87">
        <f t="shared" ca="1" si="180"/>
        <v>0</v>
      </c>
      <c r="AB86" s="87">
        <f t="shared" ca="1" si="180"/>
        <v>0</v>
      </c>
      <c r="AC86" s="87">
        <f t="shared" ca="1" si="180"/>
        <v>0</v>
      </c>
      <c r="AD86" s="87">
        <f t="shared" ca="1" si="180"/>
        <v>0</v>
      </c>
      <c r="AE86" s="87">
        <f t="shared" ca="1" si="180"/>
        <v>0</v>
      </c>
      <c r="AF86" s="87">
        <f t="shared" ca="1" si="180"/>
        <v>0</v>
      </c>
      <c r="AG86" s="246"/>
      <c r="AH86" s="246"/>
      <c r="AI86" s="246"/>
      <c r="AJ86" s="246"/>
    </row>
    <row r="87" spans="1:36" x14ac:dyDescent="0.25">
      <c r="A87" s="108">
        <v>3000</v>
      </c>
      <c r="B87" s="109" t="s">
        <v>31</v>
      </c>
      <c r="C87" s="103" t="s">
        <v>49</v>
      </c>
      <c r="D87" s="42" t="s">
        <v>48</v>
      </c>
      <c r="E87" s="103" t="s">
        <v>49</v>
      </c>
      <c r="F87" s="42" t="s">
        <v>48</v>
      </c>
      <c r="G87" s="106" t="s">
        <v>58</v>
      </c>
      <c r="H87" s="42"/>
      <c r="I87" s="97">
        <f ca="1">I80+I85</f>
        <v>520</v>
      </c>
      <c r="J87" s="97">
        <f t="shared" ref="J87:AF87" ca="1" si="181">J80+J85</f>
        <v>320</v>
      </c>
      <c r="K87" s="97">
        <f ca="1">K80+K85</f>
        <v>310</v>
      </c>
      <c r="L87" s="97">
        <f ca="1">L80+L85</f>
        <v>210</v>
      </c>
      <c r="M87" s="97">
        <f t="shared" ca="1" si="181"/>
        <v>300</v>
      </c>
      <c r="N87" s="97">
        <f t="shared" ca="1" si="181"/>
        <v>330</v>
      </c>
      <c r="O87" s="97">
        <f t="shared" ca="1" si="181"/>
        <v>380</v>
      </c>
      <c r="P87" s="97">
        <f t="shared" ca="1" si="181"/>
        <v>270</v>
      </c>
      <c r="Q87" s="97">
        <f t="shared" ca="1" si="181"/>
        <v>170</v>
      </c>
      <c r="R87" s="97">
        <f t="shared" ca="1" si="181"/>
        <v>120</v>
      </c>
      <c r="S87" s="97">
        <f t="shared" ca="1" si="181"/>
        <v>100</v>
      </c>
      <c r="T87" s="97">
        <f t="shared" ca="1" si="181"/>
        <v>220</v>
      </c>
      <c r="U87" s="97">
        <f t="shared" ca="1" si="181"/>
        <v>300</v>
      </c>
      <c r="V87" s="97">
        <f t="shared" ca="1" si="181"/>
        <v>290</v>
      </c>
      <c r="W87" s="97">
        <f t="shared" ca="1" si="181"/>
        <v>260</v>
      </c>
      <c r="X87" s="97">
        <f t="shared" ca="1" si="181"/>
        <v>80</v>
      </c>
      <c r="Y87" s="97">
        <f t="shared" ca="1" si="181"/>
        <v>280</v>
      </c>
      <c r="Z87" s="97">
        <f t="shared" ca="1" si="181"/>
        <v>150</v>
      </c>
      <c r="AA87" s="97">
        <f t="shared" ca="1" si="181"/>
        <v>360</v>
      </c>
      <c r="AB87" s="97">
        <f t="shared" ca="1" si="181"/>
        <v>280</v>
      </c>
      <c r="AC87" s="97">
        <f t="shared" ca="1" si="181"/>
        <v>280</v>
      </c>
      <c r="AD87" s="97">
        <f t="shared" ca="1" si="181"/>
        <v>220</v>
      </c>
      <c r="AE87" s="97">
        <f t="shared" ca="1" si="181"/>
        <v>20</v>
      </c>
      <c r="AF87" s="97">
        <f t="shared" ca="1" si="181"/>
        <v>30</v>
      </c>
      <c r="AG87" s="250"/>
      <c r="AH87" s="250"/>
      <c r="AI87" s="250"/>
      <c r="AJ87" s="250"/>
    </row>
    <row r="88" spans="1:36" x14ac:dyDescent="0.25">
      <c r="A88" s="108">
        <v>3000</v>
      </c>
      <c r="B88" s="109" t="s">
        <v>31</v>
      </c>
      <c r="C88" s="103" t="s">
        <v>49</v>
      </c>
      <c r="D88" s="42" t="s">
        <v>48</v>
      </c>
      <c r="E88" s="103" t="s">
        <v>49</v>
      </c>
      <c r="F88" s="42" t="s">
        <v>48</v>
      </c>
      <c r="G88" s="100" t="s">
        <v>37</v>
      </c>
      <c r="H88" s="92"/>
      <c r="I88" s="97">
        <f ca="1">H71+I68+I69-I87</f>
        <v>0</v>
      </c>
      <c r="J88" s="97">
        <f ca="1">I88+J68+J69-J87</f>
        <v>0</v>
      </c>
      <c r="K88" s="97">
        <f ca="1">J88+K68+K69-K87</f>
        <v>0</v>
      </c>
      <c r="L88" s="97">
        <f ca="1">K88+L68+L69-L87</f>
        <v>0</v>
      </c>
      <c r="M88" s="97">
        <f t="shared" ref="M88:AE88" ca="1" si="182">L88+M68+M69-M87</f>
        <v>0</v>
      </c>
      <c r="N88" s="97">
        <f t="shared" ca="1" si="182"/>
        <v>0</v>
      </c>
      <c r="O88" s="97">
        <f t="shared" ca="1" si="182"/>
        <v>0</v>
      </c>
      <c r="P88" s="97">
        <f t="shared" ca="1" si="182"/>
        <v>0</v>
      </c>
      <c r="Q88" s="97">
        <f t="shared" ca="1" si="182"/>
        <v>0</v>
      </c>
      <c r="R88" s="97">
        <f t="shared" ca="1" si="182"/>
        <v>0</v>
      </c>
      <c r="S88" s="97">
        <f t="shared" ca="1" si="182"/>
        <v>0</v>
      </c>
      <c r="T88" s="97">
        <f t="shared" ca="1" si="182"/>
        <v>0</v>
      </c>
      <c r="U88" s="97">
        <f t="shared" ca="1" si="182"/>
        <v>0</v>
      </c>
      <c r="V88" s="97">
        <f t="shared" ca="1" si="182"/>
        <v>0</v>
      </c>
      <c r="W88" s="97">
        <f t="shared" ca="1" si="182"/>
        <v>0</v>
      </c>
      <c r="X88" s="97">
        <f t="shared" ca="1" si="182"/>
        <v>0</v>
      </c>
      <c r="Y88" s="97">
        <f t="shared" ca="1" si="182"/>
        <v>0</v>
      </c>
      <c r="Z88" s="97">
        <f t="shared" ca="1" si="182"/>
        <v>0</v>
      </c>
      <c r="AA88" s="97">
        <f t="shared" ca="1" si="182"/>
        <v>0</v>
      </c>
      <c r="AB88" s="97">
        <f t="shared" ca="1" si="182"/>
        <v>0</v>
      </c>
      <c r="AC88" s="97">
        <f t="shared" ca="1" si="182"/>
        <v>0</v>
      </c>
      <c r="AD88" s="97">
        <f t="shared" ca="1" si="182"/>
        <v>0</v>
      </c>
      <c r="AE88" s="97">
        <f t="shared" ca="1" si="182"/>
        <v>0</v>
      </c>
      <c r="AF88" s="97">
        <f ca="1">AE88+AF68+AF69-AF87</f>
        <v>0</v>
      </c>
      <c r="AG88" s="250"/>
      <c r="AH88" s="250"/>
      <c r="AI88" s="250"/>
      <c r="AJ88" s="250"/>
    </row>
    <row r="89" spans="1:36" x14ac:dyDescent="0.25">
      <c r="A89" s="108">
        <v>3000</v>
      </c>
      <c r="B89" s="109" t="s">
        <v>31</v>
      </c>
      <c r="C89" s="103" t="s">
        <v>49</v>
      </c>
      <c r="D89" s="42" t="s">
        <v>48</v>
      </c>
      <c r="E89" s="103" t="s">
        <v>49</v>
      </c>
      <c r="F89" s="42" t="s">
        <v>48</v>
      </c>
      <c r="G89" s="100" t="s">
        <v>24</v>
      </c>
      <c r="H89" s="42"/>
      <c r="I89" s="39">
        <f>CBN_CDC!I42</f>
        <v>0</v>
      </c>
      <c r="J89" s="39">
        <f>CBN_CDC!J42</f>
        <v>0</v>
      </c>
      <c r="K89" s="39">
        <f>CBN_CDC!K42</f>
        <v>0</v>
      </c>
      <c r="L89" s="39">
        <f>CBN_CDC!L42</f>
        <v>0</v>
      </c>
      <c r="M89" s="39">
        <f>CBN_CDC!M42</f>
        <v>0</v>
      </c>
      <c r="N89" s="39">
        <f>CBN_CDC!N42</f>
        <v>0</v>
      </c>
      <c r="O89" s="39">
        <f>CBN_CDC!O42</f>
        <v>0</v>
      </c>
      <c r="P89" s="39">
        <f>CBN_CDC!P42</f>
        <v>0</v>
      </c>
      <c r="Q89" s="39">
        <f>CBN_CDC!Q42</f>
        <v>0</v>
      </c>
      <c r="R89" s="39">
        <f>CBN_CDC!R42</f>
        <v>0</v>
      </c>
      <c r="S89" s="39">
        <f>CBN_CDC!S42</f>
        <v>0</v>
      </c>
      <c r="T89" s="39">
        <f>CBN_CDC!T42</f>
        <v>0</v>
      </c>
      <c r="U89" s="39">
        <f>CBN_CDC!U42</f>
        <v>0</v>
      </c>
      <c r="V89" s="39">
        <f>CBN_CDC!V42</f>
        <v>0</v>
      </c>
      <c r="W89" s="39">
        <f>CBN_CDC!W42</f>
        <v>0</v>
      </c>
      <c r="X89" s="39">
        <f>CBN_CDC!X42</f>
        <v>0</v>
      </c>
      <c r="Y89" s="39">
        <f>CBN_CDC!Y42</f>
        <v>0</v>
      </c>
      <c r="Z89" s="39">
        <f>CBN_CDC!Z42</f>
        <v>0</v>
      </c>
      <c r="AA89" s="39">
        <f>CBN_CDC!AA42</f>
        <v>0</v>
      </c>
      <c r="AB89" s="39">
        <f>CBN_CDC!AB42</f>
        <v>0</v>
      </c>
      <c r="AC89" s="39">
        <f>CBN_CDC!AC42</f>
        <v>0</v>
      </c>
      <c r="AD89" s="39">
        <f>CBN_CDC!AD42</f>
        <v>0</v>
      </c>
      <c r="AE89" s="39">
        <f>CBN_CDC!AE42</f>
        <v>0</v>
      </c>
      <c r="AF89" s="39">
        <f>CBN_CDC!AF42</f>
        <v>0</v>
      </c>
      <c r="AG89" s="238"/>
      <c r="AH89" s="238"/>
      <c r="AI89" s="238"/>
      <c r="AJ89" s="238"/>
    </row>
    <row r="90" spans="1:36" x14ac:dyDescent="0.25">
      <c r="A90" s="108">
        <v>3000</v>
      </c>
      <c r="B90" s="109" t="s">
        <v>31</v>
      </c>
      <c r="C90" s="103" t="s">
        <v>49</v>
      </c>
      <c r="D90" s="42" t="s">
        <v>48</v>
      </c>
      <c r="E90" s="103" t="s">
        <v>49</v>
      </c>
      <c r="F90" s="42" t="s">
        <v>48</v>
      </c>
      <c r="G90" s="100" t="s">
        <v>60</v>
      </c>
      <c r="H90" s="92"/>
      <c r="I90" s="97">
        <f ca="1">I86+I81</f>
        <v>0</v>
      </c>
      <c r="J90" s="97">
        <f t="shared" ref="J90:AF90" ca="1" si="183">J86+J81</f>
        <v>0</v>
      </c>
      <c r="K90" s="97">
        <f t="shared" ca="1" si="183"/>
        <v>0</v>
      </c>
      <c r="L90" s="97">
        <f t="shared" ca="1" si="183"/>
        <v>0</v>
      </c>
      <c r="M90" s="97">
        <f t="shared" ca="1" si="183"/>
        <v>0</v>
      </c>
      <c r="N90" s="97">
        <f t="shared" ca="1" si="183"/>
        <v>0</v>
      </c>
      <c r="O90" s="97">
        <f t="shared" ca="1" si="183"/>
        <v>0</v>
      </c>
      <c r="P90" s="97">
        <f t="shared" ca="1" si="183"/>
        <v>0</v>
      </c>
      <c r="Q90" s="97">
        <f t="shared" ca="1" si="183"/>
        <v>0</v>
      </c>
      <c r="R90" s="97">
        <f t="shared" ca="1" si="183"/>
        <v>0</v>
      </c>
      <c r="S90" s="97">
        <f t="shared" ca="1" si="183"/>
        <v>0</v>
      </c>
      <c r="T90" s="97">
        <f t="shared" ca="1" si="183"/>
        <v>0</v>
      </c>
      <c r="U90" s="97">
        <f t="shared" ca="1" si="183"/>
        <v>0</v>
      </c>
      <c r="V90" s="97">
        <f t="shared" ca="1" si="183"/>
        <v>0</v>
      </c>
      <c r="W90" s="97">
        <f t="shared" ca="1" si="183"/>
        <v>0</v>
      </c>
      <c r="X90" s="97">
        <f t="shared" ca="1" si="183"/>
        <v>0</v>
      </c>
      <c r="Y90" s="97">
        <f t="shared" ca="1" si="183"/>
        <v>0</v>
      </c>
      <c r="Z90" s="97">
        <f t="shared" ca="1" si="183"/>
        <v>0</v>
      </c>
      <c r="AA90" s="97">
        <f t="shared" ca="1" si="183"/>
        <v>0</v>
      </c>
      <c r="AB90" s="97">
        <f t="shared" ca="1" si="183"/>
        <v>0</v>
      </c>
      <c r="AC90" s="97">
        <f t="shared" ca="1" si="183"/>
        <v>0</v>
      </c>
      <c r="AD90" s="97">
        <f t="shared" ca="1" si="183"/>
        <v>0</v>
      </c>
      <c r="AE90" s="97">
        <f t="shared" ca="1" si="183"/>
        <v>0</v>
      </c>
      <c r="AF90" s="97">
        <f t="shared" ca="1" si="183"/>
        <v>0</v>
      </c>
      <c r="AG90" s="250"/>
      <c r="AH90" s="250"/>
      <c r="AI90" s="250"/>
      <c r="AJ90" s="250"/>
    </row>
    <row r="91" spans="1:36" ht="15.75" thickBot="1" x14ac:dyDescent="0.3">
      <c r="A91" s="11"/>
      <c r="B91" s="57"/>
      <c r="C91" s="154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226"/>
      <c r="AH91" s="226"/>
      <c r="AI91" s="226"/>
      <c r="AJ91" s="226"/>
    </row>
    <row r="92" spans="1:36" ht="15.75" thickBot="1" x14ac:dyDescent="0.3">
      <c r="A92" s="26">
        <v>4000</v>
      </c>
      <c r="B92" s="89" t="s">
        <v>44</v>
      </c>
      <c r="C92" s="155">
        <v>111</v>
      </c>
      <c r="D92" s="42" t="s">
        <v>65</v>
      </c>
      <c r="E92" s="103" t="s">
        <v>49</v>
      </c>
      <c r="F92" s="42" t="s">
        <v>48</v>
      </c>
      <c r="G92" s="98" t="s">
        <v>47</v>
      </c>
      <c r="H92" s="90"/>
      <c r="I92" s="163"/>
      <c r="J92" s="163"/>
      <c r="K92" s="91">
        <f ca="1">Factory!J36</f>
        <v>80</v>
      </c>
      <c r="L92" s="91">
        <f ca="1">Factory!K36</f>
        <v>10</v>
      </c>
      <c r="M92" s="91">
        <f ca="1">Factory!L36</f>
        <v>160</v>
      </c>
      <c r="N92" s="91">
        <f ca="1">Factory!M36</f>
        <v>80</v>
      </c>
      <c r="O92" s="91">
        <f ca="1">Factory!N36</f>
        <v>40</v>
      </c>
      <c r="P92" s="91">
        <f ca="1">Factory!O36</f>
        <v>120</v>
      </c>
      <c r="Q92" s="91">
        <f ca="1">Factory!P36</f>
        <v>170</v>
      </c>
      <c r="R92" s="91">
        <f ca="1">Factory!Q36</f>
        <v>80</v>
      </c>
      <c r="S92" s="91">
        <f ca="1">Factory!R36</f>
        <v>150</v>
      </c>
      <c r="T92" s="91">
        <f ca="1">Factory!S36</f>
        <v>40</v>
      </c>
      <c r="U92" s="91">
        <f ca="1">Factory!T36</f>
        <v>40</v>
      </c>
      <c r="V92" s="91">
        <f ca="1">Factory!U36</f>
        <v>70</v>
      </c>
      <c r="W92" s="91">
        <f ca="1">Factory!V36</f>
        <v>120</v>
      </c>
      <c r="X92" s="91">
        <f ca="1">Factory!W36</f>
        <v>170</v>
      </c>
      <c r="Y92" s="91">
        <f ca="1">Factory!X36</f>
        <v>170</v>
      </c>
      <c r="Z92" s="91">
        <f ca="1">Factory!Y36</f>
        <v>180</v>
      </c>
      <c r="AA92" s="91">
        <f ca="1">Factory!Z36</f>
        <v>10</v>
      </c>
      <c r="AB92" s="91">
        <f ca="1">Factory!AA36</f>
        <v>130</v>
      </c>
      <c r="AC92" s="91">
        <f ca="1">Factory!AB36</f>
        <v>10</v>
      </c>
      <c r="AD92" s="91">
        <f ca="1">Factory!AC36</f>
        <v>190</v>
      </c>
      <c r="AE92" s="91">
        <f ca="1">Factory!AD36</f>
        <v>110</v>
      </c>
      <c r="AF92" s="91">
        <f ca="1">Factory!AE36</f>
        <v>100</v>
      </c>
      <c r="AG92" s="247"/>
      <c r="AH92" s="247"/>
      <c r="AI92" s="247"/>
      <c r="AJ92" s="247"/>
    </row>
    <row r="93" spans="1:36" ht="15.75" thickBot="1" x14ac:dyDescent="0.3">
      <c r="A93" s="26">
        <v>4000</v>
      </c>
      <c r="B93" s="89" t="s">
        <v>44</v>
      </c>
      <c r="C93" s="155">
        <v>111</v>
      </c>
      <c r="D93" s="42" t="s">
        <v>65</v>
      </c>
      <c r="E93" s="103" t="s">
        <v>49</v>
      </c>
      <c r="F93" s="42" t="s">
        <v>48</v>
      </c>
      <c r="G93" s="35" t="s">
        <v>73</v>
      </c>
      <c r="H93" s="31"/>
      <c r="I93" s="36">
        <f>MJ_Initialisation!D50</f>
        <v>360</v>
      </c>
      <c r="J93" s="36">
        <f>MJ_Initialisation!E50</f>
        <v>60</v>
      </c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260"/>
      <c r="AH93" s="260"/>
      <c r="AI93" s="260"/>
      <c r="AJ93" s="260"/>
    </row>
    <row r="94" spans="1:36" ht="15.75" thickBot="1" x14ac:dyDescent="0.3">
      <c r="A94" s="26">
        <v>4000</v>
      </c>
      <c r="B94" s="89" t="s">
        <v>44</v>
      </c>
      <c r="C94" s="155">
        <v>111</v>
      </c>
      <c r="D94" s="42" t="s">
        <v>65</v>
      </c>
      <c r="E94" s="103" t="s">
        <v>49</v>
      </c>
      <c r="F94" s="42" t="s">
        <v>48</v>
      </c>
      <c r="G94" s="106" t="s">
        <v>127</v>
      </c>
      <c r="H94" s="42"/>
      <c r="I94" s="87">
        <f>I92+I93</f>
        <v>360</v>
      </c>
      <c r="J94" s="87">
        <f t="shared" ref="J94" si="184">J92+J93</f>
        <v>60</v>
      </c>
      <c r="K94" s="87">
        <f t="shared" ref="K94" ca="1" si="185">K92+K93</f>
        <v>80</v>
      </c>
      <c r="L94" s="87">
        <f t="shared" ref="L94" ca="1" si="186">L92+L93</f>
        <v>10</v>
      </c>
      <c r="M94" s="87">
        <f t="shared" ref="M94" ca="1" si="187">M92+M93</f>
        <v>160</v>
      </c>
      <c r="N94" s="87">
        <f t="shared" ref="N94" ca="1" si="188">N92+N93</f>
        <v>80</v>
      </c>
      <c r="O94" s="87">
        <f t="shared" ref="O94" ca="1" si="189">O92+O93</f>
        <v>40</v>
      </c>
      <c r="P94" s="87">
        <f t="shared" ref="P94" ca="1" si="190">P92+P93</f>
        <v>120</v>
      </c>
      <c r="Q94" s="87">
        <f t="shared" ref="Q94" ca="1" si="191">Q92+Q93</f>
        <v>170</v>
      </c>
      <c r="R94" s="87">
        <f t="shared" ref="R94" ca="1" si="192">R92+R93</f>
        <v>80</v>
      </c>
      <c r="S94" s="87">
        <f t="shared" ref="S94" ca="1" si="193">S92+S93</f>
        <v>150</v>
      </c>
      <c r="T94" s="87">
        <f t="shared" ref="T94" ca="1" si="194">T92+T93</f>
        <v>40</v>
      </c>
      <c r="U94" s="87">
        <f t="shared" ref="U94" ca="1" si="195">U92+U93</f>
        <v>40</v>
      </c>
      <c r="V94" s="87">
        <f t="shared" ref="V94" ca="1" si="196">V92+V93</f>
        <v>70</v>
      </c>
      <c r="W94" s="87">
        <f t="shared" ref="W94" ca="1" si="197">W92+W93</f>
        <v>120</v>
      </c>
      <c r="X94" s="87">
        <f t="shared" ref="X94" ca="1" si="198">X92+X93</f>
        <v>170</v>
      </c>
      <c r="Y94" s="87">
        <f t="shared" ref="Y94" ca="1" si="199">Y92+Y93</f>
        <v>170</v>
      </c>
      <c r="Z94" s="87">
        <f t="shared" ref="Z94" ca="1" si="200">Z92+Z93</f>
        <v>180</v>
      </c>
      <c r="AA94" s="87">
        <f t="shared" ref="AA94" ca="1" si="201">AA92+AA93</f>
        <v>10</v>
      </c>
      <c r="AB94" s="87">
        <f t="shared" ref="AB94" ca="1" si="202">AB92+AB93</f>
        <v>130</v>
      </c>
      <c r="AC94" s="87">
        <f t="shared" ref="AC94" ca="1" si="203">AC92+AC93</f>
        <v>10</v>
      </c>
      <c r="AD94" s="87">
        <f t="shared" ref="AD94" ca="1" si="204">AD92+AD93</f>
        <v>190</v>
      </c>
      <c r="AE94" s="87">
        <f t="shared" ref="AE94" ca="1" si="205">AE92+AE93</f>
        <v>110</v>
      </c>
      <c r="AF94" s="87">
        <f t="shared" ref="AF94" ca="1" si="206">AF92+AF93</f>
        <v>100</v>
      </c>
      <c r="AG94" s="246"/>
      <c r="AH94" s="246"/>
      <c r="AI94" s="246"/>
      <c r="AJ94" s="246"/>
    </row>
    <row r="95" spans="1:36" ht="15.75" thickBot="1" x14ac:dyDescent="0.3">
      <c r="A95" s="26">
        <v>4000</v>
      </c>
      <c r="B95" s="123" t="s">
        <v>44</v>
      </c>
      <c r="C95" s="103" t="s">
        <v>49</v>
      </c>
      <c r="D95" s="42" t="s">
        <v>48</v>
      </c>
      <c r="E95" s="103" t="s">
        <v>49</v>
      </c>
      <c r="F95" s="42" t="s">
        <v>48</v>
      </c>
      <c r="G95" s="168" t="s">
        <v>120</v>
      </c>
      <c r="H95" s="19">
        <f>CBN_CDC!H50</f>
        <v>0</v>
      </c>
      <c r="I95" s="177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267"/>
      <c r="AH95" s="267"/>
      <c r="AI95" s="267"/>
      <c r="AJ95" s="267"/>
    </row>
    <row r="96" spans="1:36" ht="15.75" thickBot="1" x14ac:dyDescent="0.3">
      <c r="A96" s="26">
        <v>4000</v>
      </c>
      <c r="B96" s="89" t="s">
        <v>44</v>
      </c>
      <c r="C96" s="155" t="s">
        <v>50</v>
      </c>
      <c r="D96" s="116" t="s">
        <v>33</v>
      </c>
      <c r="E96" s="103" t="s">
        <v>49</v>
      </c>
      <c r="F96" s="42" t="s">
        <v>48</v>
      </c>
      <c r="G96" s="98" t="s">
        <v>57</v>
      </c>
      <c r="H96" s="12"/>
      <c r="I96" s="13">
        <f>France!J42</f>
        <v>360</v>
      </c>
      <c r="J96" s="13">
        <f>France!K42</f>
        <v>60</v>
      </c>
      <c r="K96" s="13">
        <f>France!L42</f>
        <v>80</v>
      </c>
      <c r="L96" s="13">
        <f>France!M42</f>
        <v>10</v>
      </c>
      <c r="M96" s="13">
        <f>France!N42</f>
        <v>160</v>
      </c>
      <c r="N96" s="13">
        <f>France!O42</f>
        <v>80</v>
      </c>
      <c r="O96" s="13">
        <f>France!P42</f>
        <v>40</v>
      </c>
      <c r="P96" s="13">
        <f>France!Q42</f>
        <v>120</v>
      </c>
      <c r="Q96" s="13">
        <f>France!R42</f>
        <v>170</v>
      </c>
      <c r="R96" s="13">
        <f>France!S42</f>
        <v>80</v>
      </c>
      <c r="S96" s="13">
        <f>France!T42</f>
        <v>150</v>
      </c>
      <c r="T96" s="13">
        <f>France!U42</f>
        <v>40</v>
      </c>
      <c r="U96" s="13">
        <f>France!V42</f>
        <v>40</v>
      </c>
      <c r="V96" s="13">
        <f>France!W42</f>
        <v>70</v>
      </c>
      <c r="W96" s="13">
        <f>France!X42</f>
        <v>120</v>
      </c>
      <c r="X96" s="13">
        <f>France!Y42</f>
        <v>170</v>
      </c>
      <c r="Y96" s="13">
        <f>France!Z42</f>
        <v>170</v>
      </c>
      <c r="Z96" s="13">
        <f>France!AA42</f>
        <v>180</v>
      </c>
      <c r="AA96" s="13">
        <f>France!AB42</f>
        <v>10</v>
      </c>
      <c r="AB96" s="13">
        <f>France!AC42</f>
        <v>130</v>
      </c>
      <c r="AC96" s="13">
        <f>France!AD42</f>
        <v>10</v>
      </c>
      <c r="AD96" s="13">
        <f>France!AE42</f>
        <v>190</v>
      </c>
      <c r="AE96" s="13">
        <f>France!AF42</f>
        <v>110</v>
      </c>
      <c r="AF96" s="13">
        <f>France!AG42</f>
        <v>100</v>
      </c>
      <c r="AG96" s="227"/>
      <c r="AH96" s="227"/>
      <c r="AI96" s="227"/>
      <c r="AJ96" s="227"/>
    </row>
    <row r="97" spans="1:36" ht="15" customHeight="1" thickBot="1" x14ac:dyDescent="0.3">
      <c r="A97" s="26">
        <v>4000</v>
      </c>
      <c r="B97" s="89" t="s">
        <v>44</v>
      </c>
      <c r="C97" s="155" t="s">
        <v>49</v>
      </c>
      <c r="D97" s="42" t="s">
        <v>48</v>
      </c>
      <c r="E97" s="103" t="s">
        <v>50</v>
      </c>
      <c r="F97" s="116" t="s">
        <v>33</v>
      </c>
      <c r="G97" s="99" t="s">
        <v>54</v>
      </c>
      <c r="H97" s="12"/>
      <c r="I97" s="21">
        <f>MJ_Initialisation!D26</f>
        <v>360</v>
      </c>
      <c r="J97" s="21">
        <f>MJ_Initialisation!E26</f>
        <v>60</v>
      </c>
      <c r="K97" s="21">
        <f>MJ_Initialisation!F26</f>
        <v>80</v>
      </c>
      <c r="L97" s="21">
        <f>MJ_Initialisation!G26</f>
        <v>10</v>
      </c>
      <c r="M97" s="21">
        <f>MJ_Initialisation!H26</f>
        <v>160</v>
      </c>
      <c r="N97" s="21">
        <f>MJ_Initialisation!I26</f>
        <v>80</v>
      </c>
      <c r="O97" s="21">
        <f>MJ_Initialisation!J26</f>
        <v>40</v>
      </c>
      <c r="P97" s="21">
        <f>MJ_Initialisation!K26</f>
        <v>120</v>
      </c>
      <c r="Q97" s="21">
        <f>MJ_Initialisation!L26</f>
        <v>170</v>
      </c>
      <c r="R97" s="21">
        <f>MJ_Initialisation!M26</f>
        <v>80</v>
      </c>
      <c r="S97" s="21">
        <f>MJ_Initialisation!N26</f>
        <v>150</v>
      </c>
      <c r="T97" s="21">
        <f>MJ_Initialisation!O26</f>
        <v>40</v>
      </c>
      <c r="U97" s="21">
        <f>MJ_Initialisation!P26</f>
        <v>40</v>
      </c>
      <c r="V97" s="21">
        <f>MJ_Initialisation!Q26</f>
        <v>70</v>
      </c>
      <c r="W97" s="21">
        <f>MJ_Initialisation!R26</f>
        <v>120</v>
      </c>
      <c r="X97" s="21">
        <f>MJ_Initialisation!S26</f>
        <v>170</v>
      </c>
      <c r="Y97" s="21">
        <f>MJ_Initialisation!T26</f>
        <v>170</v>
      </c>
      <c r="Z97" s="21">
        <f>MJ_Initialisation!U26</f>
        <v>180</v>
      </c>
      <c r="AA97" s="21">
        <f>MJ_Initialisation!V26</f>
        <v>10</v>
      </c>
      <c r="AB97" s="21">
        <f>MJ_Initialisation!W26</f>
        <v>130</v>
      </c>
      <c r="AC97" s="21">
        <f>MJ_Initialisation!X26</f>
        <v>10</v>
      </c>
      <c r="AD97" s="21">
        <f>MJ_Initialisation!Y26</f>
        <v>190</v>
      </c>
      <c r="AE97" s="21">
        <f>MJ_Initialisation!Z26</f>
        <v>110</v>
      </c>
      <c r="AF97" s="21">
        <f>MJ_Initialisation!AA26</f>
        <v>100</v>
      </c>
      <c r="AG97" s="232"/>
      <c r="AH97" s="232"/>
      <c r="AI97" s="232"/>
      <c r="AJ97" s="232"/>
    </row>
    <row r="98" spans="1:36" ht="15.75" thickBot="1" x14ac:dyDescent="0.3">
      <c r="A98" s="26">
        <v>4000</v>
      </c>
      <c r="B98" s="89" t="s">
        <v>44</v>
      </c>
      <c r="C98" s="155" t="s">
        <v>49</v>
      </c>
      <c r="D98" s="42" t="s">
        <v>48</v>
      </c>
      <c r="E98" s="103" t="s">
        <v>50</v>
      </c>
      <c r="F98" s="116" t="s">
        <v>33</v>
      </c>
      <c r="G98" s="105" t="s">
        <v>55</v>
      </c>
      <c r="H98" s="12"/>
      <c r="I98" s="21">
        <f>MJ_Initialisation!D27</f>
        <v>0</v>
      </c>
      <c r="J98" s="21">
        <f>MJ_Initialisation!E27</f>
        <v>0</v>
      </c>
      <c r="K98" s="21">
        <f>MJ_Initialisation!F27</f>
        <v>0</v>
      </c>
      <c r="L98" s="21">
        <f>MJ_Initialisation!G27</f>
        <v>0</v>
      </c>
      <c r="M98" s="21">
        <f>MJ_Initialisation!H27</f>
        <v>0</v>
      </c>
      <c r="N98" s="21">
        <f>MJ_Initialisation!I27</f>
        <v>0</v>
      </c>
      <c r="O98" s="21">
        <f>MJ_Initialisation!J27</f>
        <v>0</v>
      </c>
      <c r="P98" s="21">
        <f>MJ_Initialisation!K27</f>
        <v>0</v>
      </c>
      <c r="Q98" s="21">
        <f>MJ_Initialisation!L27</f>
        <v>0</v>
      </c>
      <c r="R98" s="21">
        <f>MJ_Initialisation!M27</f>
        <v>0</v>
      </c>
      <c r="S98" s="21">
        <f>MJ_Initialisation!N27</f>
        <v>0</v>
      </c>
      <c r="T98" s="21">
        <f>MJ_Initialisation!O27</f>
        <v>0</v>
      </c>
      <c r="U98" s="21">
        <f>MJ_Initialisation!P27</f>
        <v>0</v>
      </c>
      <c r="V98" s="21">
        <f>MJ_Initialisation!Q27</f>
        <v>0</v>
      </c>
      <c r="W98" s="21">
        <f>MJ_Initialisation!R27</f>
        <v>0</v>
      </c>
      <c r="X98" s="21">
        <f>MJ_Initialisation!S27</f>
        <v>0</v>
      </c>
      <c r="Y98" s="21">
        <f>MJ_Initialisation!T27</f>
        <v>0</v>
      </c>
      <c r="Z98" s="21">
        <f>MJ_Initialisation!U27</f>
        <v>0</v>
      </c>
      <c r="AA98" s="21">
        <f>MJ_Initialisation!V27</f>
        <v>0</v>
      </c>
      <c r="AB98" s="21">
        <f>MJ_Initialisation!W27</f>
        <v>0</v>
      </c>
      <c r="AC98" s="21">
        <f>MJ_Initialisation!X27</f>
        <v>0</v>
      </c>
      <c r="AD98" s="21">
        <f>MJ_Initialisation!Y27</f>
        <v>0</v>
      </c>
      <c r="AE98" s="21">
        <f>MJ_Initialisation!Z27</f>
        <v>0</v>
      </c>
      <c r="AF98" s="21">
        <f>MJ_Initialisation!AA27</f>
        <v>0</v>
      </c>
      <c r="AG98" s="232"/>
      <c r="AH98" s="232"/>
      <c r="AI98" s="232"/>
      <c r="AJ98" s="232"/>
    </row>
    <row r="99" spans="1:36" ht="15.75" thickBot="1" x14ac:dyDescent="0.3">
      <c r="A99" s="26">
        <v>4000</v>
      </c>
      <c r="B99" s="89" t="s">
        <v>44</v>
      </c>
      <c r="C99" s="155" t="s">
        <v>49</v>
      </c>
      <c r="D99" s="42" t="s">
        <v>48</v>
      </c>
      <c r="E99" s="103" t="s">
        <v>50</v>
      </c>
      <c r="F99" s="116" t="s">
        <v>33</v>
      </c>
      <c r="G99" s="106" t="s">
        <v>56</v>
      </c>
      <c r="H99" s="42"/>
      <c r="I99" s="97">
        <f>I97</f>
        <v>360</v>
      </c>
      <c r="J99" s="97">
        <f>J97</f>
        <v>60</v>
      </c>
      <c r="K99" s="97">
        <f ca="1">IF(K98=0, MAX(MIN(K96+J100,K92+J101),0),K98)</f>
        <v>80</v>
      </c>
      <c r="L99" s="250">
        <f t="shared" ref="L99:AF99" ca="1" si="207">IF(L98=0, MAX(MIN(L96+K100,L92+K101),0),L98)</f>
        <v>10</v>
      </c>
      <c r="M99" s="250">
        <f t="shared" ca="1" si="207"/>
        <v>160</v>
      </c>
      <c r="N99" s="250">
        <f t="shared" ca="1" si="207"/>
        <v>80</v>
      </c>
      <c r="O99" s="250">
        <f t="shared" ca="1" si="207"/>
        <v>40</v>
      </c>
      <c r="P99" s="250">
        <f t="shared" ca="1" si="207"/>
        <v>120</v>
      </c>
      <c r="Q99" s="250">
        <f t="shared" ca="1" si="207"/>
        <v>170</v>
      </c>
      <c r="R99" s="250">
        <f t="shared" ca="1" si="207"/>
        <v>80</v>
      </c>
      <c r="S99" s="250">
        <f t="shared" ca="1" si="207"/>
        <v>150</v>
      </c>
      <c r="T99" s="250">
        <f t="shared" ca="1" si="207"/>
        <v>40</v>
      </c>
      <c r="U99" s="250">
        <f t="shared" ca="1" si="207"/>
        <v>40</v>
      </c>
      <c r="V99" s="250">
        <f t="shared" ca="1" si="207"/>
        <v>70</v>
      </c>
      <c r="W99" s="250">
        <f t="shared" ca="1" si="207"/>
        <v>120</v>
      </c>
      <c r="X99" s="250">
        <f t="shared" ca="1" si="207"/>
        <v>170</v>
      </c>
      <c r="Y99" s="250">
        <f t="shared" ca="1" si="207"/>
        <v>170</v>
      </c>
      <c r="Z99" s="250">
        <f t="shared" ca="1" si="207"/>
        <v>180</v>
      </c>
      <c r="AA99" s="250">
        <f t="shared" ca="1" si="207"/>
        <v>10</v>
      </c>
      <c r="AB99" s="250">
        <f t="shared" ca="1" si="207"/>
        <v>130</v>
      </c>
      <c r="AC99" s="250">
        <f t="shared" ca="1" si="207"/>
        <v>10</v>
      </c>
      <c r="AD99" s="250">
        <f t="shared" ca="1" si="207"/>
        <v>190</v>
      </c>
      <c r="AE99" s="250">
        <f t="shared" ca="1" si="207"/>
        <v>110</v>
      </c>
      <c r="AF99" s="250">
        <f t="shared" ca="1" si="207"/>
        <v>100</v>
      </c>
      <c r="AG99" s="250"/>
      <c r="AH99" s="250"/>
      <c r="AI99" s="250"/>
      <c r="AJ99" s="250"/>
    </row>
    <row r="100" spans="1:36" ht="15.75" thickBot="1" x14ac:dyDescent="0.3">
      <c r="A100" s="26">
        <v>4000</v>
      </c>
      <c r="B100" s="89" t="s">
        <v>44</v>
      </c>
      <c r="C100" s="155" t="s">
        <v>49</v>
      </c>
      <c r="D100" s="42" t="s">
        <v>48</v>
      </c>
      <c r="E100" s="103" t="s">
        <v>50</v>
      </c>
      <c r="F100" s="116" t="s">
        <v>33</v>
      </c>
      <c r="G100" s="100" t="s">
        <v>60</v>
      </c>
      <c r="H100" s="92"/>
      <c r="I100" s="97">
        <f t="shared" ref="I100:AF100" si="208">I96+H100-I99</f>
        <v>0</v>
      </c>
      <c r="J100" s="97">
        <f>J96+I100-J99</f>
        <v>0</v>
      </c>
      <c r="K100" s="97">
        <f t="shared" ca="1" si="208"/>
        <v>0</v>
      </c>
      <c r="L100" s="97">
        <f t="shared" ca="1" si="208"/>
        <v>0</v>
      </c>
      <c r="M100" s="97">
        <f t="shared" ca="1" si="208"/>
        <v>0</v>
      </c>
      <c r="N100" s="97">
        <f t="shared" ca="1" si="208"/>
        <v>0</v>
      </c>
      <c r="O100" s="97">
        <f t="shared" ca="1" si="208"/>
        <v>0</v>
      </c>
      <c r="P100" s="97">
        <f t="shared" ca="1" si="208"/>
        <v>0</v>
      </c>
      <c r="Q100" s="97">
        <f t="shared" ca="1" si="208"/>
        <v>0</v>
      </c>
      <c r="R100" s="97">
        <f t="shared" ca="1" si="208"/>
        <v>0</v>
      </c>
      <c r="S100" s="97">
        <f t="shared" ca="1" si="208"/>
        <v>0</v>
      </c>
      <c r="T100" s="97">
        <f t="shared" ca="1" si="208"/>
        <v>0</v>
      </c>
      <c r="U100" s="97">
        <f t="shared" ca="1" si="208"/>
        <v>0</v>
      </c>
      <c r="V100" s="97">
        <f t="shared" ca="1" si="208"/>
        <v>0</v>
      </c>
      <c r="W100" s="97">
        <f t="shared" ca="1" si="208"/>
        <v>0</v>
      </c>
      <c r="X100" s="97">
        <f t="shared" ca="1" si="208"/>
        <v>0</v>
      </c>
      <c r="Y100" s="97">
        <f t="shared" ca="1" si="208"/>
        <v>0</v>
      </c>
      <c r="Z100" s="97">
        <f t="shared" ca="1" si="208"/>
        <v>0</v>
      </c>
      <c r="AA100" s="97">
        <f t="shared" ca="1" si="208"/>
        <v>0</v>
      </c>
      <c r="AB100" s="97">
        <f t="shared" ca="1" si="208"/>
        <v>0</v>
      </c>
      <c r="AC100" s="97">
        <f t="shared" ca="1" si="208"/>
        <v>0</v>
      </c>
      <c r="AD100" s="97">
        <f t="shared" ca="1" si="208"/>
        <v>0</v>
      </c>
      <c r="AE100" s="97">
        <f t="shared" ca="1" si="208"/>
        <v>0</v>
      </c>
      <c r="AF100" s="97">
        <f t="shared" ca="1" si="208"/>
        <v>0</v>
      </c>
      <c r="AG100" s="250"/>
      <c r="AH100" s="250"/>
      <c r="AI100" s="250"/>
      <c r="AJ100" s="250"/>
    </row>
    <row r="101" spans="1:36" ht="15.75" thickBot="1" x14ac:dyDescent="0.3">
      <c r="A101" s="26">
        <v>4000</v>
      </c>
      <c r="B101" s="89" t="s">
        <v>44</v>
      </c>
      <c r="C101" s="103" t="s">
        <v>49</v>
      </c>
      <c r="D101" s="42" t="s">
        <v>48</v>
      </c>
      <c r="E101" s="103" t="s">
        <v>49</v>
      </c>
      <c r="F101" s="42" t="s">
        <v>48</v>
      </c>
      <c r="G101" s="100" t="s">
        <v>37</v>
      </c>
      <c r="H101" s="92"/>
      <c r="I101" s="97">
        <f>H95+I92+I93-I99</f>
        <v>0</v>
      </c>
      <c r="J101" s="97">
        <f t="shared" ref="J101:AF101" si="209">I101+J92+J93-J99</f>
        <v>0</v>
      </c>
      <c r="K101" s="97">
        <f t="shared" ca="1" si="209"/>
        <v>0</v>
      </c>
      <c r="L101" s="97">
        <f t="shared" ca="1" si="209"/>
        <v>0</v>
      </c>
      <c r="M101" s="97">
        <f t="shared" ca="1" si="209"/>
        <v>0</v>
      </c>
      <c r="N101" s="97">
        <f t="shared" ca="1" si="209"/>
        <v>0</v>
      </c>
      <c r="O101" s="97">
        <f t="shared" ca="1" si="209"/>
        <v>0</v>
      </c>
      <c r="P101" s="97">
        <f t="shared" ca="1" si="209"/>
        <v>0</v>
      </c>
      <c r="Q101" s="97">
        <f t="shared" ca="1" si="209"/>
        <v>0</v>
      </c>
      <c r="R101" s="97">
        <f t="shared" ca="1" si="209"/>
        <v>0</v>
      </c>
      <c r="S101" s="97">
        <f t="shared" ca="1" si="209"/>
        <v>0</v>
      </c>
      <c r="T101" s="97">
        <f t="shared" ca="1" si="209"/>
        <v>0</v>
      </c>
      <c r="U101" s="97">
        <f t="shared" ca="1" si="209"/>
        <v>0</v>
      </c>
      <c r="V101" s="97">
        <f t="shared" ca="1" si="209"/>
        <v>0</v>
      </c>
      <c r="W101" s="97">
        <f t="shared" ca="1" si="209"/>
        <v>0</v>
      </c>
      <c r="X101" s="97">
        <f t="shared" ca="1" si="209"/>
        <v>0</v>
      </c>
      <c r="Y101" s="97">
        <f t="shared" ca="1" si="209"/>
        <v>0</v>
      </c>
      <c r="Z101" s="97">
        <f t="shared" ca="1" si="209"/>
        <v>0</v>
      </c>
      <c r="AA101" s="97">
        <f t="shared" ca="1" si="209"/>
        <v>0</v>
      </c>
      <c r="AB101" s="97">
        <f t="shared" ca="1" si="209"/>
        <v>0</v>
      </c>
      <c r="AC101" s="97">
        <f t="shared" ca="1" si="209"/>
        <v>0</v>
      </c>
      <c r="AD101" s="97">
        <f t="shared" ca="1" si="209"/>
        <v>0</v>
      </c>
      <c r="AE101" s="97">
        <f t="shared" ca="1" si="209"/>
        <v>0</v>
      </c>
      <c r="AF101" s="97">
        <f t="shared" ca="1" si="209"/>
        <v>0</v>
      </c>
      <c r="AG101" s="250"/>
      <c r="AH101" s="250"/>
      <c r="AI101" s="250"/>
      <c r="AJ101" s="250"/>
    </row>
    <row r="102" spans="1:36" x14ac:dyDescent="0.25">
      <c r="A102" s="26">
        <v>4000</v>
      </c>
      <c r="B102" s="89" t="s">
        <v>44</v>
      </c>
      <c r="C102" s="103" t="s">
        <v>49</v>
      </c>
      <c r="D102" s="42" t="s">
        <v>48</v>
      </c>
      <c r="E102" s="103" t="s">
        <v>49</v>
      </c>
      <c r="F102" s="42" t="s">
        <v>48</v>
      </c>
      <c r="G102" s="100" t="s">
        <v>24</v>
      </c>
      <c r="H102" s="12"/>
      <c r="I102" s="6">
        <f>CBN_CDC!I52</f>
        <v>0</v>
      </c>
      <c r="J102" s="6">
        <f>CBN_CDC!J52</f>
        <v>0</v>
      </c>
      <c r="K102" s="6">
        <f>CBN_CDC!K52</f>
        <v>0</v>
      </c>
      <c r="L102" s="6">
        <f>CBN_CDC!L52</f>
        <v>0</v>
      </c>
      <c r="M102" s="6">
        <f>CBN_CDC!M52</f>
        <v>0</v>
      </c>
      <c r="N102" s="6">
        <f>CBN_CDC!N52</f>
        <v>0</v>
      </c>
      <c r="O102" s="6">
        <f>CBN_CDC!O52</f>
        <v>0</v>
      </c>
      <c r="P102" s="6">
        <f>CBN_CDC!P52</f>
        <v>0</v>
      </c>
      <c r="Q102" s="6">
        <f>CBN_CDC!Q52</f>
        <v>0</v>
      </c>
      <c r="R102" s="6">
        <f>CBN_CDC!R52</f>
        <v>0</v>
      </c>
      <c r="S102" s="6">
        <f>CBN_CDC!S52</f>
        <v>0</v>
      </c>
      <c r="T102" s="6">
        <f>CBN_CDC!T52</f>
        <v>0</v>
      </c>
      <c r="U102" s="6">
        <f>CBN_CDC!U52</f>
        <v>0</v>
      </c>
      <c r="V102" s="6">
        <f>CBN_CDC!V52</f>
        <v>0</v>
      </c>
      <c r="W102" s="6">
        <f>CBN_CDC!W52</f>
        <v>0</v>
      </c>
      <c r="X102" s="6">
        <f>CBN_CDC!X52</f>
        <v>0</v>
      </c>
      <c r="Y102" s="6">
        <f>CBN_CDC!Y52</f>
        <v>0</v>
      </c>
      <c r="Z102" s="6">
        <f>CBN_CDC!Z52</f>
        <v>0</v>
      </c>
      <c r="AA102" s="6">
        <f>CBN_CDC!AA52</f>
        <v>0</v>
      </c>
      <c r="AB102" s="6">
        <f>CBN_CDC!AB52</f>
        <v>0</v>
      </c>
      <c r="AC102" s="6">
        <f>CBN_CDC!AC52</f>
        <v>0</v>
      </c>
      <c r="AD102" s="6">
        <f>CBN_CDC!AD52</f>
        <v>0</v>
      </c>
      <c r="AE102" s="6">
        <f>CBN_CDC!AE52</f>
        <v>0</v>
      </c>
      <c r="AF102" s="6">
        <f>CBN_CDC!AF52</f>
        <v>0</v>
      </c>
      <c r="AG102" s="223"/>
      <c r="AH102" s="223"/>
      <c r="AI102" s="223"/>
      <c r="AJ102" s="223"/>
    </row>
  </sheetData>
  <phoneticPr fontId="17" type="noConversion"/>
  <conditionalFormatting sqref="I35:AJ35">
    <cfRule type="expression" dxfId="5" priority="30">
      <formula>I$35&lt;=0</formula>
    </cfRule>
    <cfRule type="expression" dxfId="4" priority="31">
      <formula>I$35&lt;#REF!</formula>
    </cfRule>
  </conditionalFormatting>
  <conditionalFormatting sqref="I64:AJ64">
    <cfRule type="expression" dxfId="3" priority="3">
      <formula>I$35&lt;=0</formula>
    </cfRule>
    <cfRule type="expression" dxfId="2" priority="4">
      <formula>I$35&lt;#REF!</formula>
    </cfRule>
  </conditionalFormatting>
  <conditionalFormatting sqref="I88:AJ88">
    <cfRule type="expression" dxfId="1" priority="1">
      <formula>I$35&lt;=0</formula>
    </cfRule>
    <cfRule type="expression" dxfId="0" priority="2">
      <formula>I$35&lt;#REF!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MJ_Initialisation</vt:lpstr>
      <vt:lpstr>France</vt:lpstr>
      <vt:lpstr>Espagne</vt:lpstr>
      <vt:lpstr>Chili</vt:lpstr>
      <vt:lpstr>Australie</vt:lpstr>
      <vt:lpstr>CBN_CDC</vt:lpstr>
      <vt:lpstr>Factory</vt:lpstr>
      <vt:lpstr>PA_CDC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Sanaa Tiss</dc:creator>
  <cp:lastModifiedBy>Sanaa Tiss</cp:lastModifiedBy>
  <dcterms:created xsi:type="dcterms:W3CDTF">2020-09-21T12:53:33Z</dcterms:created>
  <dcterms:modified xsi:type="dcterms:W3CDTF">2021-12-06T22:47:48Z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1f314723-a73f-4ff4-916e-0c53c2ce292c</vt:lpwstr>
  </property>
</Properties>
</file>