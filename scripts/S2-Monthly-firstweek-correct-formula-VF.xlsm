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527" codeName="{B6124F1A-AFFB-F854-7757-9A1D4C6FC43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stiss\Nextcloud\Manuscrit-relectures\Applications\case-study-SeriousGame-Manuscrit\Without\Initialisation-données S1\"/>
    </mc:Choice>
  </mc:AlternateContent>
  <xr:revisionPtr revIDLastSave="0" documentId="13_ncr:1_{F615374B-973C-409D-826B-2450A6FE6C50}" xr6:coauthVersionLast="47" xr6:coauthVersionMax="47" xr10:uidLastSave="{00000000-0000-0000-0000-000000000000}"/>
  <bookViews>
    <workbookView xWindow="-120" yWindow="-120" windowWidth="20730" windowHeight="11160" tabRatio="599" xr2:uid="{00000000-000D-0000-FFFF-FFFF00000000}"/>
  </bookViews>
  <sheets>
    <sheet name="MJ_Initialisation" sheetId="21" r:id="rId1"/>
    <sheet name="France" sheetId="1" r:id="rId2"/>
    <sheet name="Espagne" sheetId="24" r:id="rId3"/>
    <sheet name="Chili" sheetId="25" r:id="rId4"/>
    <sheet name="Australie" sheetId="23" r:id="rId5"/>
    <sheet name="CBN_CDC" sheetId="6" r:id="rId6"/>
    <sheet name="Factory" sheetId="14" r:id="rId7"/>
    <sheet name="PA_CDC" sheetId="15" r:id="rId8"/>
  </sheets>
  <definedNames>
    <definedName name="_xlnm._FilterDatabase" localSheetId="7" hidden="1">PA_CDC!$A$4:$AJ$37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I18" i="6" l="1"/>
  <c r="J18" i="6"/>
  <c r="I32" i="6"/>
  <c r="J32" i="6"/>
  <c r="AB7" i="21"/>
  <c r="AB8" i="21"/>
  <c r="AB9" i="21"/>
  <c r="AB10" i="21"/>
  <c r="AB11" i="21"/>
  <c r="AB12" i="21"/>
  <c r="AB13" i="21"/>
  <c r="AB14" i="21"/>
  <c r="AB15" i="21"/>
  <c r="AB6" i="21"/>
  <c r="J5" i="14"/>
  <c r="J12" i="1"/>
  <c r="G1" i="21"/>
  <c r="F1" i="21"/>
  <c r="O1" i="21"/>
  <c r="L1" i="21"/>
  <c r="P1" i="21"/>
  <c r="H1" i="21"/>
  <c r="I1" i="21"/>
  <c r="J1" i="21"/>
  <c r="K1" i="21"/>
  <c r="M1" i="21"/>
  <c r="N1" i="21"/>
  <c r="Q1" i="21"/>
  <c r="R1" i="21"/>
  <c r="S1" i="21"/>
  <c r="T1" i="21"/>
  <c r="U1" i="21"/>
  <c r="V1" i="21"/>
  <c r="W1" i="21"/>
  <c r="X1" i="21"/>
  <c r="Y1" i="21"/>
  <c r="I6" i="15"/>
  <c r="J6" i="15"/>
  <c r="B2" i="15" l="1"/>
  <c r="B2" i="14"/>
  <c r="B3" i="6"/>
  <c r="B2" i="23"/>
  <c r="B2" i="25"/>
  <c r="B2" i="24"/>
  <c r="B2" i="1"/>
  <c r="D1" i="21"/>
  <c r="J48" i="6" l="1"/>
  <c r="K48" i="6"/>
  <c r="L48" i="6"/>
  <c r="M48" i="6"/>
  <c r="N48" i="6"/>
  <c r="O48" i="6"/>
  <c r="P48" i="6"/>
  <c r="Q48" i="6"/>
  <c r="R48" i="6"/>
  <c r="S48" i="6"/>
  <c r="T48" i="6"/>
  <c r="U48" i="6"/>
  <c r="V48" i="6"/>
  <c r="W48" i="6"/>
  <c r="X48" i="6"/>
  <c r="Y48" i="6"/>
  <c r="Z48" i="6"/>
  <c r="AA48" i="6"/>
  <c r="AB48" i="6"/>
  <c r="AC48" i="6"/>
  <c r="AD48" i="6"/>
  <c r="AE48" i="6"/>
  <c r="AF48" i="6"/>
  <c r="J37" i="6"/>
  <c r="K37" i="6"/>
  <c r="L37" i="6"/>
  <c r="M37" i="6"/>
  <c r="N37" i="6"/>
  <c r="O37" i="6"/>
  <c r="P37" i="6"/>
  <c r="Q37" i="6"/>
  <c r="R37" i="6"/>
  <c r="S37" i="6"/>
  <c r="T37" i="6"/>
  <c r="U37" i="6"/>
  <c r="V37" i="6"/>
  <c r="W37" i="6"/>
  <c r="X37" i="6"/>
  <c r="Y37" i="6"/>
  <c r="Z37" i="6"/>
  <c r="AA37" i="6"/>
  <c r="AB37" i="6"/>
  <c r="AC37" i="6"/>
  <c r="AD37" i="6"/>
  <c r="AE37" i="6"/>
  <c r="AF37" i="6"/>
  <c r="J36" i="6"/>
  <c r="K36" i="6"/>
  <c r="L36" i="6"/>
  <c r="M36" i="6"/>
  <c r="N36" i="6"/>
  <c r="O36" i="6"/>
  <c r="P36" i="6"/>
  <c r="Q36" i="6"/>
  <c r="R36" i="6"/>
  <c r="S36" i="6"/>
  <c r="T36" i="6"/>
  <c r="U36" i="6"/>
  <c r="V36" i="6"/>
  <c r="W36" i="6"/>
  <c r="X36" i="6"/>
  <c r="Y36" i="6"/>
  <c r="Z36" i="6"/>
  <c r="AA36" i="6"/>
  <c r="AB36" i="6"/>
  <c r="AC36" i="6"/>
  <c r="AD36" i="6"/>
  <c r="AE36" i="6"/>
  <c r="AF36" i="6"/>
  <c r="J24" i="6"/>
  <c r="K24" i="6"/>
  <c r="L24" i="6"/>
  <c r="M24" i="6"/>
  <c r="N24" i="6"/>
  <c r="O24" i="6"/>
  <c r="P24" i="6"/>
  <c r="Q24" i="6"/>
  <c r="R24" i="6"/>
  <c r="S24" i="6"/>
  <c r="T24" i="6"/>
  <c r="U24" i="6"/>
  <c r="V24" i="6"/>
  <c r="W24" i="6"/>
  <c r="X24" i="6"/>
  <c r="Y24" i="6"/>
  <c r="Z24" i="6"/>
  <c r="AA24" i="6"/>
  <c r="AB24" i="6"/>
  <c r="AC24" i="6"/>
  <c r="AD24" i="6"/>
  <c r="AE24" i="6"/>
  <c r="AF24" i="6"/>
  <c r="J23" i="6"/>
  <c r="K23" i="6"/>
  <c r="L23" i="6"/>
  <c r="M23" i="6"/>
  <c r="N23" i="6"/>
  <c r="O23" i="6"/>
  <c r="P23" i="6"/>
  <c r="Q23" i="6"/>
  <c r="R23" i="6"/>
  <c r="S23" i="6"/>
  <c r="T23" i="6"/>
  <c r="U23" i="6"/>
  <c r="V23" i="6"/>
  <c r="W23" i="6"/>
  <c r="X23" i="6"/>
  <c r="Y23" i="6"/>
  <c r="Z23" i="6"/>
  <c r="AA23" i="6"/>
  <c r="AB23" i="6"/>
  <c r="AC23" i="6"/>
  <c r="AD23" i="6"/>
  <c r="AE23" i="6"/>
  <c r="AF23" i="6"/>
  <c r="J22" i="6"/>
  <c r="K22" i="6"/>
  <c r="L22" i="6"/>
  <c r="M22" i="6"/>
  <c r="N22" i="6"/>
  <c r="O22" i="6"/>
  <c r="P22" i="6"/>
  <c r="Q22" i="6"/>
  <c r="R22" i="6"/>
  <c r="S22" i="6"/>
  <c r="T22" i="6"/>
  <c r="U22" i="6"/>
  <c r="V22" i="6"/>
  <c r="W22" i="6"/>
  <c r="X22" i="6"/>
  <c r="Y22" i="6"/>
  <c r="Z22" i="6"/>
  <c r="AA22" i="6"/>
  <c r="AB22" i="6"/>
  <c r="AC22" i="6"/>
  <c r="AD22" i="6"/>
  <c r="AE22" i="6"/>
  <c r="AF22" i="6"/>
  <c r="J9" i="6"/>
  <c r="K9" i="6"/>
  <c r="L9" i="6"/>
  <c r="M9" i="6"/>
  <c r="N9" i="6"/>
  <c r="O9" i="6"/>
  <c r="P9" i="6"/>
  <c r="Q9" i="6"/>
  <c r="R9" i="6"/>
  <c r="S9" i="6"/>
  <c r="T9" i="6"/>
  <c r="U9" i="6"/>
  <c r="V9" i="6"/>
  <c r="W9" i="6"/>
  <c r="X9" i="6"/>
  <c r="Y9" i="6"/>
  <c r="Z9" i="6"/>
  <c r="AA9" i="6"/>
  <c r="AB9" i="6"/>
  <c r="AC9" i="6"/>
  <c r="AD9" i="6"/>
  <c r="AE9" i="6"/>
  <c r="AF9" i="6"/>
  <c r="J8" i="6"/>
  <c r="K8" i="6"/>
  <c r="L8" i="6"/>
  <c r="M8" i="6"/>
  <c r="N8" i="6"/>
  <c r="O8" i="6"/>
  <c r="P8" i="6"/>
  <c r="Q8" i="6"/>
  <c r="R8" i="6"/>
  <c r="S8" i="6"/>
  <c r="T8" i="6"/>
  <c r="U8" i="6"/>
  <c r="V8" i="6"/>
  <c r="W8" i="6"/>
  <c r="X8" i="6"/>
  <c r="Y8" i="6"/>
  <c r="Z8" i="6"/>
  <c r="AA8" i="6"/>
  <c r="AB8" i="6"/>
  <c r="AC8" i="6"/>
  <c r="AD8" i="6"/>
  <c r="AE8" i="6"/>
  <c r="AF8" i="6"/>
  <c r="J7" i="6"/>
  <c r="K7" i="6"/>
  <c r="L7" i="6"/>
  <c r="M7" i="6"/>
  <c r="N7" i="6"/>
  <c r="O7" i="6"/>
  <c r="P7" i="6"/>
  <c r="Q7" i="6"/>
  <c r="R7" i="6"/>
  <c r="S7" i="6"/>
  <c r="T7" i="6"/>
  <c r="U7" i="6"/>
  <c r="V7" i="6"/>
  <c r="W7" i="6"/>
  <c r="X7" i="6"/>
  <c r="Y7" i="6"/>
  <c r="Z7" i="6"/>
  <c r="AA7" i="6"/>
  <c r="AB7" i="6"/>
  <c r="AC7" i="6"/>
  <c r="AD7" i="6"/>
  <c r="AE7" i="6"/>
  <c r="AF7" i="6"/>
  <c r="J6" i="6"/>
  <c r="K6" i="6"/>
  <c r="L6" i="6"/>
  <c r="M6" i="6"/>
  <c r="N6" i="6"/>
  <c r="O6" i="6"/>
  <c r="P6" i="6"/>
  <c r="Q6" i="6"/>
  <c r="R6" i="6"/>
  <c r="S6" i="6"/>
  <c r="T6" i="6"/>
  <c r="U6" i="6"/>
  <c r="V6" i="6"/>
  <c r="W6" i="6"/>
  <c r="X6" i="6"/>
  <c r="Y6" i="6"/>
  <c r="Z6" i="6"/>
  <c r="AA6" i="6"/>
  <c r="AB6" i="6"/>
  <c r="AC6" i="6"/>
  <c r="AD6" i="6"/>
  <c r="AE6" i="6"/>
  <c r="AF6" i="6"/>
  <c r="J49" i="6"/>
  <c r="K49" i="6"/>
  <c r="L49" i="6"/>
  <c r="M49" i="6"/>
  <c r="N49" i="6"/>
  <c r="O49" i="6"/>
  <c r="P49" i="6"/>
  <c r="Q49" i="6"/>
  <c r="R49" i="6"/>
  <c r="S49" i="6"/>
  <c r="T49" i="6"/>
  <c r="U49" i="6"/>
  <c r="V49" i="6"/>
  <c r="W49" i="6"/>
  <c r="X49" i="6"/>
  <c r="Y49" i="6"/>
  <c r="Z49" i="6"/>
  <c r="AA49" i="6"/>
  <c r="AB49" i="6"/>
  <c r="AC49" i="6"/>
  <c r="AD49" i="6"/>
  <c r="AE49" i="6"/>
  <c r="AF49" i="6"/>
  <c r="J38" i="6"/>
  <c r="K38" i="6"/>
  <c r="L38" i="6"/>
  <c r="M38" i="6"/>
  <c r="N38" i="6"/>
  <c r="O38" i="6"/>
  <c r="P38" i="6"/>
  <c r="Q38" i="6"/>
  <c r="R38" i="6"/>
  <c r="S38" i="6"/>
  <c r="T38" i="6"/>
  <c r="U38" i="6"/>
  <c r="V38" i="6"/>
  <c r="W38" i="6"/>
  <c r="X38" i="6"/>
  <c r="Y38" i="6"/>
  <c r="Z38" i="6"/>
  <c r="AA38" i="6"/>
  <c r="AB38" i="6"/>
  <c r="AC38" i="6"/>
  <c r="AD38" i="6"/>
  <c r="AE38" i="6"/>
  <c r="AF38" i="6"/>
  <c r="J25" i="6"/>
  <c r="K25" i="6"/>
  <c r="L25" i="6"/>
  <c r="M25" i="6"/>
  <c r="N25" i="6"/>
  <c r="O25" i="6"/>
  <c r="P25" i="6"/>
  <c r="Q25" i="6"/>
  <c r="R25" i="6"/>
  <c r="S25" i="6"/>
  <c r="T25" i="6"/>
  <c r="U25" i="6"/>
  <c r="V25" i="6"/>
  <c r="W25" i="6"/>
  <c r="X25" i="6"/>
  <c r="Y25" i="6"/>
  <c r="Z25" i="6"/>
  <c r="AA25" i="6"/>
  <c r="AB25" i="6"/>
  <c r="AC25" i="6"/>
  <c r="AD25" i="6"/>
  <c r="AE25" i="6"/>
  <c r="AF25" i="6"/>
  <c r="L11" i="6"/>
  <c r="M11" i="6"/>
  <c r="N11" i="6"/>
  <c r="O11" i="6"/>
  <c r="P11" i="6"/>
  <c r="Q11" i="6"/>
  <c r="R11" i="6"/>
  <c r="S11" i="6"/>
  <c r="T11" i="6"/>
  <c r="U11" i="6"/>
  <c r="V11" i="6"/>
  <c r="W11" i="6"/>
  <c r="X11" i="6"/>
  <c r="Y11" i="6"/>
  <c r="Z11" i="6"/>
  <c r="AA11" i="6"/>
  <c r="AB11" i="6"/>
  <c r="AC11" i="6"/>
  <c r="AD11" i="6"/>
  <c r="AE11" i="6"/>
  <c r="AF11" i="6"/>
  <c r="J10" i="6"/>
  <c r="K10" i="6"/>
  <c r="L10" i="6"/>
  <c r="M10" i="6"/>
  <c r="N10" i="6"/>
  <c r="O10" i="6"/>
  <c r="P10" i="6"/>
  <c r="Q10" i="6"/>
  <c r="R10" i="6"/>
  <c r="S10" i="6"/>
  <c r="T10" i="6"/>
  <c r="U10" i="6"/>
  <c r="V10" i="6"/>
  <c r="W10" i="6"/>
  <c r="X10" i="6"/>
  <c r="Y10" i="6"/>
  <c r="Z10" i="6"/>
  <c r="AA10" i="6"/>
  <c r="AB10" i="6"/>
  <c r="AC10" i="6"/>
  <c r="AD10" i="6"/>
  <c r="AE10" i="6"/>
  <c r="AF10" i="6"/>
  <c r="I7" i="1" l="1"/>
  <c r="I40" i="15" l="1"/>
  <c r="I41" i="15" s="1"/>
  <c r="J40" i="15"/>
  <c r="J41" i="15" s="1"/>
  <c r="AF60" i="15"/>
  <c r="AF30" i="15"/>
  <c r="J97" i="15"/>
  <c r="J99" i="15" s="1"/>
  <c r="K97" i="15"/>
  <c r="L97" i="15"/>
  <c r="M97" i="15"/>
  <c r="N97" i="15"/>
  <c r="O97" i="15"/>
  <c r="P97" i="15"/>
  <c r="Q97" i="15"/>
  <c r="R97" i="15"/>
  <c r="S97" i="15"/>
  <c r="T97" i="15"/>
  <c r="U97" i="15"/>
  <c r="V97" i="15"/>
  <c r="W97" i="15"/>
  <c r="X97" i="15"/>
  <c r="Y97" i="15"/>
  <c r="Z97" i="15"/>
  <c r="AA97" i="15"/>
  <c r="AB97" i="15"/>
  <c r="AC97" i="15"/>
  <c r="AD97" i="15"/>
  <c r="AE97" i="15"/>
  <c r="AF97" i="15"/>
  <c r="J98" i="15"/>
  <c r="K98" i="15"/>
  <c r="L98" i="15"/>
  <c r="M98" i="15"/>
  <c r="N98" i="15"/>
  <c r="O98" i="15"/>
  <c r="P98" i="15"/>
  <c r="Q98" i="15"/>
  <c r="R98" i="15"/>
  <c r="S98" i="15"/>
  <c r="T98" i="15"/>
  <c r="U98" i="15"/>
  <c r="V98" i="15"/>
  <c r="W98" i="15"/>
  <c r="X98" i="15"/>
  <c r="Y98" i="15"/>
  <c r="Z98" i="15"/>
  <c r="AA98" i="15"/>
  <c r="AB98" i="15"/>
  <c r="AC98" i="15"/>
  <c r="AD98" i="15"/>
  <c r="AE98" i="15"/>
  <c r="AF98" i="15"/>
  <c r="I98" i="15"/>
  <c r="I97" i="15"/>
  <c r="I99" i="15" s="1"/>
  <c r="I48" i="6" s="1"/>
  <c r="J83" i="15"/>
  <c r="J85" i="15" s="1"/>
  <c r="K83" i="15"/>
  <c r="L83" i="15"/>
  <c r="M83" i="15"/>
  <c r="N83" i="15"/>
  <c r="O83" i="15"/>
  <c r="P83" i="15"/>
  <c r="Q83" i="15"/>
  <c r="R83" i="15"/>
  <c r="S83" i="15"/>
  <c r="T83" i="15"/>
  <c r="U83" i="15"/>
  <c r="V83" i="15"/>
  <c r="W83" i="15"/>
  <c r="X83" i="15"/>
  <c r="Y83" i="15"/>
  <c r="Z83" i="15"/>
  <c r="AA83" i="15"/>
  <c r="AB83" i="15"/>
  <c r="AC83" i="15"/>
  <c r="AD83" i="15"/>
  <c r="AE83" i="15"/>
  <c r="AF83" i="15"/>
  <c r="J84" i="15"/>
  <c r="K84" i="15"/>
  <c r="L84" i="15"/>
  <c r="M84" i="15"/>
  <c r="N84" i="15"/>
  <c r="O84" i="15"/>
  <c r="P84" i="15"/>
  <c r="Q84" i="15"/>
  <c r="R84" i="15"/>
  <c r="S84" i="15"/>
  <c r="T84" i="15"/>
  <c r="U84" i="15"/>
  <c r="V84" i="15"/>
  <c r="W84" i="15"/>
  <c r="X84" i="15"/>
  <c r="Y84" i="15"/>
  <c r="Z84" i="15"/>
  <c r="AA84" i="15"/>
  <c r="AB84" i="15"/>
  <c r="AC84" i="15"/>
  <c r="AD84" i="15"/>
  <c r="AE84" i="15"/>
  <c r="AF84" i="15"/>
  <c r="I84" i="15"/>
  <c r="I83" i="15"/>
  <c r="I85" i="15" s="1"/>
  <c r="J78" i="15"/>
  <c r="J80" i="15" s="1"/>
  <c r="K78" i="15"/>
  <c r="L78" i="15"/>
  <c r="M78" i="15"/>
  <c r="N78" i="15"/>
  <c r="O78" i="15"/>
  <c r="P78" i="15"/>
  <c r="Q78" i="15"/>
  <c r="R78" i="15"/>
  <c r="S78" i="15"/>
  <c r="T78" i="15"/>
  <c r="U78" i="15"/>
  <c r="V78" i="15"/>
  <c r="W78" i="15"/>
  <c r="X78" i="15"/>
  <c r="Y78" i="15"/>
  <c r="Z78" i="15"/>
  <c r="AA78" i="15"/>
  <c r="AB78" i="15"/>
  <c r="AC78" i="15"/>
  <c r="AD78" i="15"/>
  <c r="AE78" i="15"/>
  <c r="AF78" i="15"/>
  <c r="J79" i="15"/>
  <c r="K79" i="15"/>
  <c r="L79" i="15"/>
  <c r="M79" i="15"/>
  <c r="N79" i="15"/>
  <c r="O79" i="15"/>
  <c r="P79" i="15"/>
  <c r="Q79" i="15"/>
  <c r="R79" i="15"/>
  <c r="S79" i="15"/>
  <c r="T79" i="15"/>
  <c r="U79" i="15"/>
  <c r="V79" i="15"/>
  <c r="W79" i="15"/>
  <c r="X79" i="15"/>
  <c r="Y79" i="15"/>
  <c r="Z79" i="15"/>
  <c r="AA79" i="15"/>
  <c r="AB79" i="15"/>
  <c r="AC79" i="15"/>
  <c r="AD79" i="15"/>
  <c r="AE79" i="15"/>
  <c r="AF79" i="15"/>
  <c r="I79" i="15"/>
  <c r="I78" i="15"/>
  <c r="I80" i="15" s="1"/>
  <c r="I36" i="6" s="1"/>
  <c r="J59" i="15"/>
  <c r="J61" i="15" s="1"/>
  <c r="K59" i="15"/>
  <c r="L59" i="15"/>
  <c r="M59" i="15"/>
  <c r="N59" i="15"/>
  <c r="O59" i="15"/>
  <c r="P59" i="15"/>
  <c r="Q59" i="15"/>
  <c r="R59" i="15"/>
  <c r="S59" i="15"/>
  <c r="T59" i="15"/>
  <c r="U59" i="15"/>
  <c r="V59" i="15"/>
  <c r="W59" i="15"/>
  <c r="X59" i="15"/>
  <c r="Y59" i="15"/>
  <c r="Z59" i="15"/>
  <c r="AA59" i="15"/>
  <c r="AB59" i="15"/>
  <c r="AC59" i="15"/>
  <c r="AD59" i="15"/>
  <c r="AE59" i="15"/>
  <c r="AF59" i="15"/>
  <c r="J60" i="15"/>
  <c r="K60" i="15"/>
  <c r="L60" i="15"/>
  <c r="M60" i="15"/>
  <c r="N60" i="15"/>
  <c r="O60" i="15"/>
  <c r="P60" i="15"/>
  <c r="Q60" i="15"/>
  <c r="R60" i="15"/>
  <c r="S60" i="15"/>
  <c r="T60" i="15"/>
  <c r="U60" i="15"/>
  <c r="V60" i="15"/>
  <c r="W60" i="15"/>
  <c r="X60" i="15"/>
  <c r="Y60" i="15"/>
  <c r="Z60" i="15"/>
  <c r="AA60" i="15"/>
  <c r="AB60" i="15"/>
  <c r="AC60" i="15"/>
  <c r="AD60" i="15"/>
  <c r="AE60" i="15"/>
  <c r="I60" i="15"/>
  <c r="I59" i="15"/>
  <c r="I61" i="15" s="1"/>
  <c r="J54" i="15"/>
  <c r="J56" i="15" s="1"/>
  <c r="K54" i="15"/>
  <c r="L54" i="15"/>
  <c r="M54" i="15"/>
  <c r="N54" i="15"/>
  <c r="O54" i="15"/>
  <c r="P54" i="15"/>
  <c r="Q54" i="15"/>
  <c r="R54" i="15"/>
  <c r="S54" i="15"/>
  <c r="T54" i="15"/>
  <c r="U54" i="15"/>
  <c r="V54" i="15"/>
  <c r="W54" i="15"/>
  <c r="X54" i="15"/>
  <c r="Y54" i="15"/>
  <c r="Z54" i="15"/>
  <c r="AA54" i="15"/>
  <c r="AB54" i="15"/>
  <c r="AC54" i="15"/>
  <c r="AD54" i="15"/>
  <c r="AE54" i="15"/>
  <c r="AF54" i="15"/>
  <c r="J55" i="15"/>
  <c r="K55" i="15"/>
  <c r="L55" i="15"/>
  <c r="M55" i="15"/>
  <c r="N55" i="15"/>
  <c r="O55" i="15"/>
  <c r="P55" i="15"/>
  <c r="Q55" i="15"/>
  <c r="R55" i="15"/>
  <c r="S55" i="15"/>
  <c r="T55" i="15"/>
  <c r="U55" i="15"/>
  <c r="V55" i="15"/>
  <c r="W55" i="15"/>
  <c r="X55" i="15"/>
  <c r="Y55" i="15"/>
  <c r="Z55" i="15"/>
  <c r="AA55" i="15"/>
  <c r="AB55" i="15"/>
  <c r="AC55" i="15"/>
  <c r="AD55" i="15"/>
  <c r="AE55" i="15"/>
  <c r="AF55" i="15"/>
  <c r="I55" i="15"/>
  <c r="I54" i="15"/>
  <c r="I56" i="15" s="1"/>
  <c r="J49" i="15"/>
  <c r="J51" i="15" s="1"/>
  <c r="K49" i="15"/>
  <c r="L49" i="15"/>
  <c r="M49" i="15"/>
  <c r="N49" i="15"/>
  <c r="O49" i="15"/>
  <c r="P49" i="15"/>
  <c r="Q49" i="15"/>
  <c r="R49" i="15"/>
  <c r="S49" i="15"/>
  <c r="T49" i="15"/>
  <c r="U49" i="15"/>
  <c r="V49" i="15"/>
  <c r="W49" i="15"/>
  <c r="X49" i="15"/>
  <c r="Y49" i="15"/>
  <c r="Z49" i="15"/>
  <c r="AA49" i="15"/>
  <c r="AB49" i="15"/>
  <c r="AC49" i="15"/>
  <c r="AD49" i="15"/>
  <c r="AE49" i="15"/>
  <c r="AF49" i="15"/>
  <c r="J50" i="15"/>
  <c r="K50" i="15"/>
  <c r="L50" i="15"/>
  <c r="M50" i="15"/>
  <c r="N50" i="15"/>
  <c r="O50" i="15"/>
  <c r="P50" i="15"/>
  <c r="Q50" i="15"/>
  <c r="R50" i="15"/>
  <c r="S50" i="15"/>
  <c r="T50" i="15"/>
  <c r="U50" i="15"/>
  <c r="V50" i="15"/>
  <c r="W50" i="15"/>
  <c r="X50" i="15"/>
  <c r="Y50" i="15"/>
  <c r="Z50" i="15"/>
  <c r="AA50" i="15"/>
  <c r="AB50" i="15"/>
  <c r="AC50" i="15"/>
  <c r="AD50" i="15"/>
  <c r="AE50" i="15"/>
  <c r="AF50" i="15"/>
  <c r="I50" i="15"/>
  <c r="I49" i="15"/>
  <c r="I51" i="15" s="1"/>
  <c r="I22" i="6" s="1"/>
  <c r="J30" i="15"/>
  <c r="J32" i="15" s="1"/>
  <c r="K30" i="15"/>
  <c r="L30" i="15"/>
  <c r="M30" i="15"/>
  <c r="N30" i="15"/>
  <c r="O30" i="15"/>
  <c r="P30" i="15"/>
  <c r="Q30" i="15"/>
  <c r="R30" i="15"/>
  <c r="S30" i="15"/>
  <c r="T30" i="15"/>
  <c r="U30" i="15"/>
  <c r="V30" i="15"/>
  <c r="W30" i="15"/>
  <c r="X30" i="15"/>
  <c r="Y30" i="15"/>
  <c r="Z30" i="15"/>
  <c r="AA30" i="15"/>
  <c r="AB30" i="15"/>
  <c r="AC30" i="15"/>
  <c r="AD30" i="15"/>
  <c r="AE30" i="15"/>
  <c r="J31" i="15"/>
  <c r="K31" i="15"/>
  <c r="L31" i="15"/>
  <c r="M31" i="15"/>
  <c r="N31" i="15"/>
  <c r="O31" i="15"/>
  <c r="P31" i="15"/>
  <c r="Q31" i="15"/>
  <c r="R31" i="15"/>
  <c r="S31" i="15"/>
  <c r="T31" i="15"/>
  <c r="U31" i="15"/>
  <c r="V31" i="15"/>
  <c r="W31" i="15"/>
  <c r="X31" i="15"/>
  <c r="Y31" i="15"/>
  <c r="Z31" i="15"/>
  <c r="AA31" i="15"/>
  <c r="AB31" i="15"/>
  <c r="AC31" i="15"/>
  <c r="AD31" i="15"/>
  <c r="AE31" i="15"/>
  <c r="AF31" i="15"/>
  <c r="I31" i="15"/>
  <c r="I30" i="15"/>
  <c r="J25" i="15"/>
  <c r="K25" i="15"/>
  <c r="L25" i="15"/>
  <c r="M25" i="15"/>
  <c r="N25" i="15"/>
  <c r="O25" i="15"/>
  <c r="P25" i="15"/>
  <c r="Q25" i="15"/>
  <c r="R25" i="15"/>
  <c r="S25" i="15"/>
  <c r="T25" i="15"/>
  <c r="U25" i="15"/>
  <c r="V25" i="15"/>
  <c r="W25" i="15"/>
  <c r="X25" i="15"/>
  <c r="Y25" i="15"/>
  <c r="Z25" i="15"/>
  <c r="AA25" i="15"/>
  <c r="AB25" i="15"/>
  <c r="AC25" i="15"/>
  <c r="AD25" i="15"/>
  <c r="AE25" i="15"/>
  <c r="AF25" i="15"/>
  <c r="J26" i="15"/>
  <c r="K26" i="15"/>
  <c r="L26" i="15"/>
  <c r="M26" i="15"/>
  <c r="N26" i="15"/>
  <c r="O26" i="15"/>
  <c r="P26" i="15"/>
  <c r="Q26" i="15"/>
  <c r="R26" i="15"/>
  <c r="S26" i="15"/>
  <c r="T26" i="15"/>
  <c r="U26" i="15"/>
  <c r="V26" i="15"/>
  <c r="W26" i="15"/>
  <c r="X26" i="15"/>
  <c r="Y26" i="15"/>
  <c r="Z26" i="15"/>
  <c r="AA26" i="15"/>
  <c r="AB26" i="15"/>
  <c r="AC26" i="15"/>
  <c r="AD26" i="15"/>
  <c r="AE26" i="15"/>
  <c r="AF26" i="15"/>
  <c r="I26" i="15"/>
  <c r="I25" i="15"/>
  <c r="J20" i="15"/>
  <c r="K20" i="15"/>
  <c r="L20" i="15"/>
  <c r="M20" i="15"/>
  <c r="N20" i="15"/>
  <c r="O20" i="15"/>
  <c r="P20" i="15"/>
  <c r="Q20" i="15"/>
  <c r="R20" i="15"/>
  <c r="S20" i="15"/>
  <c r="T20" i="15"/>
  <c r="U20" i="15"/>
  <c r="V20" i="15"/>
  <c r="W20" i="15"/>
  <c r="X20" i="15"/>
  <c r="Y20" i="15"/>
  <c r="Z20" i="15"/>
  <c r="AA20" i="15"/>
  <c r="AB20" i="15"/>
  <c r="AC20" i="15"/>
  <c r="AD20" i="15"/>
  <c r="AE20" i="15"/>
  <c r="AF20" i="15"/>
  <c r="J21" i="15"/>
  <c r="K21" i="15"/>
  <c r="L21" i="15"/>
  <c r="M21" i="15"/>
  <c r="N21" i="15"/>
  <c r="O21" i="15"/>
  <c r="P21" i="15"/>
  <c r="Q21" i="15"/>
  <c r="R21" i="15"/>
  <c r="S21" i="15"/>
  <c r="T21" i="15"/>
  <c r="U21" i="15"/>
  <c r="V21" i="15"/>
  <c r="W21" i="15"/>
  <c r="X21" i="15"/>
  <c r="Y21" i="15"/>
  <c r="Z21" i="15"/>
  <c r="AA21" i="15"/>
  <c r="AB21" i="15"/>
  <c r="AC21" i="15"/>
  <c r="AD21" i="15"/>
  <c r="AE21" i="15"/>
  <c r="AF21" i="15"/>
  <c r="I21" i="15"/>
  <c r="I20" i="15"/>
  <c r="I22" i="15" s="1"/>
  <c r="J15" i="15"/>
  <c r="J17" i="15" s="1"/>
  <c r="K15" i="15"/>
  <c r="L15" i="15"/>
  <c r="M15" i="15"/>
  <c r="N15" i="15"/>
  <c r="O15" i="15"/>
  <c r="P15" i="15"/>
  <c r="Q15" i="15"/>
  <c r="R15" i="15"/>
  <c r="S15" i="15"/>
  <c r="T15" i="15"/>
  <c r="U15" i="15"/>
  <c r="V15" i="15"/>
  <c r="W15" i="15"/>
  <c r="X15" i="15"/>
  <c r="Y15" i="15"/>
  <c r="Z15" i="15"/>
  <c r="AA15" i="15"/>
  <c r="AB15" i="15"/>
  <c r="AC15" i="15"/>
  <c r="AD15" i="15"/>
  <c r="AE15" i="15"/>
  <c r="AF15" i="15"/>
  <c r="J16" i="15"/>
  <c r="K16" i="15"/>
  <c r="L16" i="15"/>
  <c r="M16" i="15"/>
  <c r="N16" i="15"/>
  <c r="O16" i="15"/>
  <c r="P16" i="15"/>
  <c r="Q16" i="15"/>
  <c r="R16" i="15"/>
  <c r="S16" i="15"/>
  <c r="T16" i="15"/>
  <c r="U16" i="15"/>
  <c r="V16" i="15"/>
  <c r="W16" i="15"/>
  <c r="X16" i="15"/>
  <c r="Y16" i="15"/>
  <c r="Z16" i="15"/>
  <c r="AA16" i="15"/>
  <c r="AB16" i="15"/>
  <c r="AC16" i="15"/>
  <c r="AD16" i="15"/>
  <c r="AE16" i="15"/>
  <c r="AF16" i="15"/>
  <c r="I16" i="15"/>
  <c r="I15" i="15"/>
  <c r="I17" i="15" s="1"/>
  <c r="J93" i="15"/>
  <c r="J94" i="15" s="1"/>
  <c r="I93" i="15"/>
  <c r="I94" i="15" s="1"/>
  <c r="I54" i="6"/>
  <c r="J69" i="15"/>
  <c r="J70" i="15" s="1"/>
  <c r="I69" i="15"/>
  <c r="I70" i="15" s="1"/>
  <c r="I44" i="6"/>
  <c r="I38" i="6" s="1"/>
  <c r="I25" i="6"/>
  <c r="J7" i="15"/>
  <c r="I7" i="15"/>
  <c r="I10" i="6"/>
  <c r="K34" i="14"/>
  <c r="K36" i="14" s="1"/>
  <c r="L34" i="14"/>
  <c r="M34" i="14"/>
  <c r="N34" i="14"/>
  <c r="O34" i="14"/>
  <c r="P34" i="14"/>
  <c r="Q34" i="14"/>
  <c r="R34" i="14"/>
  <c r="S34" i="14"/>
  <c r="T34" i="14"/>
  <c r="U34" i="14"/>
  <c r="V34" i="14"/>
  <c r="W34" i="14"/>
  <c r="X34" i="14"/>
  <c r="Y34" i="14"/>
  <c r="Z34" i="14"/>
  <c r="AA34" i="14"/>
  <c r="AB34" i="14"/>
  <c r="AC34" i="14"/>
  <c r="AD34" i="14"/>
  <c r="AE34" i="14"/>
  <c r="AF34" i="14"/>
  <c r="AG34" i="14"/>
  <c r="K35" i="14"/>
  <c r="L35" i="14"/>
  <c r="M35" i="14"/>
  <c r="N35" i="14"/>
  <c r="O35" i="14"/>
  <c r="P35" i="14"/>
  <c r="Q35" i="14"/>
  <c r="R35" i="14"/>
  <c r="S35" i="14"/>
  <c r="T35" i="14"/>
  <c r="U35" i="14"/>
  <c r="V35" i="14"/>
  <c r="W35" i="14"/>
  <c r="X35" i="14"/>
  <c r="Y35" i="14"/>
  <c r="Z35" i="14"/>
  <c r="AA35" i="14"/>
  <c r="AB35" i="14"/>
  <c r="AC35" i="14"/>
  <c r="AD35" i="14"/>
  <c r="AE35" i="14"/>
  <c r="AF35" i="14"/>
  <c r="AG35" i="14"/>
  <c r="J35" i="14"/>
  <c r="J34" i="14"/>
  <c r="J36" i="14" s="1"/>
  <c r="K26" i="14"/>
  <c r="K28" i="14" s="1"/>
  <c r="L26" i="14"/>
  <c r="M26" i="14"/>
  <c r="N26" i="14"/>
  <c r="O26" i="14"/>
  <c r="P26" i="14"/>
  <c r="Q26" i="14"/>
  <c r="R26" i="14"/>
  <c r="S26" i="14"/>
  <c r="T26" i="14"/>
  <c r="U26" i="14"/>
  <c r="V26" i="14"/>
  <c r="W26" i="14"/>
  <c r="X26" i="14"/>
  <c r="Y26" i="14"/>
  <c r="Z26" i="14"/>
  <c r="AA26" i="14"/>
  <c r="AB26" i="14"/>
  <c r="AC26" i="14"/>
  <c r="AD26" i="14"/>
  <c r="AE26" i="14"/>
  <c r="AF26" i="14"/>
  <c r="AG26" i="14"/>
  <c r="K27" i="14"/>
  <c r="L27" i="14"/>
  <c r="M27" i="14"/>
  <c r="N27" i="14"/>
  <c r="O27" i="14"/>
  <c r="P27" i="14"/>
  <c r="Q27" i="14"/>
  <c r="R27" i="14"/>
  <c r="S27" i="14"/>
  <c r="T27" i="14"/>
  <c r="U27" i="14"/>
  <c r="V27" i="14"/>
  <c r="W27" i="14"/>
  <c r="X27" i="14"/>
  <c r="Y27" i="14"/>
  <c r="Z27" i="14"/>
  <c r="AA27" i="14"/>
  <c r="AB27" i="14"/>
  <c r="AC27" i="14"/>
  <c r="AD27" i="14"/>
  <c r="AE27" i="14"/>
  <c r="AF27" i="14"/>
  <c r="AG27" i="14"/>
  <c r="J27" i="14"/>
  <c r="J26" i="14"/>
  <c r="J28" i="14" s="1"/>
  <c r="K18" i="14"/>
  <c r="K20" i="14" s="1"/>
  <c r="L18" i="14"/>
  <c r="M18" i="14"/>
  <c r="N18" i="14"/>
  <c r="O18" i="14"/>
  <c r="P18" i="14"/>
  <c r="Q18" i="14"/>
  <c r="R18" i="14"/>
  <c r="S18" i="14"/>
  <c r="T18" i="14"/>
  <c r="U18" i="14"/>
  <c r="V18" i="14"/>
  <c r="W18" i="14"/>
  <c r="X18" i="14"/>
  <c r="Y18" i="14"/>
  <c r="Z18" i="14"/>
  <c r="AA18" i="14"/>
  <c r="AB18" i="14"/>
  <c r="AC18" i="14"/>
  <c r="AD18" i="14"/>
  <c r="AE18" i="14"/>
  <c r="AF18" i="14"/>
  <c r="AG18" i="14"/>
  <c r="K19" i="14"/>
  <c r="L19" i="14"/>
  <c r="M19" i="14"/>
  <c r="N19" i="14"/>
  <c r="O19" i="14"/>
  <c r="P19" i="14"/>
  <c r="Q19" i="14"/>
  <c r="R19" i="14"/>
  <c r="S19" i="14"/>
  <c r="T19" i="14"/>
  <c r="U19" i="14"/>
  <c r="V19" i="14"/>
  <c r="W19" i="14"/>
  <c r="X19" i="14"/>
  <c r="Y19" i="14"/>
  <c r="Z19" i="14"/>
  <c r="AA19" i="14"/>
  <c r="AB19" i="14"/>
  <c r="AC19" i="14"/>
  <c r="AD19" i="14"/>
  <c r="AE19" i="14"/>
  <c r="AF19" i="14"/>
  <c r="AG19" i="14"/>
  <c r="J19" i="14"/>
  <c r="J18" i="14"/>
  <c r="J20" i="14" s="1"/>
  <c r="K10" i="14"/>
  <c r="K12" i="14" s="1"/>
  <c r="L10" i="14"/>
  <c r="M10" i="14"/>
  <c r="N10" i="14"/>
  <c r="O10" i="14"/>
  <c r="P10" i="14"/>
  <c r="Q10" i="14"/>
  <c r="R10" i="14"/>
  <c r="S10" i="14"/>
  <c r="T10" i="14"/>
  <c r="U10" i="14"/>
  <c r="V10" i="14"/>
  <c r="W10" i="14"/>
  <c r="X10" i="14"/>
  <c r="Y10" i="14"/>
  <c r="Z10" i="14"/>
  <c r="AA10" i="14"/>
  <c r="AB10" i="14"/>
  <c r="AC10" i="14"/>
  <c r="AD10" i="14"/>
  <c r="AE10" i="14"/>
  <c r="AF10" i="14"/>
  <c r="AG10" i="14"/>
  <c r="K11" i="14"/>
  <c r="L11" i="14"/>
  <c r="M11" i="14"/>
  <c r="N11" i="14"/>
  <c r="O11" i="14"/>
  <c r="P11" i="14"/>
  <c r="Q11" i="14"/>
  <c r="R11" i="14"/>
  <c r="S11" i="14"/>
  <c r="T11" i="14"/>
  <c r="U11" i="14"/>
  <c r="V11" i="14"/>
  <c r="W11" i="14"/>
  <c r="X11" i="14"/>
  <c r="Y11" i="14"/>
  <c r="Z11" i="14"/>
  <c r="AA11" i="14"/>
  <c r="AB11" i="14"/>
  <c r="AC11" i="14"/>
  <c r="AD11" i="14"/>
  <c r="AE11" i="14"/>
  <c r="AF11" i="14"/>
  <c r="AG11" i="14"/>
  <c r="J11" i="14"/>
  <c r="J10" i="14"/>
  <c r="J12" i="14" s="1"/>
  <c r="AF17" i="14"/>
  <c r="AG17" i="14"/>
  <c r="K5" i="14"/>
  <c r="L5" i="14"/>
  <c r="M5" i="14"/>
  <c r="N5" i="14"/>
  <c r="O5" i="14"/>
  <c r="P5" i="14"/>
  <c r="Q5" i="14"/>
  <c r="R5" i="14"/>
  <c r="S5" i="14"/>
  <c r="T5" i="14"/>
  <c r="U5" i="14"/>
  <c r="V5" i="14"/>
  <c r="W5" i="14"/>
  <c r="X5" i="14"/>
  <c r="Y5" i="14"/>
  <c r="Z5" i="14"/>
  <c r="AA5" i="14"/>
  <c r="AB5" i="14"/>
  <c r="AC5" i="14"/>
  <c r="AD5" i="14"/>
  <c r="AE5" i="14"/>
  <c r="AF5" i="14"/>
  <c r="AG5" i="14"/>
  <c r="L17" i="6"/>
  <c r="M17" i="6"/>
  <c r="N17" i="6"/>
  <c r="O17" i="6"/>
  <c r="P17" i="6"/>
  <c r="Q17" i="6"/>
  <c r="R17" i="6"/>
  <c r="S17" i="6"/>
  <c r="T17" i="6"/>
  <c r="U17" i="6"/>
  <c r="V17" i="6"/>
  <c r="W17" i="6"/>
  <c r="X17" i="6"/>
  <c r="Y17" i="6"/>
  <c r="Z17" i="6"/>
  <c r="AA17" i="6"/>
  <c r="AB17" i="6"/>
  <c r="AC17" i="6"/>
  <c r="AD17" i="6"/>
  <c r="AE17" i="6"/>
  <c r="AF17" i="6"/>
  <c r="L31" i="6"/>
  <c r="M31" i="6"/>
  <c r="L17" i="14" s="1"/>
  <c r="N31" i="6"/>
  <c r="M17" i="14" s="1"/>
  <c r="O31" i="6"/>
  <c r="N17" i="14" s="1"/>
  <c r="P31" i="6"/>
  <c r="O17" i="14" s="1"/>
  <c r="Q31" i="6"/>
  <c r="P17" i="14" s="1"/>
  <c r="R31" i="6"/>
  <c r="Q17" i="14" s="1"/>
  <c r="S31" i="6"/>
  <c r="R17" i="14" s="1"/>
  <c r="T31" i="6"/>
  <c r="S17" i="14" s="1"/>
  <c r="U31" i="6"/>
  <c r="T17" i="14" s="1"/>
  <c r="V31" i="6"/>
  <c r="U17" i="14" s="1"/>
  <c r="W31" i="6"/>
  <c r="V17" i="14" s="1"/>
  <c r="X31" i="6"/>
  <c r="W17" i="14" s="1"/>
  <c r="Y31" i="6"/>
  <c r="X17" i="14" s="1"/>
  <c r="Z31" i="6"/>
  <c r="Y17" i="14" s="1"/>
  <c r="AA31" i="6"/>
  <c r="Z17" i="14" s="1"/>
  <c r="AB31" i="6"/>
  <c r="AA17" i="14" s="1"/>
  <c r="AC31" i="6"/>
  <c r="AB17" i="14" s="1"/>
  <c r="AD31" i="6"/>
  <c r="AC17" i="14" s="1"/>
  <c r="AE31" i="6"/>
  <c r="AD17" i="14" s="1"/>
  <c r="AF31" i="6"/>
  <c r="AE17" i="14" s="1"/>
  <c r="L43" i="6"/>
  <c r="M43" i="6"/>
  <c r="N43" i="6"/>
  <c r="O43" i="6"/>
  <c r="P43" i="6"/>
  <c r="Q43" i="6"/>
  <c r="R43" i="6"/>
  <c r="S43" i="6"/>
  <c r="T43" i="6"/>
  <c r="U43" i="6"/>
  <c r="V43" i="6"/>
  <c r="W43" i="6"/>
  <c r="X43" i="6"/>
  <c r="Y43" i="6"/>
  <c r="Z43" i="6"/>
  <c r="AA43" i="6"/>
  <c r="AB43" i="6"/>
  <c r="AC43" i="6"/>
  <c r="AD43" i="6"/>
  <c r="AE43" i="6"/>
  <c r="AF43" i="6"/>
  <c r="L53" i="6"/>
  <c r="M53" i="6"/>
  <c r="N53" i="6"/>
  <c r="O53" i="6"/>
  <c r="P53" i="6"/>
  <c r="Q53" i="6"/>
  <c r="R53" i="6"/>
  <c r="S53" i="6"/>
  <c r="T53" i="6"/>
  <c r="U53" i="6"/>
  <c r="V53" i="6"/>
  <c r="W53" i="6"/>
  <c r="X53" i="6"/>
  <c r="Y53" i="6"/>
  <c r="Z53" i="6"/>
  <c r="AA53" i="6"/>
  <c r="AB53" i="6"/>
  <c r="AC53" i="6"/>
  <c r="AD53" i="6"/>
  <c r="AE53" i="6"/>
  <c r="AF53" i="6"/>
  <c r="H50" i="6"/>
  <c r="H39" i="6"/>
  <c r="H71" i="15" s="1"/>
  <c r="H26" i="6"/>
  <c r="H42" i="15" s="1"/>
  <c r="H11" i="6"/>
  <c r="H8" i="15" s="1"/>
  <c r="K53" i="6"/>
  <c r="J54" i="6"/>
  <c r="K43" i="6"/>
  <c r="J44" i="6"/>
  <c r="K31" i="6"/>
  <c r="K17" i="6"/>
  <c r="K8" i="23"/>
  <c r="L8" i="23"/>
  <c r="M8" i="23"/>
  <c r="N8" i="23"/>
  <c r="O8" i="23"/>
  <c r="P8" i="23"/>
  <c r="Q8" i="23"/>
  <c r="R8" i="23"/>
  <c r="S8" i="23"/>
  <c r="T8" i="23"/>
  <c r="U8" i="23"/>
  <c r="V8" i="23"/>
  <c r="W8" i="23"/>
  <c r="X8" i="23"/>
  <c r="Y8" i="23"/>
  <c r="Z8" i="23"/>
  <c r="AA8" i="23"/>
  <c r="AB8" i="23"/>
  <c r="AC8" i="23"/>
  <c r="AD8" i="23"/>
  <c r="AE8" i="23"/>
  <c r="AF8" i="23"/>
  <c r="AG8" i="23"/>
  <c r="K18" i="23"/>
  <c r="L18" i="23"/>
  <c r="M18" i="23"/>
  <c r="N18" i="23"/>
  <c r="O18" i="23"/>
  <c r="P18" i="23"/>
  <c r="Q18" i="23"/>
  <c r="R18" i="23"/>
  <c r="S18" i="23"/>
  <c r="T18" i="23"/>
  <c r="U18" i="23"/>
  <c r="V18" i="23"/>
  <c r="W18" i="23"/>
  <c r="X18" i="23"/>
  <c r="Y18" i="23"/>
  <c r="Z18" i="23"/>
  <c r="AA18" i="23"/>
  <c r="AB18" i="23"/>
  <c r="AC18" i="23"/>
  <c r="AD18" i="23"/>
  <c r="AE18" i="23"/>
  <c r="AF18" i="23"/>
  <c r="AG18" i="23"/>
  <c r="J18" i="23"/>
  <c r="J15" i="23" s="1"/>
  <c r="J8" i="23"/>
  <c r="J5" i="23" s="1"/>
  <c r="N20" i="23"/>
  <c r="O20" i="23"/>
  <c r="P20" i="23"/>
  <c r="Q20" i="23"/>
  <c r="R20" i="23"/>
  <c r="S20" i="23"/>
  <c r="T20" i="23"/>
  <c r="U20" i="23"/>
  <c r="V20" i="23"/>
  <c r="W20" i="23"/>
  <c r="X20" i="23"/>
  <c r="Y20" i="23"/>
  <c r="Z20" i="23"/>
  <c r="AA20" i="23"/>
  <c r="AB20" i="23"/>
  <c r="AC20" i="23"/>
  <c r="AD20" i="23"/>
  <c r="AE20" i="23"/>
  <c r="AF20" i="23"/>
  <c r="AG20" i="23"/>
  <c r="M20" i="23"/>
  <c r="N10" i="23"/>
  <c r="O10" i="23"/>
  <c r="P10" i="23"/>
  <c r="Q10" i="23"/>
  <c r="R10" i="23"/>
  <c r="S10" i="23"/>
  <c r="T10" i="23"/>
  <c r="U10" i="23"/>
  <c r="V10" i="23"/>
  <c r="W10" i="23"/>
  <c r="X10" i="23"/>
  <c r="Y10" i="23"/>
  <c r="Z10" i="23"/>
  <c r="AA10" i="23"/>
  <c r="AB10" i="23"/>
  <c r="AC10" i="23"/>
  <c r="AD10" i="23"/>
  <c r="AE10" i="23"/>
  <c r="AF10" i="23"/>
  <c r="AG10" i="23"/>
  <c r="M10" i="23"/>
  <c r="K21" i="23"/>
  <c r="L21" i="23"/>
  <c r="J21" i="23"/>
  <c r="J16" i="23" s="1"/>
  <c r="K11" i="23"/>
  <c r="L11" i="23"/>
  <c r="J11" i="23"/>
  <c r="J6" i="23" s="1"/>
  <c r="M20" i="25"/>
  <c r="N20" i="25"/>
  <c r="O20" i="25"/>
  <c r="P20" i="25"/>
  <c r="Q20" i="25"/>
  <c r="R20" i="25"/>
  <c r="S20" i="25"/>
  <c r="T20" i="25"/>
  <c r="U20" i="25"/>
  <c r="V20" i="25"/>
  <c r="W20" i="25"/>
  <c r="X20" i="25"/>
  <c r="Y20" i="25"/>
  <c r="Z20" i="25"/>
  <c r="AA20" i="25"/>
  <c r="AB20" i="25"/>
  <c r="AC20" i="25"/>
  <c r="AD20" i="25"/>
  <c r="AE20" i="25"/>
  <c r="AF20" i="25"/>
  <c r="AG20" i="25"/>
  <c r="L20" i="25"/>
  <c r="M10" i="25"/>
  <c r="N10" i="25"/>
  <c r="O10" i="25"/>
  <c r="P10" i="25"/>
  <c r="Q10" i="25"/>
  <c r="R10" i="25"/>
  <c r="S10" i="25"/>
  <c r="T10" i="25"/>
  <c r="U10" i="25"/>
  <c r="V10" i="25"/>
  <c r="W10" i="25"/>
  <c r="X10" i="25"/>
  <c r="Y10" i="25"/>
  <c r="Z10" i="25"/>
  <c r="AA10" i="25"/>
  <c r="AB10" i="25"/>
  <c r="AC10" i="25"/>
  <c r="AD10" i="25"/>
  <c r="AE10" i="25"/>
  <c r="AF10" i="25"/>
  <c r="AG10" i="25"/>
  <c r="L10" i="25"/>
  <c r="K21" i="25"/>
  <c r="J21" i="25"/>
  <c r="K11" i="25"/>
  <c r="J11" i="25"/>
  <c r="J6" i="25" s="1"/>
  <c r="K18" i="25"/>
  <c r="L18" i="25"/>
  <c r="M18" i="25"/>
  <c r="N18" i="25"/>
  <c r="O18" i="25"/>
  <c r="P18" i="25"/>
  <c r="Q18" i="25"/>
  <c r="R18" i="25"/>
  <c r="S18" i="25"/>
  <c r="T18" i="25"/>
  <c r="U18" i="25"/>
  <c r="V18" i="25"/>
  <c r="W18" i="25"/>
  <c r="X18" i="25"/>
  <c r="Y18" i="25"/>
  <c r="Z18" i="25"/>
  <c r="AA18" i="25"/>
  <c r="AB18" i="25"/>
  <c r="AC18" i="25"/>
  <c r="AD18" i="25"/>
  <c r="AE18" i="25"/>
  <c r="AF18" i="25"/>
  <c r="AG18" i="25"/>
  <c r="K8" i="25"/>
  <c r="L8" i="25"/>
  <c r="M8" i="25"/>
  <c r="N8" i="25"/>
  <c r="O8" i="25"/>
  <c r="P8" i="25"/>
  <c r="Q8" i="25"/>
  <c r="R8" i="25"/>
  <c r="S8" i="25"/>
  <c r="T8" i="25"/>
  <c r="U8" i="25"/>
  <c r="V8" i="25"/>
  <c r="W8" i="25"/>
  <c r="X8" i="25"/>
  <c r="Y8" i="25"/>
  <c r="Z8" i="25"/>
  <c r="AA8" i="25"/>
  <c r="AB8" i="25"/>
  <c r="AC8" i="25"/>
  <c r="AD8" i="25"/>
  <c r="AE8" i="25"/>
  <c r="AF8" i="25"/>
  <c r="AG8" i="25"/>
  <c r="J18" i="25"/>
  <c r="J15" i="25" s="1"/>
  <c r="J8" i="25"/>
  <c r="J5" i="25" s="1"/>
  <c r="I17" i="23"/>
  <c r="I7" i="23"/>
  <c r="I17" i="25"/>
  <c r="I7" i="25"/>
  <c r="I17" i="24"/>
  <c r="I7" i="24"/>
  <c r="I37" i="1"/>
  <c r="I27" i="1"/>
  <c r="I17" i="1"/>
  <c r="L20" i="24"/>
  <c r="M20" i="24"/>
  <c r="N20" i="24"/>
  <c r="O20" i="24"/>
  <c r="P20" i="24"/>
  <c r="Q20" i="24"/>
  <c r="R20" i="24"/>
  <c r="S20" i="24"/>
  <c r="T20" i="24"/>
  <c r="U20" i="24"/>
  <c r="V20" i="24"/>
  <c r="W20" i="24"/>
  <c r="X20" i="24"/>
  <c r="Y20" i="24"/>
  <c r="Z20" i="24"/>
  <c r="AA20" i="24"/>
  <c r="AB20" i="24"/>
  <c r="AC20" i="24"/>
  <c r="AD20" i="24"/>
  <c r="AE20" i="24"/>
  <c r="AF20" i="24"/>
  <c r="AG20" i="24"/>
  <c r="L10" i="24"/>
  <c r="M10" i="24"/>
  <c r="N10" i="24"/>
  <c r="O10" i="24"/>
  <c r="P10" i="24"/>
  <c r="Q10" i="24"/>
  <c r="R10" i="24"/>
  <c r="S10" i="24"/>
  <c r="T10" i="24"/>
  <c r="U10" i="24"/>
  <c r="V10" i="24"/>
  <c r="W10" i="24"/>
  <c r="X10" i="24"/>
  <c r="Y10" i="24"/>
  <c r="Z10" i="24"/>
  <c r="AA10" i="24"/>
  <c r="AB10" i="24"/>
  <c r="AC10" i="24"/>
  <c r="AD10" i="24"/>
  <c r="AE10" i="24"/>
  <c r="AF10" i="24"/>
  <c r="AG10" i="24"/>
  <c r="K20" i="24"/>
  <c r="K10" i="24"/>
  <c r="J11" i="24"/>
  <c r="J21" i="24"/>
  <c r="J16" i="24" s="1"/>
  <c r="K8" i="24"/>
  <c r="L8" i="24"/>
  <c r="M8" i="24"/>
  <c r="N8" i="24"/>
  <c r="O8" i="24"/>
  <c r="P8" i="24"/>
  <c r="Q8" i="24"/>
  <c r="R8" i="24"/>
  <c r="S8" i="24"/>
  <c r="T8" i="24"/>
  <c r="U8" i="24"/>
  <c r="V8" i="24"/>
  <c r="W8" i="24"/>
  <c r="X8" i="24"/>
  <c r="Y8" i="24"/>
  <c r="Z8" i="24"/>
  <c r="AA8" i="24"/>
  <c r="AB8" i="24"/>
  <c r="AC8" i="24"/>
  <c r="AD8" i="24"/>
  <c r="AE8" i="24"/>
  <c r="AF8" i="24"/>
  <c r="AG8" i="24"/>
  <c r="K18" i="24"/>
  <c r="L18" i="24"/>
  <c r="M18" i="24"/>
  <c r="N18" i="24"/>
  <c r="O18" i="24"/>
  <c r="P18" i="24"/>
  <c r="Q18" i="24"/>
  <c r="R18" i="24"/>
  <c r="S18" i="24"/>
  <c r="T18" i="24"/>
  <c r="U18" i="24"/>
  <c r="V18" i="24"/>
  <c r="W18" i="24"/>
  <c r="X18" i="24"/>
  <c r="Y18" i="24"/>
  <c r="Z18" i="24"/>
  <c r="AA18" i="24"/>
  <c r="AB18" i="24"/>
  <c r="AC18" i="24"/>
  <c r="AD18" i="24"/>
  <c r="AE18" i="24"/>
  <c r="AF18" i="24"/>
  <c r="AG18" i="24"/>
  <c r="J18" i="24"/>
  <c r="J15" i="24" s="1"/>
  <c r="J8" i="24"/>
  <c r="J5" i="24" s="1"/>
  <c r="K40" i="1"/>
  <c r="L40" i="1"/>
  <c r="M40" i="1"/>
  <c r="N40" i="1"/>
  <c r="O40" i="1"/>
  <c r="P40" i="1"/>
  <c r="Q40" i="1"/>
  <c r="R40" i="1"/>
  <c r="S40" i="1"/>
  <c r="T40" i="1"/>
  <c r="U40" i="1"/>
  <c r="V40" i="1"/>
  <c r="W40" i="1"/>
  <c r="X40" i="1"/>
  <c r="Y40" i="1"/>
  <c r="Z40" i="1"/>
  <c r="AA40" i="1"/>
  <c r="AB40" i="1"/>
  <c r="AC40" i="1"/>
  <c r="AD40" i="1"/>
  <c r="AE40" i="1"/>
  <c r="AF40" i="1"/>
  <c r="AG40" i="1"/>
  <c r="K30" i="1"/>
  <c r="L30" i="1"/>
  <c r="M30" i="1"/>
  <c r="N30" i="1"/>
  <c r="O30" i="1"/>
  <c r="P30" i="1"/>
  <c r="Q30" i="1"/>
  <c r="R30" i="1"/>
  <c r="S30" i="1"/>
  <c r="T30" i="1"/>
  <c r="U30" i="1"/>
  <c r="V30" i="1"/>
  <c r="W30" i="1"/>
  <c r="X30" i="1"/>
  <c r="Y30" i="1"/>
  <c r="Z30" i="1"/>
  <c r="AA30" i="1"/>
  <c r="AB30" i="1"/>
  <c r="AC30" i="1"/>
  <c r="AD30" i="1"/>
  <c r="AE30" i="1"/>
  <c r="AF30" i="1"/>
  <c r="AG30" i="1"/>
  <c r="K20" i="1"/>
  <c r="L20" i="1"/>
  <c r="M20" i="1"/>
  <c r="N20" i="1"/>
  <c r="O20" i="1"/>
  <c r="P20" i="1"/>
  <c r="Q20" i="1"/>
  <c r="R20" i="1"/>
  <c r="S20" i="1"/>
  <c r="T20" i="1"/>
  <c r="U20" i="1"/>
  <c r="V20" i="1"/>
  <c r="W20" i="1"/>
  <c r="X20" i="1"/>
  <c r="Y20" i="1"/>
  <c r="Z20" i="1"/>
  <c r="AA20" i="1"/>
  <c r="AB20" i="1"/>
  <c r="AC20" i="1"/>
  <c r="AD20" i="1"/>
  <c r="AE20" i="1"/>
  <c r="AF20" i="1"/>
  <c r="AG20" i="1"/>
  <c r="K10" i="1"/>
  <c r="L10" i="1"/>
  <c r="M10" i="1"/>
  <c r="N10" i="1"/>
  <c r="O10" i="1"/>
  <c r="P10" i="1"/>
  <c r="Q10" i="1"/>
  <c r="R10" i="1"/>
  <c r="S10" i="1"/>
  <c r="T10" i="1"/>
  <c r="U10" i="1"/>
  <c r="V10" i="1"/>
  <c r="W10" i="1"/>
  <c r="X10" i="1"/>
  <c r="Y10" i="1"/>
  <c r="Z10" i="1"/>
  <c r="AA10" i="1"/>
  <c r="AB10" i="1"/>
  <c r="AC10" i="1"/>
  <c r="AD10" i="1"/>
  <c r="AE10" i="1"/>
  <c r="AF10" i="1"/>
  <c r="AG10" i="1"/>
  <c r="J40" i="1"/>
  <c r="J36" i="1" s="1"/>
  <c r="J30" i="1"/>
  <c r="J26" i="1" s="1"/>
  <c r="J28" i="1"/>
  <c r="J25" i="1" s="1"/>
  <c r="J20" i="1"/>
  <c r="J16" i="1" s="1"/>
  <c r="J10" i="1"/>
  <c r="J6" i="1" s="1"/>
  <c r="K38" i="1"/>
  <c r="L38" i="1"/>
  <c r="M38" i="1"/>
  <c r="N38" i="1"/>
  <c r="O38" i="1"/>
  <c r="P38" i="1"/>
  <c r="Q38" i="1"/>
  <c r="R38" i="1"/>
  <c r="S38" i="1"/>
  <c r="T38" i="1"/>
  <c r="U38" i="1"/>
  <c r="V38" i="1"/>
  <c r="W38" i="1"/>
  <c r="X38" i="1"/>
  <c r="Y38" i="1"/>
  <c r="Z38" i="1"/>
  <c r="AA38" i="1"/>
  <c r="AB38" i="1"/>
  <c r="AC38" i="1"/>
  <c r="AD38" i="1"/>
  <c r="AE38" i="1"/>
  <c r="AF38" i="1"/>
  <c r="AG38" i="1"/>
  <c r="K28" i="1"/>
  <c r="L28" i="1"/>
  <c r="M28" i="1"/>
  <c r="N28" i="1"/>
  <c r="O28" i="1"/>
  <c r="P28" i="1"/>
  <c r="Q28" i="1"/>
  <c r="R28" i="1"/>
  <c r="S28" i="1"/>
  <c r="T28" i="1"/>
  <c r="U28" i="1"/>
  <c r="V28" i="1"/>
  <c r="W28" i="1"/>
  <c r="X28" i="1"/>
  <c r="Y28" i="1"/>
  <c r="Z28" i="1"/>
  <c r="AA28" i="1"/>
  <c r="AB28" i="1"/>
  <c r="AC28" i="1"/>
  <c r="AD28" i="1"/>
  <c r="AE28" i="1"/>
  <c r="AF28" i="1"/>
  <c r="AG28" i="1"/>
  <c r="K18" i="1"/>
  <c r="L18" i="1"/>
  <c r="M18" i="1"/>
  <c r="N18" i="1"/>
  <c r="O18" i="1"/>
  <c r="P18" i="1"/>
  <c r="Q18" i="1"/>
  <c r="R18" i="1"/>
  <c r="S18" i="1"/>
  <c r="T18" i="1"/>
  <c r="U18" i="1"/>
  <c r="V18" i="1"/>
  <c r="W18" i="1"/>
  <c r="X18" i="1"/>
  <c r="Y18" i="1"/>
  <c r="Z18" i="1"/>
  <c r="AA18" i="1"/>
  <c r="AB18" i="1"/>
  <c r="AC18" i="1"/>
  <c r="AD18" i="1"/>
  <c r="AE18" i="1"/>
  <c r="AF18" i="1"/>
  <c r="AG18" i="1"/>
  <c r="K8" i="1"/>
  <c r="L8" i="1"/>
  <c r="M8" i="1"/>
  <c r="N8" i="1"/>
  <c r="O8" i="1"/>
  <c r="P8" i="1"/>
  <c r="Q8" i="1"/>
  <c r="R8" i="1"/>
  <c r="S8" i="1"/>
  <c r="T8" i="1"/>
  <c r="U8" i="1"/>
  <c r="V8" i="1"/>
  <c r="W8" i="1"/>
  <c r="X8" i="1"/>
  <c r="Y8" i="1"/>
  <c r="Z8" i="1"/>
  <c r="AA8" i="1"/>
  <c r="AB8" i="1"/>
  <c r="AC8" i="1"/>
  <c r="AD8" i="1"/>
  <c r="AE8" i="1"/>
  <c r="AF8" i="1"/>
  <c r="AG8" i="1"/>
  <c r="J38" i="1"/>
  <c r="J35" i="1" s="1"/>
  <c r="J18" i="1"/>
  <c r="J8" i="1"/>
  <c r="J5" i="1" l="1"/>
  <c r="J7" i="1" s="1"/>
  <c r="J22" i="1"/>
  <c r="J15" i="1"/>
  <c r="J17" i="1" s="1"/>
  <c r="J7" i="23"/>
  <c r="J17" i="24"/>
  <c r="J7" i="25"/>
  <c r="J27" i="1"/>
  <c r="J17" i="23"/>
  <c r="I49" i="6"/>
  <c r="I50" i="6" s="1"/>
  <c r="J37" i="1"/>
  <c r="H95" i="15"/>
  <c r="J6" i="24"/>
  <c r="J7" i="24" s="1"/>
  <c r="J16" i="25"/>
  <c r="J17" i="25" s="1"/>
  <c r="J13" i="14"/>
  <c r="I24" i="6"/>
  <c r="I37" i="6"/>
  <c r="I39" i="6" s="1"/>
  <c r="I23" i="6"/>
  <c r="L39" i="15"/>
  <c r="L41" i="15" s="1"/>
  <c r="I10" i="15"/>
  <c r="I12" i="15" s="1"/>
  <c r="I11" i="15"/>
  <c r="K17" i="14"/>
  <c r="K37" i="14"/>
  <c r="J37" i="14"/>
  <c r="K29" i="14"/>
  <c r="J29" i="14"/>
  <c r="J21" i="14"/>
  <c r="J17" i="14"/>
  <c r="K13" i="14" l="1"/>
  <c r="I26" i="6"/>
  <c r="J6" i="14"/>
  <c r="L5" i="15"/>
  <c r="L7" i="15" s="1"/>
  <c r="K21" i="14"/>
  <c r="I13" i="15"/>
  <c r="J12" i="23"/>
  <c r="J13" i="23" s="1"/>
  <c r="J22" i="23"/>
  <c r="J23" i="23" s="1"/>
  <c r="J22" i="25"/>
  <c r="J12" i="25"/>
  <c r="J13" i="25" s="1"/>
  <c r="K12" i="25" s="1"/>
  <c r="J22" i="24"/>
  <c r="J23" i="24" s="1"/>
  <c r="K22" i="24" s="1"/>
  <c r="J12" i="24"/>
  <c r="J42" i="1"/>
  <c r="J32" i="1"/>
  <c r="I27" i="6"/>
  <c r="I12" i="6"/>
  <c r="J11" i="6"/>
  <c r="L68" i="15"/>
  <c r="L70" i="15" s="1"/>
  <c r="K68" i="15"/>
  <c r="L92" i="15"/>
  <c r="L94" i="15" s="1"/>
  <c r="K92" i="15"/>
  <c r="K94" i="15" s="1"/>
  <c r="K39" i="15"/>
  <c r="K41" i="15" s="1"/>
  <c r="J22" i="14"/>
  <c r="K22" i="14" s="1"/>
  <c r="J13" i="24" l="1"/>
  <c r="K12" i="24" s="1"/>
  <c r="I19" i="15" s="1"/>
  <c r="J23" i="25"/>
  <c r="K22" i="25" s="1"/>
  <c r="K23" i="25" s="1"/>
  <c r="L22" i="25" s="1"/>
  <c r="I40" i="6"/>
  <c r="I51" i="6"/>
  <c r="I3" i="6" s="1"/>
  <c r="K70" i="15"/>
  <c r="J33" i="1"/>
  <c r="K32" i="1" s="1"/>
  <c r="K12" i="23"/>
  <c r="K22" i="23"/>
  <c r="K13" i="25"/>
  <c r="L12" i="25" s="1"/>
  <c r="J43" i="1"/>
  <c r="K42" i="1" s="1"/>
  <c r="I53" i="15"/>
  <c r="I28" i="6"/>
  <c r="K23" i="24"/>
  <c r="L22" i="24" s="1"/>
  <c r="J23" i="1"/>
  <c r="K22" i="1" s="1"/>
  <c r="J13" i="1"/>
  <c r="K48" i="1"/>
  <c r="J74" i="15"/>
  <c r="K74" i="15"/>
  <c r="L74" i="15"/>
  <c r="M74" i="15"/>
  <c r="N74" i="15"/>
  <c r="O74" i="15"/>
  <c r="P74" i="15"/>
  <c r="Q74" i="15"/>
  <c r="R74" i="15"/>
  <c r="S74" i="15"/>
  <c r="T74" i="15"/>
  <c r="U74" i="15"/>
  <c r="V74" i="15"/>
  <c r="W74" i="15"/>
  <c r="X74" i="15"/>
  <c r="Y74" i="15"/>
  <c r="Z74" i="15"/>
  <c r="AA74" i="15"/>
  <c r="AB74" i="15"/>
  <c r="AC74" i="15"/>
  <c r="AD74" i="15"/>
  <c r="AE74" i="15"/>
  <c r="AF74" i="15"/>
  <c r="I74" i="15"/>
  <c r="I45" i="15"/>
  <c r="K13" i="24" l="1"/>
  <c r="L12" i="24" s="1"/>
  <c r="I13" i="6"/>
  <c r="K23" i="23"/>
  <c r="L22" i="23" s="1"/>
  <c r="L23" i="23" s="1"/>
  <c r="M22" i="23" s="1"/>
  <c r="K13" i="23"/>
  <c r="L12" i="23" s="1"/>
  <c r="K43" i="1"/>
  <c r="L42" i="1" s="1"/>
  <c r="J77" i="15"/>
  <c r="K33" i="1"/>
  <c r="L32" i="1" s="1"/>
  <c r="J40" i="6"/>
  <c r="J51" i="6"/>
  <c r="J3" i="6" s="1"/>
  <c r="K12" i="1"/>
  <c r="I82" i="15"/>
  <c r="I41" i="6"/>
  <c r="I1" i="6" s="1"/>
  <c r="L23" i="25"/>
  <c r="M22" i="25" s="1"/>
  <c r="I14" i="6"/>
  <c r="I24" i="15"/>
  <c r="L13" i="25"/>
  <c r="M12" i="25" s="1"/>
  <c r="L23" i="24"/>
  <c r="M22" i="24" s="1"/>
  <c r="J45" i="15"/>
  <c r="K45" i="15"/>
  <c r="L45" i="15"/>
  <c r="M45" i="15"/>
  <c r="N45" i="15"/>
  <c r="O45" i="15"/>
  <c r="P45" i="15"/>
  <c r="Q45" i="15"/>
  <c r="R45" i="15"/>
  <c r="S45" i="15"/>
  <c r="T45" i="15"/>
  <c r="U45" i="15"/>
  <c r="V45" i="15"/>
  <c r="W45" i="15"/>
  <c r="X45" i="15"/>
  <c r="Y45" i="15"/>
  <c r="Z45" i="15"/>
  <c r="AA45" i="15"/>
  <c r="AB45" i="15"/>
  <c r="AC45" i="15"/>
  <c r="AD45" i="15"/>
  <c r="AE45" i="15"/>
  <c r="AF45" i="15"/>
  <c r="J11" i="15"/>
  <c r="L11" i="15"/>
  <c r="M11" i="15"/>
  <c r="N11" i="15"/>
  <c r="O11" i="15"/>
  <c r="P11" i="15"/>
  <c r="Q11" i="15"/>
  <c r="R11" i="15"/>
  <c r="S11" i="15"/>
  <c r="T11" i="15"/>
  <c r="U11" i="15"/>
  <c r="V11" i="15"/>
  <c r="W11" i="15"/>
  <c r="X11" i="15"/>
  <c r="Y11" i="15"/>
  <c r="Z11" i="15"/>
  <c r="AA11" i="15"/>
  <c r="AB11" i="15"/>
  <c r="AC11" i="15"/>
  <c r="AD11" i="15"/>
  <c r="AE11" i="15"/>
  <c r="AF11" i="15"/>
  <c r="L13" i="23" l="1"/>
  <c r="M12" i="23" s="1"/>
  <c r="I29" i="15" s="1"/>
  <c r="J12" i="6"/>
  <c r="K23" i="1"/>
  <c r="L22" i="1" s="1"/>
  <c r="L43" i="1"/>
  <c r="M42" i="1" s="1"/>
  <c r="K77" i="15"/>
  <c r="J48" i="15"/>
  <c r="K51" i="6"/>
  <c r="K3" i="6" s="1"/>
  <c r="K40" i="6"/>
  <c r="L33" i="1"/>
  <c r="J27" i="6"/>
  <c r="I29" i="6"/>
  <c r="I2" i="6" s="1"/>
  <c r="I58" i="15"/>
  <c r="M23" i="23"/>
  <c r="N22" i="23" s="1"/>
  <c r="M13" i="25"/>
  <c r="N12" i="25" s="1"/>
  <c r="J28" i="6"/>
  <c r="J53" i="15"/>
  <c r="M23" i="24"/>
  <c r="N22" i="24" s="1"/>
  <c r="J13" i="6"/>
  <c r="J19" i="15"/>
  <c r="L13" i="24"/>
  <c r="M12" i="24" s="1"/>
  <c r="M13" i="23" l="1"/>
  <c r="N12" i="23" s="1"/>
  <c r="I15" i="6"/>
  <c r="I4" i="6" s="1"/>
  <c r="L23" i="1"/>
  <c r="M22" i="1" s="1"/>
  <c r="L51" i="6"/>
  <c r="L3" i="6" s="1"/>
  <c r="M43" i="1"/>
  <c r="N42" i="1" s="1"/>
  <c r="M32" i="1"/>
  <c r="J41" i="6"/>
  <c r="J1" i="6" s="1"/>
  <c r="J82" i="15"/>
  <c r="M23" i="25"/>
  <c r="N22" i="25" s="1"/>
  <c r="N13" i="25"/>
  <c r="O12" i="25" s="1"/>
  <c r="J14" i="6"/>
  <c r="J24" i="15"/>
  <c r="N23" i="24"/>
  <c r="O22" i="24" s="1"/>
  <c r="K28" i="6"/>
  <c r="K53" i="15"/>
  <c r="M13" i="24"/>
  <c r="N12" i="24" s="1"/>
  <c r="K27" i="6"/>
  <c r="K48" i="15"/>
  <c r="I11" i="6" l="1"/>
  <c r="M23" i="1"/>
  <c r="N22" i="1" s="1"/>
  <c r="L40" i="6"/>
  <c r="N43" i="1"/>
  <c r="O42" i="1" s="1"/>
  <c r="M51" i="6"/>
  <c r="M3" i="6" s="1"/>
  <c r="L77" i="15"/>
  <c r="M33" i="1"/>
  <c r="J29" i="6"/>
  <c r="J2" i="6" s="1"/>
  <c r="J58" i="15"/>
  <c r="N23" i="23"/>
  <c r="O22" i="23" s="1"/>
  <c r="J15" i="6"/>
  <c r="J4" i="6" s="1"/>
  <c r="J29" i="15"/>
  <c r="N13" i="23"/>
  <c r="O12" i="23" s="1"/>
  <c r="N23" i="25"/>
  <c r="O22" i="25" s="1"/>
  <c r="O13" i="25"/>
  <c r="P12" i="25" s="1"/>
  <c r="K24" i="15"/>
  <c r="K14" i="6"/>
  <c r="L28" i="6"/>
  <c r="L53" i="15"/>
  <c r="N13" i="24"/>
  <c r="O12" i="24" s="1"/>
  <c r="K13" i="6"/>
  <c r="K19" i="15"/>
  <c r="L27" i="6"/>
  <c r="L48" i="15"/>
  <c r="N23" i="1" l="1"/>
  <c r="O22" i="1" s="1"/>
  <c r="N51" i="6"/>
  <c r="N3" i="6" s="1"/>
  <c r="O43" i="1"/>
  <c r="N32" i="1"/>
  <c r="O23" i="23"/>
  <c r="P22" i="23" s="1"/>
  <c r="O13" i="23"/>
  <c r="P12" i="23" s="1"/>
  <c r="O23" i="25"/>
  <c r="P22" i="25" s="1"/>
  <c r="K82" i="15"/>
  <c r="K41" i="6"/>
  <c r="K1" i="6" s="1"/>
  <c r="L14" i="6"/>
  <c r="L24" i="15"/>
  <c r="M53" i="15"/>
  <c r="M28" i="6"/>
  <c r="O23" i="24"/>
  <c r="P22" i="24" s="1"/>
  <c r="O13" i="24"/>
  <c r="P12" i="24" s="1"/>
  <c r="L13" i="6"/>
  <c r="L19" i="15"/>
  <c r="M48" i="15"/>
  <c r="M27" i="6"/>
  <c r="O23" i="1" l="1"/>
  <c r="P22" i="1" s="1"/>
  <c r="M77" i="15"/>
  <c r="P42" i="1"/>
  <c r="N33" i="1"/>
  <c r="M40" i="6"/>
  <c r="P23" i="23"/>
  <c r="Q22" i="23" s="1"/>
  <c r="K58" i="15"/>
  <c r="K29" i="6"/>
  <c r="K2" i="6" s="1"/>
  <c r="K29" i="15"/>
  <c r="K15" i="6"/>
  <c r="P23" i="25"/>
  <c r="Q22" i="25" s="1"/>
  <c r="L82" i="15"/>
  <c r="L41" i="6"/>
  <c r="L1" i="6" s="1"/>
  <c r="M14" i="6"/>
  <c r="M24" i="15"/>
  <c r="P13" i="25"/>
  <c r="Q12" i="25" s="1"/>
  <c r="P23" i="24"/>
  <c r="Q22" i="24" s="1"/>
  <c r="M13" i="6"/>
  <c r="M19" i="15"/>
  <c r="P13" i="24"/>
  <c r="Q12" i="24" s="1"/>
  <c r="N27" i="6"/>
  <c r="N48" i="15"/>
  <c r="P23" i="1" l="1"/>
  <c r="Q22" i="1" s="1"/>
  <c r="P43" i="1"/>
  <c r="Q42" i="1" s="1"/>
  <c r="O51" i="6"/>
  <c r="O3" i="6" s="1"/>
  <c r="O32" i="1"/>
  <c r="Q23" i="23"/>
  <c r="R22" i="23" s="1"/>
  <c r="L58" i="15"/>
  <c r="L29" i="6"/>
  <c r="L2" i="6" s="1"/>
  <c r="L29" i="15"/>
  <c r="L15" i="6"/>
  <c r="P13" i="23"/>
  <c r="Q12" i="23" s="1"/>
  <c r="Q23" i="25"/>
  <c r="R22" i="25" s="1"/>
  <c r="M41" i="6"/>
  <c r="M1" i="6" s="1"/>
  <c r="M82" i="15"/>
  <c r="Q13" i="25"/>
  <c r="R12" i="25" s="1"/>
  <c r="Q23" i="24"/>
  <c r="R22" i="24" s="1"/>
  <c r="N53" i="15"/>
  <c r="N28" i="6"/>
  <c r="N13" i="6"/>
  <c r="N19" i="15"/>
  <c r="O27" i="6"/>
  <c r="O48" i="15"/>
  <c r="N77" i="15" l="1"/>
  <c r="Q43" i="1"/>
  <c r="R42" i="1" s="1"/>
  <c r="P51" i="6"/>
  <c r="P3" i="6" s="1"/>
  <c r="N40" i="6"/>
  <c r="O33" i="1"/>
  <c r="R23" i="23"/>
  <c r="S22" i="23" s="1"/>
  <c r="M58" i="15"/>
  <c r="M29" i="6"/>
  <c r="M2" i="6" s="1"/>
  <c r="R23" i="25"/>
  <c r="S22" i="25" s="1"/>
  <c r="N82" i="15"/>
  <c r="N41" i="6"/>
  <c r="R13" i="25"/>
  <c r="S12" i="25" s="1"/>
  <c r="N14" i="6"/>
  <c r="N24" i="15"/>
  <c r="O53" i="15"/>
  <c r="O28" i="6"/>
  <c r="R23" i="24"/>
  <c r="S22" i="24" s="1"/>
  <c r="O13" i="6"/>
  <c r="O19" i="15"/>
  <c r="Q13" i="24"/>
  <c r="R12" i="24" s="1"/>
  <c r="P27" i="6"/>
  <c r="P48" i="15"/>
  <c r="Q23" i="1"/>
  <c r="R22" i="1" s="1"/>
  <c r="N1" i="6" l="1"/>
  <c r="Q51" i="6"/>
  <c r="Q3" i="6" s="1"/>
  <c r="R43" i="1"/>
  <c r="P32" i="1"/>
  <c r="S23" i="23"/>
  <c r="T22" i="23" s="1"/>
  <c r="N29" i="6"/>
  <c r="N2" i="6" s="1"/>
  <c r="N58" i="15"/>
  <c r="M15" i="6"/>
  <c r="M29" i="15"/>
  <c r="Q13" i="23"/>
  <c r="R12" i="23" s="1"/>
  <c r="S23" i="25"/>
  <c r="T22" i="25" s="1"/>
  <c r="O41" i="6"/>
  <c r="O82" i="15"/>
  <c r="S13" i="25"/>
  <c r="T12" i="25" s="1"/>
  <c r="O14" i="6"/>
  <c r="O24" i="15"/>
  <c r="S23" i="24"/>
  <c r="T22" i="24" s="1"/>
  <c r="P28" i="6"/>
  <c r="P53" i="15"/>
  <c r="R13" i="24"/>
  <c r="S12" i="24" s="1"/>
  <c r="R23" i="1"/>
  <c r="S22" i="1" s="1"/>
  <c r="O77" i="15" l="1"/>
  <c r="O40" i="6"/>
  <c r="O1" i="6" s="1"/>
  <c r="S42" i="1"/>
  <c r="P33" i="1"/>
  <c r="T23" i="23"/>
  <c r="U22" i="23" s="1"/>
  <c r="O29" i="6"/>
  <c r="O2" i="6" s="1"/>
  <c r="O58" i="15"/>
  <c r="R13" i="23"/>
  <c r="S12" i="23" s="1"/>
  <c r="T23" i="25"/>
  <c r="U22" i="25" s="1"/>
  <c r="P41" i="6"/>
  <c r="P82" i="15"/>
  <c r="T13" i="25"/>
  <c r="U12" i="25" s="1"/>
  <c r="P14" i="6"/>
  <c r="P24" i="15"/>
  <c r="T23" i="24"/>
  <c r="U22" i="24" s="1"/>
  <c r="Q28" i="6"/>
  <c r="Q53" i="15"/>
  <c r="P13" i="6"/>
  <c r="P19" i="15"/>
  <c r="S13" i="24"/>
  <c r="T12" i="24" s="1"/>
  <c r="S23" i="1"/>
  <c r="T22" i="1" s="1"/>
  <c r="Q48" i="15"/>
  <c r="Q27" i="6"/>
  <c r="R51" i="6" l="1"/>
  <c r="R3" i="6" s="1"/>
  <c r="S43" i="1"/>
  <c r="Q32" i="1"/>
  <c r="U23" i="23"/>
  <c r="V22" i="23" s="1"/>
  <c r="P29" i="6"/>
  <c r="P2" i="6" s="1"/>
  <c r="P58" i="15"/>
  <c r="S13" i="23"/>
  <c r="T12" i="23" s="1"/>
  <c r="N29" i="15"/>
  <c r="N15" i="6"/>
  <c r="U23" i="25"/>
  <c r="V22" i="25" s="1"/>
  <c r="Q41" i="6"/>
  <c r="Q82" i="15"/>
  <c r="Q24" i="15"/>
  <c r="Q14" i="6"/>
  <c r="U23" i="24"/>
  <c r="V22" i="24" s="1"/>
  <c r="R53" i="15"/>
  <c r="R28" i="6"/>
  <c r="Q19" i="15"/>
  <c r="Q13" i="6"/>
  <c r="T13" i="24"/>
  <c r="U12" i="24" s="1"/>
  <c r="T23" i="1"/>
  <c r="U22" i="1" s="1"/>
  <c r="R27" i="6"/>
  <c r="R48" i="15"/>
  <c r="P77" i="15" l="1"/>
  <c r="T42" i="1"/>
  <c r="Q33" i="1"/>
  <c r="P40" i="6"/>
  <c r="P1" i="6" s="1"/>
  <c r="V23" i="23"/>
  <c r="W22" i="23" s="1"/>
  <c r="Q58" i="15"/>
  <c r="Q29" i="6"/>
  <c r="Q2" i="6" s="1"/>
  <c r="O15" i="6"/>
  <c r="O29" i="15"/>
  <c r="V23" i="25"/>
  <c r="W22" i="25" s="1"/>
  <c r="R82" i="15"/>
  <c r="R41" i="6"/>
  <c r="R24" i="15"/>
  <c r="R14" i="6"/>
  <c r="U13" i="25"/>
  <c r="V12" i="25" s="1"/>
  <c r="V23" i="24"/>
  <c r="W22" i="24" s="1"/>
  <c r="S53" i="15"/>
  <c r="S28" i="6"/>
  <c r="R13" i="6"/>
  <c r="R19" i="15"/>
  <c r="U13" i="24"/>
  <c r="V12" i="24" s="1"/>
  <c r="S27" i="6"/>
  <c r="S48" i="15"/>
  <c r="I96" i="15"/>
  <c r="J96" i="15"/>
  <c r="I77" i="15"/>
  <c r="T43" i="1" l="1"/>
  <c r="U42" i="1" s="1"/>
  <c r="S51" i="6"/>
  <c r="S3" i="6" s="1"/>
  <c r="R32" i="1"/>
  <c r="W23" i="23"/>
  <c r="X22" i="23" s="1"/>
  <c r="R29" i="6"/>
  <c r="R2" i="6" s="1"/>
  <c r="R58" i="15"/>
  <c r="P15" i="6"/>
  <c r="P29" i="15"/>
  <c r="T13" i="23"/>
  <c r="U12" i="23" s="1"/>
  <c r="W23" i="25"/>
  <c r="X22" i="25" s="1"/>
  <c r="S41" i="6"/>
  <c r="S82" i="15"/>
  <c r="W23" i="24"/>
  <c r="X22" i="24" s="1"/>
  <c r="T53" i="15"/>
  <c r="T28" i="6"/>
  <c r="S13" i="6"/>
  <c r="S19" i="15"/>
  <c r="V13" i="24"/>
  <c r="W12" i="24" s="1"/>
  <c r="T48" i="15"/>
  <c r="T27" i="6"/>
  <c r="U23" i="1"/>
  <c r="V22" i="1" s="1"/>
  <c r="I101" i="15"/>
  <c r="J101" i="15" s="1"/>
  <c r="J48" i="1"/>
  <c r="I100" i="15"/>
  <c r="J100" i="15" s="1"/>
  <c r="K47" i="1"/>
  <c r="J47" i="1"/>
  <c r="Q40" i="6" l="1"/>
  <c r="Q1" i="6" s="1"/>
  <c r="U43" i="1"/>
  <c r="V42" i="1" s="1"/>
  <c r="R33" i="1"/>
  <c r="S32" i="1" s="1"/>
  <c r="T51" i="6"/>
  <c r="T3" i="6" s="1"/>
  <c r="Q77" i="15"/>
  <c r="X23" i="23"/>
  <c r="Y22" i="23" s="1"/>
  <c r="S29" i="6"/>
  <c r="S2" i="6" s="1"/>
  <c r="S58" i="15"/>
  <c r="X23" i="25"/>
  <c r="Y22" i="25" s="1"/>
  <c r="T82" i="15"/>
  <c r="T41" i="6"/>
  <c r="S14" i="6"/>
  <c r="S24" i="15"/>
  <c r="V13" i="25"/>
  <c r="W12" i="25" s="1"/>
  <c r="U28" i="6"/>
  <c r="U53" i="15"/>
  <c r="W13" i="24"/>
  <c r="X12" i="24" s="1"/>
  <c r="T19" i="15"/>
  <c r="T13" i="6"/>
  <c r="I81" i="15"/>
  <c r="J81" i="15" s="1"/>
  <c r="AE73" i="15"/>
  <c r="R77" i="15" l="1"/>
  <c r="U51" i="6"/>
  <c r="U3" i="6" s="1"/>
  <c r="V43" i="1"/>
  <c r="R40" i="6"/>
  <c r="R1" i="6" s="1"/>
  <c r="S33" i="1"/>
  <c r="Y23" i="23"/>
  <c r="Z22" i="23" s="1"/>
  <c r="T29" i="6"/>
  <c r="T2" i="6" s="1"/>
  <c r="T58" i="15"/>
  <c r="Q15" i="6"/>
  <c r="Q29" i="15"/>
  <c r="U13" i="23"/>
  <c r="V12" i="23" s="1"/>
  <c r="Y23" i="25"/>
  <c r="Z22" i="25" s="1"/>
  <c r="U82" i="15"/>
  <c r="U41" i="6"/>
  <c r="W13" i="25"/>
  <c r="X12" i="25" s="1"/>
  <c r="V53" i="15"/>
  <c r="V28" i="6"/>
  <c r="X23" i="24"/>
  <c r="Y22" i="24" s="1"/>
  <c r="X13" i="24"/>
  <c r="Y12" i="24" s="1"/>
  <c r="U19" i="15"/>
  <c r="U13" i="6"/>
  <c r="U27" i="6"/>
  <c r="U48" i="15"/>
  <c r="V23" i="1"/>
  <c r="W22" i="1" s="1"/>
  <c r="W42" i="1" l="1"/>
  <c r="T32" i="1"/>
  <c r="Z23" i="23"/>
  <c r="AA22" i="23" s="1"/>
  <c r="U58" i="15"/>
  <c r="U29" i="6"/>
  <c r="U2" i="6" s="1"/>
  <c r="Z23" i="25"/>
  <c r="AA22" i="25" s="1"/>
  <c r="V41" i="6"/>
  <c r="V82" i="15"/>
  <c r="X13" i="25"/>
  <c r="Y12" i="25" s="1"/>
  <c r="T14" i="6"/>
  <c r="T24" i="15"/>
  <c r="Y23" i="24"/>
  <c r="Z22" i="24" s="1"/>
  <c r="V13" i="6"/>
  <c r="V19" i="15"/>
  <c r="W23" i="1"/>
  <c r="X22" i="1" s="1"/>
  <c r="AF73" i="15"/>
  <c r="V51" i="6" l="1"/>
  <c r="V3" i="6" s="1"/>
  <c r="W43" i="1"/>
  <c r="X42" i="1" s="1"/>
  <c r="S77" i="15"/>
  <c r="S40" i="6"/>
  <c r="S1" i="6" s="1"/>
  <c r="T33" i="1"/>
  <c r="AA23" i="23"/>
  <c r="AB22" i="23" s="1"/>
  <c r="V58" i="15"/>
  <c r="V29" i="6"/>
  <c r="R15" i="6"/>
  <c r="R29" i="15"/>
  <c r="V13" i="23"/>
  <c r="W12" i="23" s="1"/>
  <c r="AA23" i="25"/>
  <c r="AB22" i="25" s="1"/>
  <c r="W41" i="6"/>
  <c r="W82" i="15"/>
  <c r="Y13" i="25"/>
  <c r="Z12" i="25" s="1"/>
  <c r="U14" i="6"/>
  <c r="U24" i="15"/>
  <c r="Z23" i="24"/>
  <c r="AA22" i="24" s="1"/>
  <c r="W28" i="6"/>
  <c r="W53" i="15"/>
  <c r="W13" i="6"/>
  <c r="W19" i="15"/>
  <c r="Y13" i="24"/>
  <c r="Z12" i="24" s="1"/>
  <c r="X23" i="1"/>
  <c r="Y22" i="1" s="1"/>
  <c r="V27" i="6"/>
  <c r="V48" i="15"/>
  <c r="V2" i="6" l="1"/>
  <c r="W51" i="6"/>
  <c r="W3" i="6" s="1"/>
  <c r="X43" i="1"/>
  <c r="U32" i="1"/>
  <c r="AB23" i="23"/>
  <c r="AC22" i="23" s="1"/>
  <c r="W29" i="6"/>
  <c r="W58" i="15"/>
  <c r="W13" i="23"/>
  <c r="X12" i="23" s="1"/>
  <c r="AB23" i="25"/>
  <c r="AC22" i="25" s="1"/>
  <c r="X41" i="6"/>
  <c r="X82" i="15"/>
  <c r="Z13" i="25"/>
  <c r="AA12" i="25" s="1"/>
  <c r="V14" i="6"/>
  <c r="V24" i="15"/>
  <c r="AA23" i="24"/>
  <c r="AB22" i="24" s="1"/>
  <c r="X28" i="6"/>
  <c r="X53" i="15"/>
  <c r="Z13" i="24"/>
  <c r="AA12" i="24" s="1"/>
  <c r="W27" i="6"/>
  <c r="W48" i="15"/>
  <c r="W2" i="6" l="1"/>
  <c r="U33" i="1"/>
  <c r="V32" i="1" s="1"/>
  <c r="Y42" i="1"/>
  <c r="T40" i="6"/>
  <c r="T1" i="6" s="1"/>
  <c r="T77" i="15"/>
  <c r="AC23" i="23"/>
  <c r="AD22" i="23" s="1"/>
  <c r="X29" i="6"/>
  <c r="X58" i="15"/>
  <c r="S15" i="6"/>
  <c r="S29" i="15"/>
  <c r="X13" i="23"/>
  <c r="Y12" i="23" s="1"/>
  <c r="AC23" i="25"/>
  <c r="AD22" i="25" s="1"/>
  <c r="Y82" i="15"/>
  <c r="Y41" i="6"/>
  <c r="AA13" i="25"/>
  <c r="AB12" i="25" s="1"/>
  <c r="W24" i="15"/>
  <c r="W14" i="6"/>
  <c r="AB23" i="24"/>
  <c r="AC22" i="24" s="1"/>
  <c r="Y53" i="15"/>
  <c r="Y28" i="6"/>
  <c r="AA13" i="24"/>
  <c r="AB12" i="24" s="1"/>
  <c r="X19" i="15"/>
  <c r="X13" i="6"/>
  <c r="X48" i="15"/>
  <c r="X27" i="6"/>
  <c r="Y23" i="1"/>
  <c r="Z22" i="1" s="1"/>
  <c r="X2" i="6" l="1"/>
  <c r="Y43" i="1"/>
  <c r="Z42" i="1" s="1"/>
  <c r="X51" i="6"/>
  <c r="X3" i="6" s="1"/>
  <c r="U77" i="15"/>
  <c r="U40" i="6"/>
  <c r="U1" i="6" s="1"/>
  <c r="V33" i="1"/>
  <c r="Y29" i="6"/>
  <c r="Y58" i="15"/>
  <c r="T29" i="15"/>
  <c r="T15" i="6"/>
  <c r="AD23" i="25"/>
  <c r="AE22" i="25" s="1"/>
  <c r="Z41" i="6"/>
  <c r="Z82" i="15"/>
  <c r="X14" i="6"/>
  <c r="X24" i="15"/>
  <c r="AC23" i="24"/>
  <c r="AD22" i="24" s="1"/>
  <c r="Z53" i="15"/>
  <c r="Z28" i="6"/>
  <c r="AB13" i="24"/>
  <c r="AC12" i="24" s="1"/>
  <c r="Y13" i="6"/>
  <c r="Y19" i="15"/>
  <c r="Y51" i="6" l="1"/>
  <c r="Y3" i="6" s="1"/>
  <c r="Z43" i="1"/>
  <c r="W32" i="1"/>
  <c r="Z58" i="15"/>
  <c r="Z29" i="6"/>
  <c r="AD23" i="23"/>
  <c r="AE22" i="23" s="1"/>
  <c r="U15" i="6"/>
  <c r="U29" i="15"/>
  <c r="Y13" i="23"/>
  <c r="Z12" i="23" s="1"/>
  <c r="AE23" i="25"/>
  <c r="AF22" i="25" s="1"/>
  <c r="AA82" i="15"/>
  <c r="AA41" i="6"/>
  <c r="Y14" i="6"/>
  <c r="Y24" i="15"/>
  <c r="AB13" i="25"/>
  <c r="AC12" i="25" s="1"/>
  <c r="AD23" i="24"/>
  <c r="AE22" i="24" s="1"/>
  <c r="AA28" i="6"/>
  <c r="AA53" i="15"/>
  <c r="Z19" i="15"/>
  <c r="Z13" i="6"/>
  <c r="Y27" i="6"/>
  <c r="Y2" i="6" s="1"/>
  <c r="Y48" i="15"/>
  <c r="Z23" i="1"/>
  <c r="AA22" i="1" s="1"/>
  <c r="W33" i="1" l="1"/>
  <c r="X32" i="1" s="1"/>
  <c r="AA42" i="1"/>
  <c r="V40" i="6"/>
  <c r="V1" i="6" s="1"/>
  <c r="V77" i="15"/>
  <c r="Z13" i="23"/>
  <c r="AA12" i="23" s="1"/>
  <c r="AF23" i="25"/>
  <c r="AG22" i="25" s="1"/>
  <c r="AB41" i="6"/>
  <c r="AB82" i="15"/>
  <c r="AE23" i="24"/>
  <c r="AF22" i="24" s="1"/>
  <c r="AB28" i="6"/>
  <c r="AB53" i="15"/>
  <c r="AA13" i="6"/>
  <c r="AA19" i="15"/>
  <c r="AC13" i="24"/>
  <c r="AD12" i="24" s="1"/>
  <c r="AA23" i="1"/>
  <c r="AB22" i="1" s="1"/>
  <c r="Z51" i="6" l="1"/>
  <c r="Z3" i="6" s="1"/>
  <c r="AA43" i="1"/>
  <c r="W77" i="15"/>
  <c r="W40" i="6"/>
  <c r="W1" i="6" s="1"/>
  <c r="X33" i="1"/>
  <c r="AA58" i="15"/>
  <c r="AA29" i="6"/>
  <c r="AE23" i="23"/>
  <c r="AF22" i="23" s="1"/>
  <c r="V29" i="15"/>
  <c r="V15" i="6"/>
  <c r="AG23" i="25"/>
  <c r="AC82" i="15"/>
  <c r="AC41" i="6"/>
  <c r="Z24" i="15"/>
  <c r="Z14" i="6"/>
  <c r="AC13" i="25"/>
  <c r="AD12" i="25" s="1"/>
  <c r="AF23" i="24"/>
  <c r="AG22" i="24" s="1"/>
  <c r="AC53" i="15"/>
  <c r="AC28" i="6"/>
  <c r="Z27" i="6"/>
  <c r="Z2" i="6" s="1"/>
  <c r="Z48" i="15"/>
  <c r="AB23" i="1"/>
  <c r="AC22" i="1" s="1"/>
  <c r="AB42" i="1" l="1"/>
  <c r="Y32" i="1"/>
  <c r="AF23" i="23"/>
  <c r="AG22" i="23" s="1"/>
  <c r="W15" i="6"/>
  <c r="W29" i="15"/>
  <c r="AA13" i="23"/>
  <c r="AB12" i="23" s="1"/>
  <c r="AD82" i="15"/>
  <c r="AD41" i="6"/>
  <c r="AG23" i="24"/>
  <c r="AD28" i="6"/>
  <c r="AD53" i="15"/>
  <c r="AB13" i="6"/>
  <c r="AB19" i="15"/>
  <c r="AD13" i="24"/>
  <c r="AE12" i="24" s="1"/>
  <c r="AA27" i="6"/>
  <c r="AA2" i="6" s="1"/>
  <c r="AA48" i="15"/>
  <c r="AB43" i="1" l="1"/>
  <c r="AC42" i="1" s="1"/>
  <c r="AA51" i="6"/>
  <c r="AA3" i="6" s="1"/>
  <c r="X40" i="6"/>
  <c r="X1" i="6" s="1"/>
  <c r="X77" i="15"/>
  <c r="Y33" i="1"/>
  <c r="AE41" i="6"/>
  <c r="AE82" i="15"/>
  <c r="AB29" i="6"/>
  <c r="AB58" i="15"/>
  <c r="AB13" i="23"/>
  <c r="AC12" i="23" s="1"/>
  <c r="AA14" i="6"/>
  <c r="AA24" i="15"/>
  <c r="AD13" i="25"/>
  <c r="AE12" i="25" s="1"/>
  <c r="AE53" i="15"/>
  <c r="AE28" i="6"/>
  <c r="AB27" i="6"/>
  <c r="AB48" i="15"/>
  <c r="AC23" i="1"/>
  <c r="AD22" i="1" s="1"/>
  <c r="AB2" i="6" l="1"/>
  <c r="AB51" i="6"/>
  <c r="AB3" i="6" s="1"/>
  <c r="AC43" i="1"/>
  <c r="Z32" i="1"/>
  <c r="AF41" i="6"/>
  <c r="AF82" i="15"/>
  <c r="AF53" i="15"/>
  <c r="AF28" i="6"/>
  <c r="AC29" i="6"/>
  <c r="AC58" i="15"/>
  <c r="AG23" i="23"/>
  <c r="AC13" i="23"/>
  <c r="AD12" i="23" s="1"/>
  <c r="X15" i="6"/>
  <c r="X29" i="15"/>
  <c r="AE13" i="25"/>
  <c r="AF12" i="25" s="1"/>
  <c r="AC13" i="6"/>
  <c r="AC19" i="15"/>
  <c r="AE13" i="24"/>
  <c r="AF12" i="24" s="1"/>
  <c r="Z33" i="1" l="1"/>
  <c r="AA32" i="1" s="1"/>
  <c r="AD42" i="1"/>
  <c r="Y40" i="6"/>
  <c r="Y1" i="6" s="1"/>
  <c r="Y77" i="15"/>
  <c r="Y29" i="15"/>
  <c r="Y15" i="6"/>
  <c r="AF13" i="25"/>
  <c r="AG12" i="25" s="1"/>
  <c r="AB24" i="15"/>
  <c r="AB14" i="6"/>
  <c r="AC27" i="6"/>
  <c r="AC2" i="6" s="1"/>
  <c r="AC48" i="15"/>
  <c r="AD23" i="1"/>
  <c r="AE22" i="1" s="1"/>
  <c r="AC51" i="6" l="1"/>
  <c r="AC3" i="6" s="1"/>
  <c r="AD43" i="1"/>
  <c r="Z77" i="15"/>
  <c r="Z40" i="6"/>
  <c r="Z1" i="6" s="1"/>
  <c r="AA33" i="1"/>
  <c r="AD58" i="15"/>
  <c r="AD29" i="6"/>
  <c r="Z15" i="6"/>
  <c r="Z29" i="15"/>
  <c r="AD13" i="23"/>
  <c r="AE12" i="23" s="1"/>
  <c r="AG13" i="25"/>
  <c r="AC14" i="6"/>
  <c r="AC24" i="15"/>
  <c r="AD13" i="6"/>
  <c r="AD19" i="15"/>
  <c r="AF13" i="24"/>
  <c r="AG12" i="24" s="1"/>
  <c r="AE23" i="1"/>
  <c r="AF22" i="1" s="1"/>
  <c r="AE42" i="1" l="1"/>
  <c r="AB32" i="1"/>
  <c r="AD24" i="15"/>
  <c r="AD14" i="6"/>
  <c r="AG13" i="24"/>
  <c r="AD48" i="15"/>
  <c r="AD27" i="6"/>
  <c r="AB33" i="1" l="1"/>
  <c r="AC32" i="1" s="1"/>
  <c r="AD51" i="6"/>
  <c r="AE43" i="1"/>
  <c r="AA40" i="6"/>
  <c r="AA1" i="6" s="1"/>
  <c r="AA77" i="15"/>
  <c r="AE58" i="15"/>
  <c r="AE29" i="6"/>
  <c r="AE24" i="15"/>
  <c r="AE14" i="6"/>
  <c r="AA29" i="15"/>
  <c r="AA15" i="6"/>
  <c r="AE13" i="23"/>
  <c r="AF12" i="23" s="1"/>
  <c r="AE13" i="6"/>
  <c r="AE19" i="15"/>
  <c r="AE27" i="6"/>
  <c r="AE48" i="15"/>
  <c r="AF23" i="1"/>
  <c r="AG22" i="1" s="1"/>
  <c r="AC33" i="1" l="1"/>
  <c r="AD32" i="1" s="1"/>
  <c r="AF42" i="1"/>
  <c r="AB40" i="6"/>
  <c r="AB1" i="6" s="1"/>
  <c r="AB77" i="15"/>
  <c r="AF14" i="6"/>
  <c r="AF24" i="15"/>
  <c r="AF13" i="6"/>
  <c r="AF19" i="15"/>
  <c r="AG23" i="1"/>
  <c r="AD33" i="1" l="1"/>
  <c r="AE32" i="1" s="1"/>
  <c r="AE51" i="6"/>
  <c r="AF43" i="1"/>
  <c r="AC40" i="6"/>
  <c r="AC1" i="6" s="1"/>
  <c r="AC77" i="15"/>
  <c r="AF29" i="6"/>
  <c r="AF58" i="15"/>
  <c r="AB15" i="6"/>
  <c r="AB29" i="15"/>
  <c r="AF13" i="23"/>
  <c r="AG12" i="23" s="1"/>
  <c r="AF48" i="15"/>
  <c r="AF27" i="6"/>
  <c r="AE33" i="1" l="1"/>
  <c r="AF32" i="1" s="1"/>
  <c r="AG42" i="1"/>
  <c r="AD40" i="6"/>
  <c r="AD77" i="15"/>
  <c r="AG13" i="23"/>
  <c r="AF51" i="6" l="1"/>
  <c r="AG43" i="1"/>
  <c r="AE77" i="15"/>
  <c r="AE40" i="6"/>
  <c r="AF33" i="1"/>
  <c r="AC15" i="6"/>
  <c r="AC29" i="15"/>
  <c r="AG32" i="1" l="1"/>
  <c r="AD15" i="6"/>
  <c r="AD29" i="15"/>
  <c r="AG33" i="1" l="1"/>
  <c r="AF40" i="6"/>
  <c r="AF77" i="15"/>
  <c r="AF65" i="15" l="1"/>
  <c r="AE15" i="6"/>
  <c r="AE29" i="15"/>
  <c r="AD89" i="15"/>
  <c r="AF29" i="15" l="1"/>
  <c r="AF15" i="6"/>
  <c r="Y73" i="15"/>
  <c r="I32" i="15"/>
  <c r="AF102" i="15" l="1"/>
  <c r="I9" i="6"/>
  <c r="AE89" i="15"/>
  <c r="N26" i="23"/>
  <c r="N25" i="23"/>
  <c r="I62" i="15"/>
  <c r="J62" i="15" s="1"/>
  <c r="M26" i="23"/>
  <c r="I33" i="15"/>
  <c r="J33" i="15" s="1"/>
  <c r="M25" i="23"/>
  <c r="K73" i="15"/>
  <c r="S73" i="15"/>
  <c r="L73" i="15"/>
  <c r="T73" i="15"/>
  <c r="R73" i="15"/>
  <c r="M73" i="15"/>
  <c r="U73" i="15"/>
  <c r="J22" i="15"/>
  <c r="I27" i="15"/>
  <c r="N73" i="15"/>
  <c r="V73" i="15"/>
  <c r="J27" i="15"/>
  <c r="O73" i="15"/>
  <c r="W73" i="15"/>
  <c r="P73" i="15"/>
  <c r="X73" i="15"/>
  <c r="I48" i="15"/>
  <c r="J14" i="15"/>
  <c r="Q73" i="15"/>
  <c r="Z73" i="15"/>
  <c r="I8" i="6" l="1"/>
  <c r="AF89" i="15"/>
  <c r="L25" i="25"/>
  <c r="M25" i="25"/>
  <c r="L25" i="24"/>
  <c r="L26" i="24"/>
  <c r="K26" i="24"/>
  <c r="I23" i="15"/>
  <c r="P10" i="15"/>
  <c r="Q10" i="15"/>
  <c r="N44" i="15"/>
  <c r="R44" i="15"/>
  <c r="T44" i="15"/>
  <c r="U44" i="15"/>
  <c r="K44" i="15"/>
  <c r="S44" i="15"/>
  <c r="V44" i="15"/>
  <c r="N10" i="15"/>
  <c r="I43" i="15"/>
  <c r="O10" i="15"/>
  <c r="I57" i="15"/>
  <c r="T10" i="15"/>
  <c r="W10" i="15"/>
  <c r="M10" i="15"/>
  <c r="I72" i="15"/>
  <c r="I28" i="15"/>
  <c r="I14" i="15"/>
  <c r="L44" i="15"/>
  <c r="Q44" i="15"/>
  <c r="K10" i="15"/>
  <c r="L10" i="15"/>
  <c r="S10" i="15"/>
  <c r="O44" i="15"/>
  <c r="W44" i="15"/>
  <c r="I73" i="15"/>
  <c r="I75" i="15" s="1"/>
  <c r="I76" i="15" s="1"/>
  <c r="R10" i="15"/>
  <c r="M44" i="15"/>
  <c r="U10" i="15"/>
  <c r="X10" i="15"/>
  <c r="J44" i="15"/>
  <c r="J46" i="15" s="1"/>
  <c r="J73" i="15"/>
  <c r="J75" i="15" s="1"/>
  <c r="V10" i="15"/>
  <c r="X44" i="15"/>
  <c r="J10" i="15"/>
  <c r="J12" i="15" s="1"/>
  <c r="J13" i="15" s="1"/>
  <c r="J34" i="15"/>
  <c r="I44" i="15"/>
  <c r="I46" i="15" s="1"/>
  <c r="I47" i="15" s="1"/>
  <c r="P44" i="15"/>
  <c r="AA73" i="15"/>
  <c r="I9" i="15" l="1"/>
  <c r="I18" i="15"/>
  <c r="J18" i="15" s="1"/>
  <c r="J45" i="1"/>
  <c r="I6" i="6"/>
  <c r="I7" i="6"/>
  <c r="J76" i="15"/>
  <c r="J47" i="15"/>
  <c r="K25" i="24"/>
  <c r="I52" i="15"/>
  <c r="J52" i="15" s="1"/>
  <c r="J46" i="1"/>
  <c r="J63" i="15"/>
  <c r="K46" i="1"/>
  <c r="K45" i="1"/>
  <c r="J87" i="15"/>
  <c r="M26" i="25"/>
  <c r="I87" i="15"/>
  <c r="I88" i="15" s="1"/>
  <c r="L26" i="25"/>
  <c r="I34" i="15"/>
  <c r="I35" i="15" s="1"/>
  <c r="J23" i="15"/>
  <c r="J57" i="15"/>
  <c r="AD44" i="15"/>
  <c r="I86" i="15"/>
  <c r="J72" i="15" s="1"/>
  <c r="I63" i="15"/>
  <c r="I64" i="15" s="1"/>
  <c r="Y44" i="15"/>
  <c r="Y10" i="15"/>
  <c r="J28" i="15"/>
  <c r="AB73" i="15"/>
  <c r="J88" i="15" l="1"/>
  <c r="J43" i="15"/>
  <c r="I66" i="15"/>
  <c r="J35" i="15"/>
  <c r="J64" i="15"/>
  <c r="J9" i="15"/>
  <c r="K43" i="15"/>
  <c r="J66" i="15"/>
  <c r="I90" i="15"/>
  <c r="J86" i="15"/>
  <c r="J90" i="15" s="1"/>
  <c r="I37" i="15"/>
  <c r="Z10" i="15"/>
  <c r="Z44" i="15"/>
  <c r="AC73" i="15"/>
  <c r="K13" i="1"/>
  <c r="L12" i="1" s="1"/>
  <c r="J37" i="15" l="1"/>
  <c r="I45" i="6"/>
  <c r="I89" i="15"/>
  <c r="K12" i="6"/>
  <c r="K96" i="15"/>
  <c r="K72" i="15"/>
  <c r="AE44" i="15"/>
  <c r="AF44" i="15"/>
  <c r="AA44" i="15"/>
  <c r="AE10" i="15"/>
  <c r="AF10" i="15"/>
  <c r="AA10" i="15"/>
  <c r="K46" i="15"/>
  <c r="K51" i="15" s="1"/>
  <c r="K14" i="15"/>
  <c r="K11" i="6" l="1"/>
  <c r="K4" i="6"/>
  <c r="I46" i="6"/>
  <c r="J45" i="6" s="1"/>
  <c r="K99" i="15"/>
  <c r="K75" i="15"/>
  <c r="K76" i="15" s="1"/>
  <c r="K61" i="15"/>
  <c r="K56" i="15"/>
  <c r="K47" i="15"/>
  <c r="K9" i="15"/>
  <c r="L96" i="15"/>
  <c r="J89" i="15"/>
  <c r="K89" i="15"/>
  <c r="AC44" i="15"/>
  <c r="AB44" i="15"/>
  <c r="AD10" i="15"/>
  <c r="AD73" i="15"/>
  <c r="AC10" i="15"/>
  <c r="AB10" i="15"/>
  <c r="L13" i="1"/>
  <c r="M12" i="1" s="1"/>
  <c r="J46" i="6" l="1"/>
  <c r="K45" i="6" s="1"/>
  <c r="K46" i="6" s="1"/>
  <c r="I55" i="6"/>
  <c r="K101" i="15"/>
  <c r="K100" i="15"/>
  <c r="L48" i="1"/>
  <c r="K85" i="15"/>
  <c r="K80" i="15"/>
  <c r="L12" i="6"/>
  <c r="L4" i="6" s="1"/>
  <c r="K62" i="15"/>
  <c r="O26" i="23"/>
  <c r="K57" i="15"/>
  <c r="M26" i="24"/>
  <c r="M96" i="15"/>
  <c r="L14" i="15"/>
  <c r="I102" i="15"/>
  <c r="L89" i="15"/>
  <c r="M13" i="1"/>
  <c r="N12" i="1" s="1"/>
  <c r="I56" i="6" l="1"/>
  <c r="J55" i="6" s="1"/>
  <c r="L45" i="6"/>
  <c r="K25" i="14" s="1"/>
  <c r="J25" i="14"/>
  <c r="J30" i="14" s="1"/>
  <c r="L47" i="1"/>
  <c r="L99" i="15"/>
  <c r="K81" i="15"/>
  <c r="K87" i="15"/>
  <c r="K88" i="15" s="1"/>
  <c r="K86" i="15"/>
  <c r="N26" i="25"/>
  <c r="M12" i="6"/>
  <c r="M4" i="6" s="1"/>
  <c r="N96" i="15"/>
  <c r="M14" i="15"/>
  <c r="M89" i="15"/>
  <c r="J102" i="15"/>
  <c r="N13" i="1"/>
  <c r="O12" i="1" s="1"/>
  <c r="K30" i="14" l="1"/>
  <c r="J56" i="6"/>
  <c r="K55" i="6" s="1"/>
  <c r="L46" i="6"/>
  <c r="M45" i="6" s="1"/>
  <c r="L25" i="14" s="1"/>
  <c r="L100" i="15"/>
  <c r="L101" i="15"/>
  <c r="M48" i="1"/>
  <c r="K90" i="15"/>
  <c r="N12" i="6"/>
  <c r="N4" i="6" s="1"/>
  <c r="O96" i="15"/>
  <c r="N14" i="15"/>
  <c r="N89" i="15"/>
  <c r="K102" i="15"/>
  <c r="O13" i="1"/>
  <c r="P12" i="1" s="1"/>
  <c r="K56" i="6" l="1"/>
  <c r="L55" i="6" s="1"/>
  <c r="J33" i="14"/>
  <c r="J38" i="14" s="1"/>
  <c r="O12" i="6"/>
  <c r="O4" i="6" s="1"/>
  <c r="O14" i="15"/>
  <c r="P96" i="15"/>
  <c r="O89" i="15"/>
  <c r="L102" i="15"/>
  <c r="P13" i="1"/>
  <c r="Q12" i="1" s="1"/>
  <c r="L56" i="6" l="1"/>
  <c r="M55" i="6" s="1"/>
  <c r="K33" i="14"/>
  <c r="K38" i="14" s="1"/>
  <c r="P12" i="6"/>
  <c r="P4" i="6" s="1"/>
  <c r="P14" i="15"/>
  <c r="Q96" i="15"/>
  <c r="P89" i="15"/>
  <c r="M102" i="15"/>
  <c r="Q13" i="1"/>
  <c r="R12" i="1" s="1"/>
  <c r="M56" i="6" l="1"/>
  <c r="N55" i="6" s="1"/>
  <c r="L33" i="14"/>
  <c r="Q12" i="6"/>
  <c r="Q4" i="6" s="1"/>
  <c r="R96" i="15"/>
  <c r="Q14" i="15"/>
  <c r="N102" i="15"/>
  <c r="Q89" i="15"/>
  <c r="R13" i="1"/>
  <c r="S12" i="1" s="1"/>
  <c r="M33" i="14" l="1"/>
  <c r="N56" i="6"/>
  <c r="O55" i="6" s="1"/>
  <c r="R12" i="6"/>
  <c r="R4" i="6" s="1"/>
  <c r="S96" i="15"/>
  <c r="R14" i="15"/>
  <c r="O102" i="15"/>
  <c r="R89" i="15"/>
  <c r="S13" i="1"/>
  <c r="T12" i="1" s="1"/>
  <c r="N33" i="14" l="1"/>
  <c r="S12" i="6"/>
  <c r="S4" i="6" s="1"/>
  <c r="T96" i="15"/>
  <c r="S14" i="15"/>
  <c r="P102" i="15"/>
  <c r="S89" i="15"/>
  <c r="O56" i="6"/>
  <c r="P55" i="6" s="1"/>
  <c r="T13" i="1"/>
  <c r="U12" i="1" s="1"/>
  <c r="O33" i="14" l="1"/>
  <c r="T12" i="6"/>
  <c r="T4" i="6" s="1"/>
  <c r="T14" i="15"/>
  <c r="U96" i="15"/>
  <c r="T89" i="15"/>
  <c r="Q102" i="15"/>
  <c r="U13" i="1"/>
  <c r="V12" i="1" s="1"/>
  <c r="U12" i="6" l="1"/>
  <c r="U4" i="6" s="1"/>
  <c r="V96" i="15"/>
  <c r="U14" i="15"/>
  <c r="U89" i="15"/>
  <c r="R102" i="15"/>
  <c r="P56" i="6"/>
  <c r="Q55" i="6" s="1"/>
  <c r="V13" i="1"/>
  <c r="W12" i="1" s="1"/>
  <c r="P33" i="14" l="1"/>
  <c r="V12" i="6"/>
  <c r="V4" i="6" s="1"/>
  <c r="W96" i="15"/>
  <c r="V14" i="15"/>
  <c r="W89" i="15"/>
  <c r="S102" i="15"/>
  <c r="V89" i="15"/>
  <c r="W13" i="1"/>
  <c r="X12" i="1" s="1"/>
  <c r="W12" i="6" l="1"/>
  <c r="W4" i="6" s="1"/>
  <c r="W14" i="15"/>
  <c r="X96" i="15"/>
  <c r="T102" i="15"/>
  <c r="Q56" i="6"/>
  <c r="R55" i="6" s="1"/>
  <c r="X13" i="1"/>
  <c r="Y12" i="1" s="1"/>
  <c r="Q33" i="14" l="1"/>
  <c r="X12" i="6"/>
  <c r="X4" i="6" s="1"/>
  <c r="Y96" i="15"/>
  <c r="X14" i="15"/>
  <c r="U102" i="15"/>
  <c r="R56" i="6"/>
  <c r="S55" i="6" s="1"/>
  <c r="X89" i="15"/>
  <c r="Y13" i="1"/>
  <c r="Z12" i="1" s="1"/>
  <c r="R33" i="14" l="1"/>
  <c r="Y12" i="6"/>
  <c r="Y4" i="6" s="1"/>
  <c r="Y14" i="15"/>
  <c r="Z96" i="15"/>
  <c r="V102" i="15"/>
  <c r="Y89" i="15"/>
  <c r="W102" i="15"/>
  <c r="Z13" i="1"/>
  <c r="AA12" i="1" s="1"/>
  <c r="Z12" i="6" l="1"/>
  <c r="Z4" i="6" s="1"/>
  <c r="AA96" i="15"/>
  <c r="Z14" i="15"/>
  <c r="Z89" i="15"/>
  <c r="X102" i="15"/>
  <c r="S56" i="6"/>
  <c r="T55" i="6" s="1"/>
  <c r="AA13" i="1"/>
  <c r="AB12" i="1" s="1"/>
  <c r="S33" i="14" l="1"/>
  <c r="AA12" i="6"/>
  <c r="AA4" i="6" s="1"/>
  <c r="AB96" i="15"/>
  <c r="AA14" i="15"/>
  <c r="AA89" i="15"/>
  <c r="AC89" i="15"/>
  <c r="AB13" i="1"/>
  <c r="AC12" i="1" s="1"/>
  <c r="AB12" i="6" l="1"/>
  <c r="AB4" i="6" s="1"/>
  <c r="AC96" i="15"/>
  <c r="AB14" i="15"/>
  <c r="AB89" i="15"/>
  <c r="Y102" i="15"/>
  <c r="T56" i="6"/>
  <c r="U55" i="6" s="1"/>
  <c r="AC13" i="1"/>
  <c r="AD12" i="1" s="1"/>
  <c r="T33" i="14" l="1"/>
  <c r="AC12" i="6"/>
  <c r="AC4" i="6" s="1"/>
  <c r="AE3" i="6" s="1"/>
  <c r="AD96" i="15"/>
  <c r="AC14" i="15"/>
  <c r="U56" i="6"/>
  <c r="V55" i="6" s="1"/>
  <c r="Z102" i="15"/>
  <c r="AD13" i="1"/>
  <c r="AE12" i="1" s="1"/>
  <c r="U33" i="14" l="1"/>
  <c r="AD12" i="6"/>
  <c r="AE96" i="15"/>
  <c r="AD14" i="15"/>
  <c r="V56" i="6"/>
  <c r="W55" i="6" s="1"/>
  <c r="AA102" i="15"/>
  <c r="AB102" i="15"/>
  <c r="AE13" i="1"/>
  <c r="AF12" i="1" s="1"/>
  <c r="V33" i="14" l="1"/>
  <c r="AE12" i="6"/>
  <c r="AE14" i="15"/>
  <c r="AF96" i="15"/>
  <c r="AF13" i="1"/>
  <c r="AG12" i="1" s="1"/>
  <c r="AF12" i="6" l="1"/>
  <c r="AF14" i="15"/>
  <c r="AC102" i="15"/>
  <c r="W56" i="6"/>
  <c r="X55" i="6" s="1"/>
  <c r="AD102" i="15"/>
  <c r="AG13" i="1"/>
  <c r="W33" i="14" l="1"/>
  <c r="AE102" i="15"/>
  <c r="X56" i="6" l="1"/>
  <c r="Y55" i="6" s="1"/>
  <c r="X33" i="14" l="1"/>
  <c r="Y56" i="6"/>
  <c r="Z55" i="6" s="1"/>
  <c r="AE36" i="15" l="1"/>
  <c r="AF36" i="15"/>
  <c r="Y33" i="14"/>
  <c r="Z56" i="6"/>
  <c r="AA55" i="6" s="1"/>
  <c r="Z33" i="14" l="1"/>
  <c r="AA56" i="6"/>
  <c r="AB55" i="6" s="1"/>
  <c r="AA33" i="14" l="1"/>
  <c r="AB56" i="6"/>
  <c r="AC55" i="6" s="1"/>
  <c r="AB33" i="14" l="1"/>
  <c r="AC56" i="6"/>
  <c r="AD55" i="6" s="1"/>
  <c r="AC33" i="14" l="1"/>
  <c r="AD56" i="6"/>
  <c r="AE55" i="6" s="1"/>
  <c r="AD33" i="14" l="1"/>
  <c r="AE56" i="6"/>
  <c r="AF55" i="6" s="1"/>
  <c r="AE33" i="14" l="1"/>
  <c r="AF56" i="6"/>
  <c r="AF33" i="14" s="1"/>
  <c r="AG33" i="14" l="1"/>
  <c r="I36" i="15" l="1"/>
  <c r="I33" i="6" l="1"/>
  <c r="I65" i="15"/>
  <c r="I34" i="6" l="1"/>
  <c r="J36" i="15"/>
  <c r="L36" i="15" l="1"/>
  <c r="K36" i="15"/>
  <c r="J33" i="6" l="1"/>
  <c r="L46" i="1"/>
  <c r="K63" i="15"/>
  <c r="K64" i="15" s="1"/>
  <c r="K52" i="15"/>
  <c r="M36" i="15"/>
  <c r="J65" i="15"/>
  <c r="J34" i="6" l="1"/>
  <c r="K33" i="6" s="1"/>
  <c r="K34" i="6" s="1"/>
  <c r="L43" i="15"/>
  <c r="K66" i="15"/>
  <c r="N36" i="15"/>
  <c r="K65" i="15"/>
  <c r="L46" i="15" l="1"/>
  <c r="L47" i="15" s="1"/>
  <c r="L33" i="6"/>
  <c r="O36" i="15"/>
  <c r="L65" i="15"/>
  <c r="L56" i="15" l="1"/>
  <c r="L61" i="15"/>
  <c r="L51" i="15"/>
  <c r="P36" i="15"/>
  <c r="M65" i="15"/>
  <c r="L34" i="6"/>
  <c r="M33" i="6" s="1"/>
  <c r="L62" i="15" l="1"/>
  <c r="L57" i="15"/>
  <c r="N26" i="24"/>
  <c r="P26" i="23"/>
  <c r="Q36" i="15"/>
  <c r="N65" i="15"/>
  <c r="O65" i="15" l="1"/>
  <c r="R36" i="15"/>
  <c r="M34" i="6"/>
  <c r="N33" i="6" s="1"/>
  <c r="P65" i="15" l="1"/>
  <c r="S36" i="15"/>
  <c r="T36" i="15" l="1"/>
  <c r="Q65" i="15"/>
  <c r="N34" i="6"/>
  <c r="O33" i="6" s="1"/>
  <c r="K6" i="14" l="1"/>
  <c r="R65" i="15"/>
  <c r="U36" i="15"/>
  <c r="S65" i="15" l="1"/>
  <c r="V36" i="15"/>
  <c r="O34" i="6"/>
  <c r="P33" i="6" s="1"/>
  <c r="W36" i="15" l="1"/>
  <c r="T65" i="15"/>
  <c r="U65" i="15" l="1"/>
  <c r="X36" i="15"/>
  <c r="P34" i="6"/>
  <c r="Q33" i="6" s="1"/>
  <c r="Y36" i="15" l="1"/>
  <c r="V65" i="15"/>
  <c r="AE65" i="15" l="1"/>
  <c r="Z36" i="15"/>
  <c r="W65" i="15"/>
  <c r="Q34" i="6"/>
  <c r="R33" i="6" s="1"/>
  <c r="AA36" i="15" l="1"/>
  <c r="X65" i="15"/>
  <c r="Y65" i="15" l="1"/>
  <c r="AB36" i="15"/>
  <c r="R34" i="6"/>
  <c r="S33" i="6" s="1"/>
  <c r="AC36" i="15" l="1"/>
  <c r="Z65" i="15"/>
  <c r="AA65" i="15" l="1"/>
  <c r="AD36" i="15"/>
  <c r="S34" i="6"/>
  <c r="T33" i="6" s="1"/>
  <c r="T34" i="6" l="1"/>
  <c r="U33" i="6" s="1"/>
  <c r="AD65" i="15"/>
  <c r="AB65" i="15"/>
  <c r="AC65" i="15" l="1"/>
  <c r="U34" i="6" l="1"/>
  <c r="V33" i="6" s="1"/>
  <c r="V34" i="6" l="1"/>
  <c r="W33" i="6" s="1"/>
  <c r="M46" i="6" l="1"/>
  <c r="N45" i="6" s="1"/>
  <c r="M25" i="14" l="1"/>
  <c r="W34" i="6"/>
  <c r="X33" i="6" s="1"/>
  <c r="N46" i="6" l="1"/>
  <c r="O45" i="6" s="1"/>
  <c r="N25" i="14" l="1"/>
  <c r="X34" i="6"/>
  <c r="Y33" i="6" s="1"/>
  <c r="O46" i="6" l="1"/>
  <c r="P45" i="6" s="1"/>
  <c r="O25" i="14" l="1"/>
  <c r="Y34" i="6"/>
  <c r="Z33" i="6" s="1"/>
  <c r="P46" i="6" l="1"/>
  <c r="Q45" i="6" s="1"/>
  <c r="P25" i="14" l="1"/>
  <c r="Z34" i="6"/>
  <c r="AA33" i="6" s="1"/>
  <c r="Q46" i="6" l="1"/>
  <c r="R45" i="6" s="1"/>
  <c r="Q25" i="14" l="1"/>
  <c r="AA34" i="6"/>
  <c r="AB33" i="6" s="1"/>
  <c r="R46" i="6" l="1"/>
  <c r="S45" i="6" s="1"/>
  <c r="R25" i="14" l="1"/>
  <c r="AB34" i="6"/>
  <c r="AC33" i="6" s="1"/>
  <c r="S46" i="6" l="1"/>
  <c r="T45" i="6" s="1"/>
  <c r="AC34" i="6"/>
  <c r="AD33" i="6" s="1"/>
  <c r="S25" i="14" l="1"/>
  <c r="T46" i="6"/>
  <c r="U45" i="6" s="1"/>
  <c r="T25" i="14" l="1"/>
  <c r="AD34" i="6"/>
  <c r="AE33" i="6" s="1"/>
  <c r="U46" i="6" l="1"/>
  <c r="V45" i="6" s="1"/>
  <c r="U25" i="14" l="1"/>
  <c r="AE34" i="6"/>
  <c r="AF33" i="6" s="1"/>
  <c r="V46" i="6" l="1"/>
  <c r="W45" i="6" s="1"/>
  <c r="V25" i="14" l="1"/>
  <c r="AF9" i="14"/>
  <c r="AF34" i="6"/>
  <c r="W46" i="6" l="1"/>
  <c r="X45" i="6" s="1"/>
  <c r="W25" i="14" l="1"/>
  <c r="AG9" i="14"/>
  <c r="X46" i="6" l="1"/>
  <c r="Y45" i="6" s="1"/>
  <c r="X25" i="14" l="1"/>
  <c r="Y46" i="6" l="1"/>
  <c r="Z45" i="6" s="1"/>
  <c r="Y25" i="14" l="1"/>
  <c r="Z46" i="6"/>
  <c r="AA45" i="6" s="1"/>
  <c r="Z25" i="14" l="1"/>
  <c r="AA46" i="6"/>
  <c r="AB45" i="6" s="1"/>
  <c r="AA25" i="14" l="1"/>
  <c r="AB46" i="6" l="1"/>
  <c r="AC45" i="6" s="1"/>
  <c r="AB25" i="14" l="1"/>
  <c r="AC46" i="6"/>
  <c r="AD45" i="6" s="1"/>
  <c r="AC25" i="14" l="1"/>
  <c r="AD46" i="6" l="1"/>
  <c r="AE45" i="6" s="1"/>
  <c r="AD25" i="14" l="1"/>
  <c r="AE46" i="6"/>
  <c r="AF45" i="6" s="1"/>
  <c r="AE25" i="14" l="1"/>
  <c r="AF46" i="6" l="1"/>
  <c r="AF25" i="14" s="1"/>
  <c r="M46" i="1" l="1"/>
  <c r="L63" i="15"/>
  <c r="L64" i="15" s="1"/>
  <c r="L52" i="15"/>
  <c r="AG25" i="14"/>
  <c r="M43" i="15" l="1"/>
  <c r="L66" i="15"/>
  <c r="L72" i="15" l="1"/>
  <c r="L75" i="15" l="1"/>
  <c r="L76" i="15" s="1"/>
  <c r="L85" i="15" l="1"/>
  <c r="L80" i="15"/>
  <c r="L87" i="15" l="1"/>
  <c r="L88" i="15" s="1"/>
  <c r="M47" i="1"/>
  <c r="L86" i="15"/>
  <c r="O26" i="25"/>
  <c r="L81" i="15"/>
  <c r="L90" i="15" l="1"/>
  <c r="M72" i="15"/>
  <c r="K5" i="15" l="1"/>
  <c r="K12" i="15" s="1"/>
  <c r="K22" i="15" s="1"/>
  <c r="I19" i="6"/>
  <c r="K7" i="15" l="1"/>
  <c r="K13" i="15" s="1"/>
  <c r="K32" i="15"/>
  <c r="I20" i="6"/>
  <c r="J19" i="6" s="1"/>
  <c r="K17" i="15"/>
  <c r="L45" i="1" s="1"/>
  <c r="K23" i="15"/>
  <c r="M25" i="24"/>
  <c r="K27" i="15"/>
  <c r="K18" i="15" l="1"/>
  <c r="J20" i="6"/>
  <c r="K19" i="6" s="1"/>
  <c r="J9" i="14" s="1"/>
  <c r="K33" i="15"/>
  <c r="O25" i="23"/>
  <c r="K28" i="15"/>
  <c r="N25" i="25"/>
  <c r="K34" i="15"/>
  <c r="K35" i="15" s="1"/>
  <c r="L9" i="15" l="1"/>
  <c r="L12" i="15" s="1"/>
  <c r="L13" i="15" s="1"/>
  <c r="K37" i="15"/>
  <c r="K20" i="6"/>
  <c r="J8" i="14"/>
  <c r="J14" i="14"/>
  <c r="L19" i="6" l="1"/>
  <c r="K9" i="14" s="1"/>
  <c r="L27" i="15"/>
  <c r="L22" i="15"/>
  <c r="L17" i="15"/>
  <c r="L32" i="15"/>
  <c r="M45" i="1" l="1"/>
  <c r="L34" i="15"/>
  <c r="L35" i="15" s="1"/>
  <c r="L18" i="15"/>
  <c r="O25" i="25"/>
  <c r="L28" i="15"/>
  <c r="P25" i="23"/>
  <c r="L33" i="15"/>
  <c r="N25" i="24"/>
  <c r="L23" i="15"/>
  <c r="L20" i="6"/>
  <c r="K14" i="14"/>
  <c r="K8" i="14"/>
  <c r="L37" i="15" l="1"/>
  <c r="M19" i="6"/>
  <c r="L9" i="14" s="1"/>
  <c r="M9" i="15"/>
  <c r="L8" i="14" l="1"/>
  <c r="L12" i="14" s="1"/>
  <c r="M20" i="6"/>
  <c r="N19" i="6" l="1"/>
  <c r="M9" i="14" s="1"/>
  <c r="L36" i="14"/>
  <c r="L20" i="14"/>
  <c r="L28" i="14"/>
  <c r="L21" i="14" l="1"/>
  <c r="L22" i="14"/>
  <c r="M39" i="15"/>
  <c r="L38" i="14"/>
  <c r="L37" i="14"/>
  <c r="M92" i="15"/>
  <c r="L29" i="14"/>
  <c r="L30" i="14"/>
  <c r="M68" i="15"/>
  <c r="L13" i="14"/>
  <c r="M5" i="15"/>
  <c r="L14" i="14"/>
  <c r="N20" i="6"/>
  <c r="O19" i="6" l="1"/>
  <c r="N9" i="14" s="1"/>
  <c r="M8" i="14"/>
  <c r="M94" i="15"/>
  <c r="M99" i="15"/>
  <c r="M101" i="15" s="1"/>
  <c r="M12" i="15"/>
  <c r="M7" i="15"/>
  <c r="M46" i="15"/>
  <c r="M41" i="15"/>
  <c r="L6" i="14"/>
  <c r="M70" i="15"/>
  <c r="M75" i="15"/>
  <c r="M28" i="14" l="1"/>
  <c r="M12" i="14"/>
  <c r="M76" i="15"/>
  <c r="M47" i="15"/>
  <c r="M36" i="14"/>
  <c r="M20" i="14"/>
  <c r="M56" i="15"/>
  <c r="M61" i="15"/>
  <c r="M51" i="15"/>
  <c r="M80" i="15"/>
  <c r="M85" i="15"/>
  <c r="M13" i="15"/>
  <c r="O20" i="6"/>
  <c r="M27" i="15"/>
  <c r="M32" i="15"/>
  <c r="M22" i="15"/>
  <c r="M17" i="15"/>
  <c r="M100" i="15"/>
  <c r="N48" i="1"/>
  <c r="P19" i="6" l="1"/>
  <c r="O9" i="14" s="1"/>
  <c r="N45" i="1"/>
  <c r="M34" i="15"/>
  <c r="M35" i="15" s="1"/>
  <c r="M18" i="15"/>
  <c r="M29" i="14"/>
  <c r="N68" i="15"/>
  <c r="M30" i="14"/>
  <c r="Q26" i="23"/>
  <c r="M62" i="15"/>
  <c r="O25" i="24"/>
  <c r="M23" i="15"/>
  <c r="P26" i="25"/>
  <c r="M86" i="15"/>
  <c r="N39" i="15"/>
  <c r="M21" i="14"/>
  <c r="M22" i="14"/>
  <c r="N47" i="1"/>
  <c r="M87" i="15"/>
  <c r="M88" i="15" s="1"/>
  <c r="M81" i="15"/>
  <c r="M37" i="14"/>
  <c r="N92" i="15"/>
  <c r="N99" i="15" s="1"/>
  <c r="M38" i="14"/>
  <c r="O26" i="24"/>
  <c r="M57" i="15"/>
  <c r="Q25" i="23"/>
  <c r="M33" i="15"/>
  <c r="P25" i="25"/>
  <c r="M28" i="15"/>
  <c r="M63" i="15"/>
  <c r="M64" i="15" s="1"/>
  <c r="N46" i="1"/>
  <c r="M52" i="15"/>
  <c r="N5" i="15"/>
  <c r="M13" i="14"/>
  <c r="M14" i="14"/>
  <c r="O48" i="1" l="1"/>
  <c r="N100" i="15"/>
  <c r="M90" i="15"/>
  <c r="N72" i="15"/>
  <c r="N75" i="15" s="1"/>
  <c r="N8" i="14"/>
  <c r="N12" i="14" s="1"/>
  <c r="M37" i="15"/>
  <c r="M6" i="14"/>
  <c r="N7" i="15"/>
  <c r="M66" i="15"/>
  <c r="P20" i="6"/>
  <c r="N9" i="15"/>
  <c r="N12" i="15" s="1"/>
  <c r="N43" i="15"/>
  <c r="N46" i="15" s="1"/>
  <c r="N94" i="15"/>
  <c r="N101" i="15"/>
  <c r="N41" i="15"/>
  <c r="N70" i="15"/>
  <c r="N85" i="15" l="1"/>
  <c r="N80" i="15"/>
  <c r="N13" i="15"/>
  <c r="Q19" i="6"/>
  <c r="P9" i="14" s="1"/>
  <c r="N47" i="15"/>
  <c r="N76" i="15"/>
  <c r="N36" i="14"/>
  <c r="N20" i="14"/>
  <c r="N28" i="14"/>
  <c r="N27" i="15"/>
  <c r="N22" i="15"/>
  <c r="N32" i="15"/>
  <c r="N17" i="15"/>
  <c r="N56" i="15"/>
  <c r="N51" i="15"/>
  <c r="N61" i="15"/>
  <c r="Q20" i="6" l="1"/>
  <c r="R19" i="6" s="1"/>
  <c r="Q9" i="14" s="1"/>
  <c r="Q25" i="25"/>
  <c r="N28" i="15"/>
  <c r="R26" i="23"/>
  <c r="N62" i="15"/>
  <c r="O5" i="15"/>
  <c r="N13" i="14"/>
  <c r="N14" i="14"/>
  <c r="N63" i="15"/>
  <c r="N64" i="15" s="1"/>
  <c r="O46" i="1"/>
  <c r="N52" i="15"/>
  <c r="O68" i="15"/>
  <c r="N29" i="14"/>
  <c r="N30" i="14"/>
  <c r="R25" i="23"/>
  <c r="N33" i="15"/>
  <c r="N21" i="14"/>
  <c r="O39" i="15"/>
  <c r="N22" i="14"/>
  <c r="O47" i="1"/>
  <c r="N87" i="15"/>
  <c r="N88" i="15" s="1"/>
  <c r="N81" i="15"/>
  <c r="P25" i="24"/>
  <c r="N23" i="15"/>
  <c r="P26" i="24"/>
  <c r="N57" i="15"/>
  <c r="N34" i="15"/>
  <c r="N35" i="15" s="1"/>
  <c r="O45" i="1"/>
  <c r="N18" i="15"/>
  <c r="O92" i="15"/>
  <c r="N37" i="14"/>
  <c r="N38" i="14"/>
  <c r="Q26" i="25"/>
  <c r="N86" i="15"/>
  <c r="O7" i="15" l="1"/>
  <c r="O43" i="15"/>
  <c r="O46" i="15" s="1"/>
  <c r="N66" i="15"/>
  <c r="O41" i="15"/>
  <c r="R20" i="6"/>
  <c r="O72" i="15"/>
  <c r="O75" i="15" s="1"/>
  <c r="O94" i="15"/>
  <c r="O99" i="15"/>
  <c r="N90" i="15"/>
  <c r="O70" i="15"/>
  <c r="O8" i="14"/>
  <c r="O12" i="14" s="1"/>
  <c r="N37" i="15"/>
  <c r="O9" i="15"/>
  <c r="O12" i="15" s="1"/>
  <c r="N6" i="14"/>
  <c r="P48" i="1" l="1"/>
  <c r="O100" i="15"/>
  <c r="O76" i="15"/>
  <c r="O56" i="15"/>
  <c r="O61" i="15"/>
  <c r="O51" i="15"/>
  <c r="O20" i="14"/>
  <c r="O36" i="14"/>
  <c r="O28" i="14"/>
  <c r="O80" i="15"/>
  <c r="O85" i="15"/>
  <c r="S19" i="6"/>
  <c r="R9" i="14" s="1"/>
  <c r="O13" i="15"/>
  <c r="O17" i="15"/>
  <c r="O27" i="15"/>
  <c r="O32" i="15"/>
  <c r="O22" i="15"/>
  <c r="O101" i="15"/>
  <c r="O47" i="15"/>
  <c r="O34" i="15" l="1"/>
  <c r="O35" i="15" s="1"/>
  <c r="P45" i="1"/>
  <c r="O18" i="15"/>
  <c r="P92" i="15"/>
  <c r="P94" i="15" s="1"/>
  <c r="O37" i="14"/>
  <c r="O38" i="14"/>
  <c r="O63" i="15"/>
  <c r="O64" i="15" s="1"/>
  <c r="P46" i="1"/>
  <c r="O52" i="15"/>
  <c r="S26" i="23"/>
  <c r="O62" i="15"/>
  <c r="S20" i="6"/>
  <c r="Q26" i="24"/>
  <c r="O57" i="15"/>
  <c r="O87" i="15"/>
  <c r="O88" i="15" s="1"/>
  <c r="P47" i="1"/>
  <c r="O81" i="15"/>
  <c r="O29" i="14"/>
  <c r="P68" i="15"/>
  <c r="O30" i="14"/>
  <c r="P39" i="15"/>
  <c r="O21" i="14"/>
  <c r="O22" i="14"/>
  <c r="R26" i="25"/>
  <c r="O86" i="15"/>
  <c r="Q25" i="24"/>
  <c r="O23" i="15"/>
  <c r="S25" i="23"/>
  <c r="O33" i="15"/>
  <c r="R25" i="25"/>
  <c r="O28" i="15"/>
  <c r="P5" i="15"/>
  <c r="O13" i="14"/>
  <c r="O14" i="14"/>
  <c r="P70" i="15" l="1"/>
  <c r="T19" i="6"/>
  <c r="S9" i="14" s="1"/>
  <c r="O37" i="15"/>
  <c r="P41" i="15"/>
  <c r="P72" i="15"/>
  <c r="O66" i="15"/>
  <c r="P9" i="15"/>
  <c r="P12" i="15" s="1"/>
  <c r="P7" i="15"/>
  <c r="P8" i="14"/>
  <c r="P12" i="14" s="1"/>
  <c r="P99" i="15"/>
  <c r="O6" i="14"/>
  <c r="O90" i="15"/>
  <c r="P43" i="15"/>
  <c r="P46" i="15" s="1"/>
  <c r="P13" i="15" l="1"/>
  <c r="T20" i="6"/>
  <c r="U19" i="6" s="1"/>
  <c r="T9" i="14" s="1"/>
  <c r="P61" i="15"/>
  <c r="P51" i="15"/>
  <c r="P56" i="15"/>
  <c r="P36" i="14"/>
  <c r="P20" i="14"/>
  <c r="P28" i="14"/>
  <c r="P75" i="15"/>
  <c r="P85" i="15" s="1"/>
  <c r="Q48" i="1"/>
  <c r="P100" i="15"/>
  <c r="P101" i="15"/>
  <c r="P32" i="15"/>
  <c r="P27" i="15"/>
  <c r="P22" i="15"/>
  <c r="P17" i="15"/>
  <c r="P47" i="15"/>
  <c r="P76" i="15" l="1"/>
  <c r="P80" i="15"/>
  <c r="P87" i="15" s="1"/>
  <c r="P88" i="15" s="1"/>
  <c r="S26" i="25"/>
  <c r="P86" i="15"/>
  <c r="P13" i="14"/>
  <c r="Q5" i="15"/>
  <c r="P14" i="14"/>
  <c r="Q45" i="1"/>
  <c r="P34" i="15"/>
  <c r="P35" i="15" s="1"/>
  <c r="P18" i="15"/>
  <c r="Q39" i="15"/>
  <c r="P21" i="14"/>
  <c r="P22" i="14"/>
  <c r="S25" i="25"/>
  <c r="P28" i="15"/>
  <c r="Q92" i="15"/>
  <c r="Q94" i="15" s="1"/>
  <c r="P37" i="14"/>
  <c r="P38" i="14"/>
  <c r="R26" i="24"/>
  <c r="P57" i="15"/>
  <c r="U20" i="6"/>
  <c r="Q46" i="1"/>
  <c r="P63" i="15"/>
  <c r="P64" i="15" s="1"/>
  <c r="P52" i="15"/>
  <c r="P29" i="14"/>
  <c r="Q68" i="15"/>
  <c r="P30" i="14"/>
  <c r="R25" i="24"/>
  <c r="P23" i="15"/>
  <c r="T25" i="23"/>
  <c r="P33" i="15"/>
  <c r="T26" i="23"/>
  <c r="P62" i="15"/>
  <c r="P81" i="15" l="1"/>
  <c r="P90" i="15" s="1"/>
  <c r="Q47" i="1"/>
  <c r="Q43" i="15"/>
  <c r="Q46" i="15" s="1"/>
  <c r="P6" i="14"/>
  <c r="Q8" i="14"/>
  <c r="Q12" i="14" s="1"/>
  <c r="Q7" i="15"/>
  <c r="V19" i="6"/>
  <c r="U9" i="14" s="1"/>
  <c r="Q9" i="15"/>
  <c r="Q12" i="15" s="1"/>
  <c r="Q99" i="15"/>
  <c r="Q41" i="15"/>
  <c r="P37" i="15"/>
  <c r="P66" i="15"/>
  <c r="Q70" i="15"/>
  <c r="Q72" i="15" l="1"/>
  <c r="Q75" i="15" s="1"/>
  <c r="Q76" i="15" s="1"/>
  <c r="Q47" i="15"/>
  <c r="R48" i="1"/>
  <c r="Q100" i="15"/>
  <c r="Q101" i="15"/>
  <c r="Q13" i="15"/>
  <c r="Q36" i="14"/>
  <c r="Q20" i="14"/>
  <c r="Q28" i="14"/>
  <c r="Q51" i="15"/>
  <c r="Q56" i="15"/>
  <c r="Q61" i="15"/>
  <c r="Q27" i="15"/>
  <c r="Q32" i="15"/>
  <c r="Q22" i="15"/>
  <c r="Q17" i="15"/>
  <c r="V20" i="6"/>
  <c r="Q85" i="15" l="1"/>
  <c r="Q80" i="15"/>
  <c r="Q81" i="15" s="1"/>
  <c r="U26" i="23"/>
  <c r="Q62" i="15"/>
  <c r="T25" i="25"/>
  <c r="Q28" i="15"/>
  <c r="W19" i="6"/>
  <c r="V9" i="14" s="1"/>
  <c r="S26" i="24"/>
  <c r="Q57" i="15"/>
  <c r="R39" i="15"/>
  <c r="Q21" i="14"/>
  <c r="Q22" i="14"/>
  <c r="Q34" i="15"/>
  <c r="Q35" i="15" s="1"/>
  <c r="R45" i="1"/>
  <c r="Q18" i="15"/>
  <c r="Q13" i="14"/>
  <c r="R5" i="15"/>
  <c r="Q14" i="14"/>
  <c r="Q63" i="15"/>
  <c r="Q64" i="15" s="1"/>
  <c r="R46" i="1"/>
  <c r="Q52" i="15"/>
  <c r="Q29" i="14"/>
  <c r="R68" i="15"/>
  <c r="Q30" i="14"/>
  <c r="S25" i="24"/>
  <c r="Q23" i="15"/>
  <c r="U25" i="23"/>
  <c r="Q33" i="15"/>
  <c r="R92" i="15"/>
  <c r="R94" i="15" s="1"/>
  <c r="Q37" i="14"/>
  <c r="Q38" i="14"/>
  <c r="R47" i="1" l="1"/>
  <c r="Q87" i="15"/>
  <c r="Q88" i="15" s="1"/>
  <c r="T26" i="25"/>
  <c r="Q86" i="15"/>
  <c r="Q90" i="15" s="1"/>
  <c r="Q6" i="14"/>
  <c r="R9" i="15"/>
  <c r="R12" i="15" s="1"/>
  <c r="Q37" i="15"/>
  <c r="R41" i="15"/>
  <c r="R43" i="15"/>
  <c r="R46" i="15" s="1"/>
  <c r="R70" i="15"/>
  <c r="R8" i="14"/>
  <c r="R12" i="14" s="1"/>
  <c r="R99" i="15"/>
  <c r="R101" i="15" s="1"/>
  <c r="Q66" i="15"/>
  <c r="W20" i="6"/>
  <c r="R7" i="15"/>
  <c r="R72" i="15" l="1"/>
  <c r="R75" i="15" s="1"/>
  <c r="R80" i="15" s="1"/>
  <c r="R13" i="15"/>
  <c r="S48" i="1"/>
  <c r="R100" i="15"/>
  <c r="R20" i="14"/>
  <c r="R36" i="14"/>
  <c r="R28" i="14"/>
  <c r="R51" i="15"/>
  <c r="R56" i="15"/>
  <c r="R61" i="15"/>
  <c r="R32" i="15"/>
  <c r="R22" i="15"/>
  <c r="R27" i="15"/>
  <c r="R17" i="15"/>
  <c r="X19" i="6"/>
  <c r="W9" i="14" s="1"/>
  <c r="R47" i="15"/>
  <c r="R85" i="15" l="1"/>
  <c r="U26" i="25" s="1"/>
  <c r="R76" i="15"/>
  <c r="R21" i="14"/>
  <c r="S39" i="15"/>
  <c r="R22" i="14"/>
  <c r="R37" i="14"/>
  <c r="S92" i="15"/>
  <c r="S99" i="15" s="1"/>
  <c r="T48" i="1" s="1"/>
  <c r="R38" i="14"/>
  <c r="U25" i="25"/>
  <c r="R28" i="15"/>
  <c r="S47" i="1"/>
  <c r="R81" i="15"/>
  <c r="V26" i="23"/>
  <c r="R62" i="15"/>
  <c r="S5" i="15"/>
  <c r="R13" i="14"/>
  <c r="R14" i="14"/>
  <c r="T26" i="24"/>
  <c r="R57" i="15"/>
  <c r="S45" i="1"/>
  <c r="R34" i="15"/>
  <c r="R35" i="15" s="1"/>
  <c r="R18" i="15"/>
  <c r="T25" i="24"/>
  <c r="R23" i="15"/>
  <c r="V25" i="23"/>
  <c r="R33" i="15"/>
  <c r="R63" i="15"/>
  <c r="R64" i="15" s="1"/>
  <c r="S46" i="1"/>
  <c r="R52" i="15"/>
  <c r="X20" i="6"/>
  <c r="R29" i="14"/>
  <c r="S68" i="15"/>
  <c r="R30" i="14"/>
  <c r="R87" i="15" l="1"/>
  <c r="R88" i="15" s="1"/>
  <c r="R86" i="15"/>
  <c r="S72" i="15" s="1"/>
  <c r="S75" i="15" s="1"/>
  <c r="S94" i="15"/>
  <c r="S101" i="15"/>
  <c r="S70" i="15"/>
  <c r="S8" i="14"/>
  <c r="S12" i="14" s="1"/>
  <c r="R6" i="14"/>
  <c r="R37" i="15"/>
  <c r="Y19" i="6"/>
  <c r="X9" i="14" s="1"/>
  <c r="S41" i="15"/>
  <c r="R66" i="15"/>
  <c r="S9" i="15"/>
  <c r="S12" i="15" s="1"/>
  <c r="S43" i="15"/>
  <c r="S7" i="15"/>
  <c r="S100" i="15"/>
  <c r="R90" i="15" l="1"/>
  <c r="S13" i="15"/>
  <c r="S76" i="15"/>
  <c r="S46" i="15"/>
  <c r="S56" i="15" s="1"/>
  <c r="S80" i="15"/>
  <c r="S85" i="15"/>
  <c r="S17" i="15"/>
  <c r="S22" i="15"/>
  <c r="S32" i="15"/>
  <c r="S27" i="15"/>
  <c r="Y20" i="6"/>
  <c r="S20" i="14"/>
  <c r="S36" i="14"/>
  <c r="S28" i="14"/>
  <c r="S47" i="15" l="1"/>
  <c r="U26" i="24"/>
  <c r="S57" i="15"/>
  <c r="Z19" i="6"/>
  <c r="Y9" i="14" s="1"/>
  <c r="V25" i="25"/>
  <c r="S28" i="15"/>
  <c r="W25" i="23"/>
  <c r="S33" i="15"/>
  <c r="U25" i="24"/>
  <c r="S23" i="15"/>
  <c r="S61" i="15"/>
  <c r="T47" i="1"/>
  <c r="S87" i="15"/>
  <c r="S88" i="15" s="1"/>
  <c r="S81" i="15"/>
  <c r="S34" i="15"/>
  <c r="S35" i="15" s="1"/>
  <c r="T45" i="1"/>
  <c r="S18" i="15"/>
  <c r="S51" i="15"/>
  <c r="S29" i="14"/>
  <c r="T68" i="15"/>
  <c r="S30" i="14"/>
  <c r="T92" i="15"/>
  <c r="S37" i="14"/>
  <c r="S38" i="14"/>
  <c r="S21" i="14"/>
  <c r="T39" i="15"/>
  <c r="S22" i="14"/>
  <c r="S13" i="14"/>
  <c r="T5" i="15"/>
  <c r="S14" i="14"/>
  <c r="V26" i="25"/>
  <c r="S86" i="15"/>
  <c r="S6" i="14" l="1"/>
  <c r="T72" i="15"/>
  <c r="T75" i="15" s="1"/>
  <c r="T70" i="15"/>
  <c r="W26" i="23"/>
  <c r="S62" i="15"/>
  <c r="Z20" i="6"/>
  <c r="T94" i="15"/>
  <c r="T99" i="15"/>
  <c r="T101" i="15" s="1"/>
  <c r="T7" i="15"/>
  <c r="T41" i="15"/>
  <c r="T8" i="14"/>
  <c r="T12" i="14" s="1"/>
  <c r="S63" i="15"/>
  <c r="S64" i="15" s="1"/>
  <c r="T46" i="1"/>
  <c r="S52" i="15"/>
  <c r="T9" i="15"/>
  <c r="S90" i="15"/>
  <c r="S37" i="15"/>
  <c r="U48" i="1" l="1"/>
  <c r="T100" i="15"/>
  <c r="T20" i="14"/>
  <c r="T36" i="14"/>
  <c r="T28" i="14"/>
  <c r="T76" i="15"/>
  <c r="S66" i="15"/>
  <c r="T12" i="15"/>
  <c r="T22" i="15" s="1"/>
  <c r="T80" i="15"/>
  <c r="T85" i="15"/>
  <c r="T43" i="15"/>
  <c r="AA19" i="6"/>
  <c r="Z9" i="14" s="1"/>
  <c r="T32" i="15" l="1"/>
  <c r="T33" i="15" s="1"/>
  <c r="T13" i="15"/>
  <c r="V25" i="24"/>
  <c r="T23" i="15"/>
  <c r="W26" i="25"/>
  <c r="T86" i="15"/>
  <c r="T13" i="14"/>
  <c r="U5" i="15"/>
  <c r="T14" i="14"/>
  <c r="U92" i="15"/>
  <c r="U99" i="15" s="1"/>
  <c r="V48" i="1" s="1"/>
  <c r="T37" i="14"/>
  <c r="T38" i="14"/>
  <c r="T21" i="14"/>
  <c r="U39" i="15"/>
  <c r="T22" i="14"/>
  <c r="AA20" i="6"/>
  <c r="T46" i="15"/>
  <c r="T47" i="15" s="1"/>
  <c r="T17" i="15"/>
  <c r="T27" i="15"/>
  <c r="T87" i="15"/>
  <c r="T88" i="15" s="1"/>
  <c r="U47" i="1"/>
  <c r="T81" i="15"/>
  <c r="T29" i="14"/>
  <c r="U68" i="15"/>
  <c r="T30" i="14"/>
  <c r="X25" i="23" l="1"/>
  <c r="U8" i="14"/>
  <c r="U12" i="14" s="1"/>
  <c r="T56" i="15"/>
  <c r="T6" i="14"/>
  <c r="T51" i="15"/>
  <c r="AB19" i="6"/>
  <c r="AA9" i="14" s="1"/>
  <c r="T90" i="15"/>
  <c r="U7" i="15"/>
  <c r="U100" i="15"/>
  <c r="T61" i="15"/>
  <c r="W25" i="25"/>
  <c r="T28" i="15"/>
  <c r="U94" i="15"/>
  <c r="U101" i="15"/>
  <c r="U41" i="15"/>
  <c r="U72" i="15"/>
  <c r="U70" i="15"/>
  <c r="T34" i="15"/>
  <c r="T35" i="15" s="1"/>
  <c r="U45" i="1"/>
  <c r="T18" i="15"/>
  <c r="U9" i="15" l="1"/>
  <c r="AB20" i="6"/>
  <c r="U46" i="1"/>
  <c r="T63" i="15"/>
  <c r="T64" i="15" s="1"/>
  <c r="T52" i="15"/>
  <c r="X26" i="23"/>
  <c r="T62" i="15"/>
  <c r="U75" i="15"/>
  <c r="U76" i="15" s="1"/>
  <c r="V26" i="24"/>
  <c r="T57" i="15"/>
  <c r="U36" i="14"/>
  <c r="U20" i="14"/>
  <c r="U28" i="14"/>
  <c r="T37" i="15"/>
  <c r="U29" i="14" l="1"/>
  <c r="V68" i="15"/>
  <c r="U30" i="14"/>
  <c r="U12" i="15"/>
  <c r="U13" i="15" s="1"/>
  <c r="U21" i="14"/>
  <c r="V39" i="15"/>
  <c r="U22" i="14"/>
  <c r="T66" i="15"/>
  <c r="U80" i="15"/>
  <c r="AC19" i="6"/>
  <c r="AB9" i="14" s="1"/>
  <c r="U13" i="14"/>
  <c r="V5" i="15"/>
  <c r="U14" i="14"/>
  <c r="U85" i="15"/>
  <c r="U37" i="14"/>
  <c r="V92" i="15"/>
  <c r="U38" i="14"/>
  <c r="U43" i="15"/>
  <c r="U22" i="15" l="1"/>
  <c r="U23" i="15" s="1"/>
  <c r="U32" i="15"/>
  <c r="Y25" i="23" s="1"/>
  <c r="AC20" i="6"/>
  <c r="AD19" i="6" s="1"/>
  <c r="AC9" i="14" s="1"/>
  <c r="U27" i="15"/>
  <c r="X25" i="25" s="1"/>
  <c r="V41" i="15"/>
  <c r="X26" i="25"/>
  <c r="U86" i="15"/>
  <c r="U46" i="15"/>
  <c r="U47" i="15" s="1"/>
  <c r="U6" i="14"/>
  <c r="V70" i="15"/>
  <c r="V8" i="14"/>
  <c r="V12" i="14" s="1"/>
  <c r="V7" i="15"/>
  <c r="V94" i="15"/>
  <c r="V99" i="15"/>
  <c r="V47" i="1"/>
  <c r="U87" i="15"/>
  <c r="U88" i="15" s="1"/>
  <c r="U81" i="15"/>
  <c r="U17" i="15"/>
  <c r="W25" i="24" l="1"/>
  <c r="U28" i="15"/>
  <c r="AD20" i="6"/>
  <c r="AE19" i="6" s="1"/>
  <c r="AD9" i="14" s="1"/>
  <c r="U33" i="15"/>
  <c r="U90" i="15"/>
  <c r="W48" i="1"/>
  <c r="V100" i="15"/>
  <c r="V101" i="15"/>
  <c r="V45" i="1"/>
  <c r="U34" i="15"/>
  <c r="U35" i="15" s="1"/>
  <c r="U18" i="15"/>
  <c r="U56" i="15"/>
  <c r="V72" i="15"/>
  <c r="U51" i="15"/>
  <c r="V20" i="14"/>
  <c r="V36" i="14"/>
  <c r="V28" i="14"/>
  <c r="U61" i="15"/>
  <c r="U37" i="15" l="1"/>
  <c r="V21" i="14"/>
  <c r="W39" i="15"/>
  <c r="V22" i="14"/>
  <c r="AE20" i="6"/>
  <c r="W92" i="15"/>
  <c r="W94" i="15" s="1"/>
  <c r="V37" i="14"/>
  <c r="V38" i="14"/>
  <c r="W26" i="24"/>
  <c r="U57" i="15"/>
  <c r="Y26" i="23"/>
  <c r="U62" i="15"/>
  <c r="V9" i="15"/>
  <c r="V46" i="1"/>
  <c r="U63" i="15"/>
  <c r="U64" i="15" s="1"/>
  <c r="U52" i="15"/>
  <c r="V75" i="15"/>
  <c r="V76" i="15" s="1"/>
  <c r="V29" i="14"/>
  <c r="W68" i="15"/>
  <c r="V30" i="14"/>
  <c r="V13" i="14"/>
  <c r="W5" i="15"/>
  <c r="V14" i="14"/>
  <c r="V6" i="14" l="1"/>
  <c r="V80" i="15"/>
  <c r="W47" i="1" s="1"/>
  <c r="V85" i="15"/>
  <c r="Y26" i="25" s="1"/>
  <c r="U66" i="15"/>
  <c r="W7" i="15"/>
  <c r="V43" i="15"/>
  <c r="W8" i="14"/>
  <c r="W12" i="14" s="1"/>
  <c r="AF19" i="6"/>
  <c r="AE9" i="14" s="1"/>
  <c r="W41" i="15"/>
  <c r="W70" i="15"/>
  <c r="V12" i="15"/>
  <c r="V13" i="15" s="1"/>
  <c r="W99" i="15"/>
  <c r="V81" i="15" l="1"/>
  <c r="V86" i="15"/>
  <c r="V87" i="15"/>
  <c r="V88" i="15" s="1"/>
  <c r="V27" i="15"/>
  <c r="X48" i="1"/>
  <c r="W100" i="15"/>
  <c r="W101" i="15"/>
  <c r="AF20" i="6"/>
  <c r="V46" i="15"/>
  <c r="V47" i="15" s="1"/>
  <c r="V17" i="15"/>
  <c r="V32" i="15"/>
  <c r="V22" i="15"/>
  <c r="W36" i="14"/>
  <c r="W20" i="14"/>
  <c r="W28" i="14"/>
  <c r="V90" i="15" l="1"/>
  <c r="W72" i="15"/>
  <c r="W75" i="15" s="1"/>
  <c r="W76" i="15" s="1"/>
  <c r="V56" i="15"/>
  <c r="V57" i="15" s="1"/>
  <c r="V61" i="15"/>
  <c r="Z26" i="23" s="1"/>
  <c r="V51" i="15"/>
  <c r="W46" i="1" s="1"/>
  <c r="Z25" i="23"/>
  <c r="V33" i="15"/>
  <c r="W13" i="14"/>
  <c r="X5" i="15"/>
  <c r="W14" i="14"/>
  <c r="Y25" i="25"/>
  <c r="V28" i="15"/>
  <c r="X92" i="15"/>
  <c r="X94" i="15" s="1"/>
  <c r="W37" i="14"/>
  <c r="W38" i="14"/>
  <c r="W29" i="14"/>
  <c r="X68" i="15"/>
  <c r="W30" i="14"/>
  <c r="V34" i="15"/>
  <c r="V35" i="15" s="1"/>
  <c r="W45" i="1"/>
  <c r="V18" i="15"/>
  <c r="X25" i="24"/>
  <c r="V23" i="15"/>
  <c r="W21" i="14"/>
  <c r="X39" i="15"/>
  <c r="W22" i="14"/>
  <c r="V62" i="15" l="1"/>
  <c r="V63" i="15"/>
  <c r="V64" i="15" s="1"/>
  <c r="V52" i="15"/>
  <c r="X26" i="24"/>
  <c r="X99" i="15"/>
  <c r="Y48" i="1" s="1"/>
  <c r="X41" i="15"/>
  <c r="X8" i="14"/>
  <c r="X12" i="14" s="1"/>
  <c r="X7" i="15"/>
  <c r="W85" i="15"/>
  <c r="W6" i="14"/>
  <c r="X70" i="15"/>
  <c r="W9" i="15"/>
  <c r="V37" i="15"/>
  <c r="W80" i="15"/>
  <c r="W43" i="15" l="1"/>
  <c r="W46" i="15" s="1"/>
  <c r="W47" i="15" s="1"/>
  <c r="V66" i="15"/>
  <c r="X100" i="15"/>
  <c r="X101" i="15"/>
  <c r="Z26" i="25"/>
  <c r="W86" i="15"/>
  <c r="X36" i="14"/>
  <c r="X20" i="14"/>
  <c r="X28" i="14"/>
  <c r="W12" i="15"/>
  <c r="W13" i="15" s="1"/>
  <c r="W87" i="15"/>
  <c r="W88" i="15" s="1"/>
  <c r="X47" i="1"/>
  <c r="W81" i="15"/>
  <c r="W17" i="15" l="1"/>
  <c r="W18" i="15" s="1"/>
  <c r="W32" i="15"/>
  <c r="AA25" i="23" s="1"/>
  <c r="W61" i="15"/>
  <c r="W62" i="15" s="1"/>
  <c r="W56" i="15"/>
  <c r="Y26" i="24" s="1"/>
  <c r="W51" i="15"/>
  <c r="X46" i="1" s="1"/>
  <c r="X29" i="14"/>
  <c r="Y68" i="15"/>
  <c r="X30" i="14"/>
  <c r="X21" i="14"/>
  <c r="Y39" i="15"/>
  <c r="X22" i="14"/>
  <c r="X13" i="14"/>
  <c r="Y5" i="15"/>
  <c r="X14" i="14"/>
  <c r="X72" i="15"/>
  <c r="Y92" i="15"/>
  <c r="X37" i="14"/>
  <c r="X38" i="14"/>
  <c r="W27" i="15"/>
  <c r="W90" i="15"/>
  <c r="W22" i="15"/>
  <c r="X45" i="1" l="1"/>
  <c r="W33" i="15"/>
  <c r="W57" i="15"/>
  <c r="W52" i="15"/>
  <c r="AA26" i="23"/>
  <c r="W63" i="15"/>
  <c r="W64" i="15" s="1"/>
  <c r="Y94" i="15"/>
  <c r="Y99" i="15"/>
  <c r="X6" i="14"/>
  <c r="Y70" i="15"/>
  <c r="Y8" i="14"/>
  <c r="Y12" i="14" s="1"/>
  <c r="Y7" i="15"/>
  <c r="Y25" i="24"/>
  <c r="W23" i="15"/>
  <c r="X75" i="15"/>
  <c r="X76" i="15" s="1"/>
  <c r="W34" i="15"/>
  <c r="W35" i="15" s="1"/>
  <c r="Y41" i="15"/>
  <c r="Z25" i="25"/>
  <c r="W28" i="15"/>
  <c r="W66" i="15" l="1"/>
  <c r="X43" i="15"/>
  <c r="X46" i="15" s="1"/>
  <c r="X47" i="15" s="1"/>
  <c r="X9" i="15"/>
  <c r="X12" i="15" s="1"/>
  <c r="X13" i="15" s="1"/>
  <c r="X80" i="15"/>
  <c r="Z48" i="1"/>
  <c r="Y100" i="15"/>
  <c r="X85" i="15"/>
  <c r="Y36" i="14"/>
  <c r="Y20" i="14"/>
  <c r="Y28" i="14"/>
  <c r="Y101" i="15"/>
  <c r="W37" i="15"/>
  <c r="X51" i="15" l="1"/>
  <c r="Y46" i="1" s="1"/>
  <c r="X56" i="15"/>
  <c r="Z26" i="24" s="1"/>
  <c r="Y21" i="14"/>
  <c r="Z39" i="15"/>
  <c r="Y22" i="14"/>
  <c r="Y29" i="14"/>
  <c r="Z68" i="15"/>
  <c r="Y30" i="14"/>
  <c r="X22" i="15"/>
  <c r="X27" i="15"/>
  <c r="Y47" i="1"/>
  <c r="X87" i="15"/>
  <c r="X88" i="15" s="1"/>
  <c r="X81" i="15"/>
  <c r="Y13" i="14"/>
  <c r="Z5" i="15"/>
  <c r="Y14" i="14"/>
  <c r="AA26" i="25"/>
  <c r="X86" i="15"/>
  <c r="Y37" i="14"/>
  <c r="Z92" i="15"/>
  <c r="Z94" i="15" s="1"/>
  <c r="Y38" i="14"/>
  <c r="X32" i="15"/>
  <c r="X17" i="15"/>
  <c r="X61" i="15"/>
  <c r="Z99" i="15" l="1"/>
  <c r="AA48" i="1" s="1"/>
  <c r="X52" i="15"/>
  <c r="X57" i="15"/>
  <c r="Z25" i="24"/>
  <c r="X23" i="15"/>
  <c r="Y6" i="14"/>
  <c r="Z41" i="15"/>
  <c r="Z7" i="15"/>
  <c r="Y72" i="15"/>
  <c r="Z70" i="15"/>
  <c r="Z8" i="14"/>
  <c r="Z12" i="14" s="1"/>
  <c r="AB26" i="23"/>
  <c r="X62" i="15"/>
  <c r="X63" i="15"/>
  <c r="X64" i="15" s="1"/>
  <c r="AB25" i="23"/>
  <c r="X33" i="15"/>
  <c r="Y45" i="1"/>
  <c r="X34" i="15"/>
  <c r="X35" i="15" s="1"/>
  <c r="X18" i="15"/>
  <c r="X90" i="15"/>
  <c r="AA25" i="25"/>
  <c r="X28" i="15"/>
  <c r="Z101" i="15" l="1"/>
  <c r="Z100" i="15"/>
  <c r="Y43" i="15"/>
  <c r="Y46" i="15" s="1"/>
  <c r="Y47" i="15" s="1"/>
  <c r="Y9" i="15"/>
  <c r="Y75" i="15"/>
  <c r="Y76" i="15" s="1"/>
  <c r="X37" i="15"/>
  <c r="X66" i="15"/>
  <c r="Z36" i="14"/>
  <c r="Z20" i="14"/>
  <c r="Z28" i="14"/>
  <c r="Y12" i="15" l="1"/>
  <c r="Y13" i="15" s="1"/>
  <c r="AA92" i="15"/>
  <c r="Z37" i="14"/>
  <c r="Z38" i="14"/>
  <c r="Y61" i="15"/>
  <c r="Z21" i="14"/>
  <c r="AA39" i="15"/>
  <c r="Z22" i="14"/>
  <c r="Y56" i="15"/>
  <c r="Z29" i="14"/>
  <c r="AA68" i="15"/>
  <c r="Z30" i="14"/>
  <c r="Z13" i="14"/>
  <c r="AA5" i="15"/>
  <c r="Z14" i="14"/>
  <c r="Y80" i="15"/>
  <c r="Y85" i="15"/>
  <c r="Y51" i="15"/>
  <c r="Y32" i="15" l="1"/>
  <c r="Y87" i="15"/>
  <c r="Y88" i="15" s="1"/>
  <c r="Z47" i="1"/>
  <c r="Y81" i="15"/>
  <c r="AA94" i="15"/>
  <c r="AA99" i="15"/>
  <c r="AA101" i="15" s="1"/>
  <c r="AA41" i="15"/>
  <c r="Z6" i="14"/>
  <c r="AC26" i="23"/>
  <c r="Y62" i="15"/>
  <c r="Y17" i="15"/>
  <c r="AA7" i="15"/>
  <c r="Y22" i="15"/>
  <c r="AA26" i="24"/>
  <c r="Y57" i="15"/>
  <c r="AA8" i="14"/>
  <c r="AA12" i="14" s="1"/>
  <c r="Z46" i="1"/>
  <c r="Y63" i="15"/>
  <c r="Y64" i="15" s="1"/>
  <c r="Y52" i="15"/>
  <c r="AB26" i="25"/>
  <c r="Y86" i="15"/>
  <c r="AA70" i="15"/>
  <c r="Y27" i="15"/>
  <c r="Y66" i="15" l="1"/>
  <c r="Z72" i="15"/>
  <c r="Y90" i="15"/>
  <c r="Z45" i="1"/>
  <c r="Y34" i="15"/>
  <c r="Y35" i="15" s="1"/>
  <c r="Y18" i="15"/>
  <c r="AA25" i="24"/>
  <c r="Y23" i="15"/>
  <c r="AC25" i="23"/>
  <c r="Y33" i="15"/>
  <c r="Z43" i="15"/>
  <c r="AB25" i="25"/>
  <c r="Y28" i="15"/>
  <c r="AA36" i="14"/>
  <c r="AA20" i="14"/>
  <c r="AA28" i="14"/>
  <c r="AB48" i="1"/>
  <c r="AA100" i="15"/>
  <c r="AA37" i="14" l="1"/>
  <c r="AB92" i="15"/>
  <c r="AA38" i="14"/>
  <c r="AA13" i="14"/>
  <c r="AB5" i="15"/>
  <c r="AA14" i="14"/>
  <c r="Y37" i="15"/>
  <c r="Z9" i="15"/>
  <c r="Z75" i="15"/>
  <c r="Z76" i="15" s="1"/>
  <c r="Z46" i="15"/>
  <c r="Z47" i="15" s="1"/>
  <c r="AA21" i="14"/>
  <c r="AB39" i="15"/>
  <c r="AA22" i="14"/>
  <c r="AA29" i="14"/>
  <c r="AB68" i="15"/>
  <c r="AA30" i="14"/>
  <c r="Z80" i="15" l="1"/>
  <c r="AA6" i="14"/>
  <c r="AB8" i="14"/>
  <c r="AB12" i="14" s="1"/>
  <c r="AB94" i="15"/>
  <c r="Z85" i="15"/>
  <c r="AB7" i="15"/>
  <c r="Z56" i="15"/>
  <c r="AB70" i="15"/>
  <c r="Z61" i="15"/>
  <c r="AB99" i="15"/>
  <c r="AB41" i="15"/>
  <c r="Z12" i="15"/>
  <c r="Z13" i="15" s="1"/>
  <c r="Z51" i="15"/>
  <c r="Z17" i="15" l="1"/>
  <c r="AA45" i="1" s="1"/>
  <c r="Z32" i="15"/>
  <c r="Z33" i="15" s="1"/>
  <c r="AB26" i="24"/>
  <c r="Z57" i="15"/>
  <c r="Z63" i="15"/>
  <c r="Z64" i="15" s="1"/>
  <c r="AA46" i="1"/>
  <c r="Z52" i="15"/>
  <c r="AB36" i="14"/>
  <c r="AB20" i="14"/>
  <c r="AB28" i="14"/>
  <c r="AC48" i="1"/>
  <c r="AB100" i="15"/>
  <c r="AD26" i="23"/>
  <c r="Z62" i="15"/>
  <c r="Z22" i="15"/>
  <c r="AB101" i="15"/>
  <c r="AC26" i="25"/>
  <c r="Z86" i="15"/>
  <c r="Z27" i="15"/>
  <c r="Z87" i="15"/>
  <c r="Z88" i="15" s="1"/>
  <c r="AA47" i="1"/>
  <c r="Z81" i="15"/>
  <c r="AD25" i="23" l="1"/>
  <c r="Z18" i="15"/>
  <c r="AA43" i="15"/>
  <c r="Z90" i="15"/>
  <c r="AC5" i="15"/>
  <c r="AB13" i="14"/>
  <c r="AB14" i="14"/>
  <c r="AB29" i="14"/>
  <c r="AC68" i="15"/>
  <c r="AB30" i="14"/>
  <c r="AB21" i="14"/>
  <c r="AC39" i="15"/>
  <c r="AB22" i="14"/>
  <c r="AA72" i="15"/>
  <c r="AB25" i="24"/>
  <c r="Z23" i="15"/>
  <c r="Z66" i="15"/>
  <c r="AB37" i="14"/>
  <c r="AC92" i="15"/>
  <c r="AC94" i="15" s="1"/>
  <c r="AB38" i="14"/>
  <c r="AC25" i="25"/>
  <c r="Z28" i="15"/>
  <c r="Z34" i="15"/>
  <c r="Z35" i="15" s="1"/>
  <c r="AA9" i="15" l="1"/>
  <c r="AA12" i="15" s="1"/>
  <c r="AA13" i="15" s="1"/>
  <c r="AB6" i="14"/>
  <c r="Z37" i="15"/>
  <c r="AA75" i="15"/>
  <c r="AA76" i="15" s="1"/>
  <c r="AC70" i="15"/>
  <c r="AA46" i="15"/>
  <c r="AA47" i="15" s="1"/>
  <c r="AC7" i="15"/>
  <c r="AC99" i="15"/>
  <c r="AC101" i="15" s="1"/>
  <c r="AC41" i="15"/>
  <c r="AC8" i="14"/>
  <c r="AC12" i="14" s="1"/>
  <c r="AA56" i="15" l="1"/>
  <c r="AA22" i="15"/>
  <c r="AA61" i="15"/>
  <c r="AA27" i="15"/>
  <c r="AA51" i="15"/>
  <c r="AA80" i="15"/>
  <c r="AA17" i="15"/>
  <c r="AC36" i="14"/>
  <c r="AC20" i="14"/>
  <c r="AC28" i="14"/>
  <c r="AD48" i="1"/>
  <c r="AC100" i="15"/>
  <c r="AA85" i="15"/>
  <c r="AA32" i="15"/>
  <c r="AA34" i="15" l="1"/>
  <c r="AA35" i="15" s="1"/>
  <c r="AB45" i="1"/>
  <c r="AA18" i="15"/>
  <c r="AC25" i="24"/>
  <c r="AA23" i="15"/>
  <c r="AC13" i="14"/>
  <c r="AD5" i="15"/>
  <c r="AC14" i="14"/>
  <c r="AE25" i="23"/>
  <c r="AA33" i="15"/>
  <c r="AC26" i="24"/>
  <c r="AA57" i="15"/>
  <c r="AD26" i="25"/>
  <c r="AA86" i="15"/>
  <c r="AE26" i="23"/>
  <c r="AA62" i="15"/>
  <c r="AA63" i="15"/>
  <c r="AA64" i="15" s="1"/>
  <c r="AB46" i="1"/>
  <c r="AA52" i="15"/>
  <c r="AC29" i="14"/>
  <c r="AD68" i="15"/>
  <c r="AC30" i="14"/>
  <c r="AC37" i="14"/>
  <c r="AD92" i="15"/>
  <c r="AC38" i="14"/>
  <c r="AB47" i="1"/>
  <c r="AA87" i="15"/>
  <c r="AA88" i="15" s="1"/>
  <c r="AA81" i="15"/>
  <c r="AC21" i="14"/>
  <c r="AD39" i="15"/>
  <c r="AC22" i="14"/>
  <c r="AD25" i="25"/>
  <c r="AA28" i="15"/>
  <c r="AD41" i="15" l="1"/>
  <c r="AC6" i="14"/>
  <c r="AD7" i="15"/>
  <c r="AA90" i="15"/>
  <c r="AD94" i="15"/>
  <c r="AD70" i="15"/>
  <c r="AB72" i="15"/>
  <c r="AD8" i="14"/>
  <c r="AD12" i="14" s="1"/>
  <c r="AB43" i="15"/>
  <c r="AB9" i="15"/>
  <c r="AA37" i="15"/>
  <c r="AA66" i="15"/>
  <c r="AD99" i="15"/>
  <c r="AE48" i="1" l="1"/>
  <c r="AD100" i="15"/>
  <c r="AB75" i="15"/>
  <c r="AB76" i="15" s="1"/>
  <c r="AD101" i="15"/>
  <c r="AB12" i="15"/>
  <c r="AB13" i="15" s="1"/>
  <c r="AB46" i="15"/>
  <c r="AB47" i="15" s="1"/>
  <c r="AD36" i="14"/>
  <c r="AD20" i="14"/>
  <c r="AD28" i="14"/>
  <c r="AB22" i="15" l="1"/>
  <c r="AD25" i="24" s="1"/>
  <c r="AB32" i="15"/>
  <c r="AF25" i="23" s="1"/>
  <c r="AB61" i="15"/>
  <c r="AB51" i="15"/>
  <c r="AB80" i="15"/>
  <c r="AB85" i="15"/>
  <c r="AD21" i="14"/>
  <c r="AE39" i="15"/>
  <c r="AD22" i="14"/>
  <c r="AB17" i="15"/>
  <c r="AD37" i="14"/>
  <c r="AE92" i="15"/>
  <c r="AE94" i="15" s="1"/>
  <c r="AD38" i="14"/>
  <c r="AB56" i="15"/>
  <c r="AD29" i="14"/>
  <c r="AE68" i="15"/>
  <c r="AD30" i="14"/>
  <c r="AD13" i="14"/>
  <c r="AE5" i="15"/>
  <c r="AD14" i="14"/>
  <c r="AB27" i="15"/>
  <c r="AB33" i="15" l="1"/>
  <c r="AB23" i="15"/>
  <c r="AB87" i="15"/>
  <c r="AB88" i="15" s="1"/>
  <c r="AC47" i="1"/>
  <c r="AB81" i="15"/>
  <c r="AE25" i="25"/>
  <c r="AB28" i="15"/>
  <c r="AE26" i="25"/>
  <c r="AB86" i="15"/>
  <c r="AD6" i="14"/>
  <c r="AE99" i="15"/>
  <c r="AE101" i="15" s="1"/>
  <c r="AF26" i="23"/>
  <c r="AB62" i="15"/>
  <c r="AC46" i="1"/>
  <c r="AB63" i="15"/>
  <c r="AB64" i="15" s="1"/>
  <c r="AB52" i="15"/>
  <c r="AB34" i="15"/>
  <c r="AB35" i="15" s="1"/>
  <c r="AC45" i="1"/>
  <c r="AB18" i="15"/>
  <c r="AE8" i="14"/>
  <c r="AE12" i="14" s="1"/>
  <c r="AE7" i="15"/>
  <c r="AE70" i="15"/>
  <c r="AD26" i="24"/>
  <c r="AB57" i="15"/>
  <c r="AE41" i="15"/>
  <c r="AB37" i="15" l="1"/>
  <c r="AC43" i="15"/>
  <c r="AE36" i="14"/>
  <c r="AE20" i="14"/>
  <c r="AE28" i="14"/>
  <c r="AB66" i="15"/>
  <c r="AC72" i="15"/>
  <c r="AB90" i="15"/>
  <c r="AC9" i="15"/>
  <c r="AF48" i="1"/>
  <c r="AE100" i="15"/>
  <c r="AE29" i="14" l="1"/>
  <c r="AF68" i="15"/>
  <c r="AE30" i="14"/>
  <c r="AE13" i="14"/>
  <c r="AF5" i="15"/>
  <c r="AE14" i="14"/>
  <c r="AC12" i="15"/>
  <c r="AC13" i="15" s="1"/>
  <c r="AE21" i="14"/>
  <c r="AF39" i="15"/>
  <c r="AE22" i="14"/>
  <c r="AC75" i="15"/>
  <c r="AC76" i="15" s="1"/>
  <c r="AE37" i="14"/>
  <c r="AF92" i="15"/>
  <c r="AF99" i="15" s="1"/>
  <c r="AG48" i="1" s="1"/>
  <c r="AE38" i="14"/>
  <c r="AC46" i="15"/>
  <c r="AC47" i="15" s="1"/>
  <c r="AC27" i="15" l="1"/>
  <c r="AF25" i="25" s="1"/>
  <c r="AC17" i="15"/>
  <c r="AD45" i="1" s="1"/>
  <c r="AF100" i="15"/>
  <c r="AC61" i="15"/>
  <c r="AC62" i="15" s="1"/>
  <c r="AC56" i="15"/>
  <c r="AE26" i="24" s="1"/>
  <c r="AF94" i="15"/>
  <c r="AF101" i="15"/>
  <c r="AF41" i="15"/>
  <c r="AF7" i="15"/>
  <c r="AE6" i="14"/>
  <c r="AF8" i="14"/>
  <c r="AF12" i="14" s="1"/>
  <c r="AC80" i="15"/>
  <c r="AC32" i="15"/>
  <c r="AF70" i="15"/>
  <c r="AC51" i="15"/>
  <c r="AC85" i="15"/>
  <c r="AC22" i="15"/>
  <c r="AC18" i="15" l="1"/>
  <c r="AG26" i="23"/>
  <c r="AC28" i="15"/>
  <c r="AC34" i="15"/>
  <c r="AC35" i="15" s="1"/>
  <c r="AC57" i="15"/>
  <c r="AD46" i="1"/>
  <c r="AC63" i="15"/>
  <c r="AC64" i="15" s="1"/>
  <c r="AC52" i="15"/>
  <c r="AG25" i="23"/>
  <c r="AC33" i="15"/>
  <c r="AD47" i="1"/>
  <c r="AC87" i="15"/>
  <c r="AC88" i="15" s="1"/>
  <c r="AC81" i="15"/>
  <c r="AF20" i="14"/>
  <c r="AF28" i="14"/>
  <c r="AF36" i="14"/>
  <c r="AE25" i="24"/>
  <c r="AC23" i="15"/>
  <c r="AF26" i="25"/>
  <c r="AC86" i="15"/>
  <c r="AF21" i="14" l="1"/>
  <c r="AF22" i="14"/>
  <c r="AD43" i="15"/>
  <c r="AD72" i="15"/>
  <c r="AD9" i="15"/>
  <c r="AC90" i="15"/>
  <c r="AF37" i="14"/>
  <c r="AF38" i="14"/>
  <c r="AF29" i="14"/>
  <c r="AF30" i="14"/>
  <c r="AC66" i="15"/>
  <c r="AF13" i="14"/>
  <c r="AF14" i="14"/>
  <c r="AC37" i="15"/>
  <c r="AG8" i="14" l="1"/>
  <c r="AG12" i="14" s="1"/>
  <c r="AD75" i="15"/>
  <c r="AD76" i="15" s="1"/>
  <c r="AD46" i="15"/>
  <c r="AD47" i="15" s="1"/>
  <c r="AF6" i="14"/>
  <c r="AD12" i="15"/>
  <c r="AD13" i="15" s="1"/>
  <c r="AD32" i="15" l="1"/>
  <c r="AD33" i="15" s="1"/>
  <c r="AD22" i="15"/>
  <c r="AF25" i="24" s="1"/>
  <c r="AD27" i="15"/>
  <c r="AG25" i="25" s="1"/>
  <c r="AD51" i="15"/>
  <c r="AD52" i="15" s="1"/>
  <c r="AG28" i="14"/>
  <c r="AG36" i="14"/>
  <c r="AG20" i="14"/>
  <c r="AD80" i="15"/>
  <c r="AD61" i="15"/>
  <c r="AD62" i="15" s="1"/>
  <c r="AD85" i="15"/>
  <c r="AD17" i="15"/>
  <c r="AD56" i="15"/>
  <c r="AD23" i="15" l="1"/>
  <c r="AD28" i="15"/>
  <c r="AE46" i="1"/>
  <c r="AF26" i="24"/>
  <c r="AD57" i="15"/>
  <c r="AD66" i="15" s="1"/>
  <c r="AE45" i="1"/>
  <c r="AD34" i="15"/>
  <c r="AD35" i="15" s="1"/>
  <c r="AD18" i="15"/>
  <c r="AG26" i="25"/>
  <c r="AD86" i="15"/>
  <c r="AE47" i="1"/>
  <c r="AD87" i="15"/>
  <c r="AD88" i="15" s="1"/>
  <c r="AD81" i="15"/>
  <c r="AG13" i="14"/>
  <c r="AG14" i="14"/>
  <c r="AG21" i="14"/>
  <c r="AG22" i="14"/>
  <c r="AD63" i="15"/>
  <c r="AD64" i="15" s="1"/>
  <c r="AG29" i="14"/>
  <c r="AG30" i="14"/>
  <c r="AG37" i="14"/>
  <c r="AG38" i="14"/>
  <c r="AE43" i="15" l="1"/>
  <c r="AE46" i="15" s="1"/>
  <c r="AE47" i="15" s="1"/>
  <c r="AE9" i="15"/>
  <c r="AG6" i="14"/>
  <c r="AD90" i="15"/>
  <c r="AE72" i="15"/>
  <c r="AD37" i="15"/>
  <c r="AE61" i="15" l="1"/>
  <c r="AE62" i="15" s="1"/>
  <c r="AE56" i="15"/>
  <c r="AE51" i="15"/>
  <c r="AE12" i="15"/>
  <c r="AE13" i="15" s="1"/>
  <c r="AE75" i="15"/>
  <c r="AE76" i="15" s="1"/>
  <c r="AE27" i="15" l="1"/>
  <c r="AE28" i="15" s="1"/>
  <c r="AE22" i="15"/>
  <c r="AE23" i="15" s="1"/>
  <c r="AE32" i="15"/>
  <c r="AE33" i="15" s="1"/>
  <c r="AE63" i="15"/>
  <c r="AE64" i="15" s="1"/>
  <c r="AF46" i="1"/>
  <c r="AE52" i="15"/>
  <c r="AE80" i="15"/>
  <c r="AG26" i="24"/>
  <c r="AE57" i="15"/>
  <c r="AE85" i="15"/>
  <c r="AE86" i="15" s="1"/>
  <c r="AE17" i="15"/>
  <c r="AG25" i="24" l="1"/>
  <c r="AE87" i="15"/>
  <c r="AE88" i="15" s="1"/>
  <c r="AF47" i="1"/>
  <c r="AE81" i="15"/>
  <c r="AE90" i="15" s="1"/>
  <c r="AF43" i="15"/>
  <c r="AF45" i="1"/>
  <c r="AE34" i="15"/>
  <c r="AE35" i="15" s="1"/>
  <c r="AE18" i="15"/>
  <c r="AE66" i="15"/>
  <c r="AF46" i="15" l="1"/>
  <c r="AF47" i="15" s="1"/>
  <c r="AF9" i="15"/>
  <c r="AE37" i="15"/>
  <c r="AF72" i="15"/>
  <c r="AF12" i="15" l="1"/>
  <c r="AF13" i="15" s="1"/>
  <c r="AF51" i="15"/>
  <c r="AF61" i="15"/>
  <c r="AF62" i="15" s="1"/>
  <c r="AF75" i="15"/>
  <c r="AF76" i="15" s="1"/>
  <c r="AF56" i="15"/>
  <c r="AF57" i="15" s="1"/>
  <c r="AF80" i="15" l="1"/>
  <c r="AF81" i="15" s="1"/>
  <c r="AF63" i="15"/>
  <c r="AF64" i="15" s="1"/>
  <c r="AG46" i="1"/>
  <c r="AF52" i="15"/>
  <c r="AF66" i="15" s="1"/>
  <c r="AF17" i="15"/>
  <c r="AF22" i="15"/>
  <c r="AF23" i="15" s="1"/>
  <c r="AF32" i="15"/>
  <c r="AF33" i="15" s="1"/>
  <c r="AF85" i="15"/>
  <c r="AF86" i="15" s="1"/>
  <c r="AF27" i="15"/>
  <c r="AF28" i="15" s="1"/>
  <c r="AG47" i="1" l="1"/>
  <c r="AF90" i="15"/>
  <c r="AF34" i="15"/>
  <c r="AF35" i="15" s="1"/>
  <c r="AG45" i="1"/>
  <c r="AF18" i="15"/>
  <c r="AF37" i="15" s="1"/>
  <c r="AF87" i="15"/>
  <c r="AF88" i="15" s="1"/>
</calcChain>
</file>

<file path=xl/sharedStrings.xml><?xml version="1.0" encoding="utf-8"?>
<sst xmlns="http://schemas.openxmlformats.org/spreadsheetml/2006/main" count="2086" uniqueCount="133">
  <si>
    <t>S2</t>
  </si>
  <si>
    <t>S3</t>
  </si>
  <si>
    <t>S4</t>
  </si>
  <si>
    <t>S5</t>
  </si>
  <si>
    <t>S6</t>
  </si>
  <si>
    <t>S7</t>
  </si>
  <si>
    <t>S8</t>
  </si>
  <si>
    <t>S9</t>
  </si>
  <si>
    <t>S10</t>
  </si>
  <si>
    <t>S11</t>
  </si>
  <si>
    <t>S12</t>
  </si>
  <si>
    <t>S13</t>
  </si>
  <si>
    <t>S14</t>
  </si>
  <si>
    <t>S15</t>
  </si>
  <si>
    <t>S16</t>
  </si>
  <si>
    <t>S17</t>
  </si>
  <si>
    <t>S18</t>
  </si>
  <si>
    <t>S19</t>
  </si>
  <si>
    <t>S20</t>
  </si>
  <si>
    <t>S21</t>
  </si>
  <si>
    <t>S22</t>
  </si>
  <si>
    <t>S23</t>
  </si>
  <si>
    <t>S24</t>
  </si>
  <si>
    <t>S25</t>
  </si>
  <si>
    <t>Stock objectif</t>
  </si>
  <si>
    <t>Besoins à produire</t>
  </si>
  <si>
    <t>Prev. Vente</t>
  </si>
  <si>
    <t>Attendue livraison</t>
  </si>
  <si>
    <t>Capacité de conditionnement</t>
  </si>
  <si>
    <t>P1</t>
  </si>
  <si>
    <t>P2</t>
  </si>
  <si>
    <t>P3</t>
  </si>
  <si>
    <t>Produit</t>
  </si>
  <si>
    <t>France</t>
  </si>
  <si>
    <t>Australie</t>
  </si>
  <si>
    <t>Espagne</t>
  </si>
  <si>
    <t>Chili</t>
  </si>
  <si>
    <t>Stock projeté</t>
  </si>
  <si>
    <t>Ressources de prod partagé équitablement entre produit</t>
  </si>
  <si>
    <t>PDP-proposé(s)=min( (BP(P1, s)/ Somme(BP(Pi, s)))*capacité (s+2)); BP(P1,s))</t>
  </si>
  <si>
    <t>Date de planification</t>
  </si>
  <si>
    <t>PA(S-1)</t>
  </si>
  <si>
    <t>PDP(S-1)</t>
  </si>
  <si>
    <t>PDP(S-1) figé</t>
  </si>
  <si>
    <t>P4</t>
  </si>
  <si>
    <t>PDP (S-1)</t>
  </si>
  <si>
    <t>Charge article_PDP</t>
  </si>
  <si>
    <t>PDP</t>
  </si>
  <si>
    <t>CDC</t>
  </si>
  <si>
    <t>000</t>
  </si>
  <si>
    <t>001</t>
  </si>
  <si>
    <t>002</t>
  </si>
  <si>
    <t>003</t>
  </si>
  <si>
    <t>004</t>
  </si>
  <si>
    <t>PA (S-1)</t>
  </si>
  <si>
    <t>PA figé (S-1)</t>
  </si>
  <si>
    <t>PA</t>
  </si>
  <si>
    <t>BA</t>
  </si>
  <si>
    <t>PA total</t>
  </si>
  <si>
    <t>PA total (S-1)</t>
  </si>
  <si>
    <t>Indisponibilité</t>
  </si>
  <si>
    <t>Possible to promise</t>
  </si>
  <si>
    <t>PA_total</t>
  </si>
  <si>
    <t>BB total hors PA Figé</t>
  </si>
  <si>
    <t>PA Figé total</t>
  </si>
  <si>
    <t>Usine</t>
  </si>
  <si>
    <t>111</t>
  </si>
  <si>
    <t>Prévisions de ventes</t>
  </si>
  <si>
    <t>Filiale</t>
  </si>
  <si>
    <t>Charge de conditionnement</t>
  </si>
  <si>
    <t>prev</t>
  </si>
  <si>
    <t>PA-1</t>
  </si>
  <si>
    <t>attenndue</t>
  </si>
  <si>
    <t xml:space="preserve">Attendue </t>
  </si>
  <si>
    <t>SI</t>
  </si>
  <si>
    <t>a date de lancement en prod</t>
  </si>
  <si>
    <t>W1/20</t>
  </si>
  <si>
    <t>W2/20</t>
  </si>
  <si>
    <t>W3/20</t>
  </si>
  <si>
    <t>W4/20</t>
  </si>
  <si>
    <t>W5/20</t>
  </si>
  <si>
    <t>W6/20</t>
  </si>
  <si>
    <t>W7/20</t>
  </si>
  <si>
    <t>W8/20</t>
  </si>
  <si>
    <t>W9/20</t>
  </si>
  <si>
    <t>W10/20</t>
  </si>
  <si>
    <t>W11/20</t>
  </si>
  <si>
    <t>W12/20</t>
  </si>
  <si>
    <t>W13/20</t>
  </si>
  <si>
    <t>W14/20</t>
  </si>
  <si>
    <t>W15/20</t>
  </si>
  <si>
    <t>W16/20</t>
  </si>
  <si>
    <t>W17/20</t>
  </si>
  <si>
    <t>W18/20</t>
  </si>
  <si>
    <t>W19/20</t>
  </si>
  <si>
    <t>W20/20</t>
  </si>
  <si>
    <t>W21/20</t>
  </si>
  <si>
    <t>W22/20</t>
  </si>
  <si>
    <t>W23/20</t>
  </si>
  <si>
    <t>W24/20</t>
  </si>
  <si>
    <t>W25/20</t>
  </si>
  <si>
    <t>DESTINATION_CODESITE</t>
  </si>
  <si>
    <t>QUANTITY_TYPE</t>
  </si>
  <si>
    <t>WEEKSNAPSHOT</t>
  </si>
  <si>
    <t xml:space="preserve"> </t>
  </si>
  <si>
    <t>SOURCE_CODESITE</t>
  </si>
  <si>
    <t>Stock initial</t>
  </si>
  <si>
    <t>Site</t>
  </si>
  <si>
    <t>PA (s-1) à date de réception filiales</t>
  </si>
  <si>
    <t>PDP (s-1) à date de réception CDC</t>
  </si>
  <si>
    <t>Capacité usine</t>
  </si>
  <si>
    <t>Capacité</t>
  </si>
  <si>
    <t>Etat des stock</t>
  </si>
  <si>
    <t>PA-figé</t>
  </si>
  <si>
    <t>PDP-figé</t>
  </si>
  <si>
    <t>ventes réelles</t>
  </si>
  <si>
    <t>Réceptions réelles</t>
  </si>
  <si>
    <t>Livraison réelle</t>
  </si>
  <si>
    <t>réceptions réelles</t>
  </si>
  <si>
    <t>Quantités lancées</t>
  </si>
  <si>
    <t>stock on hand</t>
  </si>
  <si>
    <t>PRODUCT_CODE</t>
  </si>
  <si>
    <t>PRODUCT_DESIGNATION</t>
  </si>
  <si>
    <t>SOURCE_DESIGNATION</t>
  </si>
  <si>
    <t>DESTINATION_DESIGNATION</t>
  </si>
  <si>
    <t>DELIVERY_TIME</t>
  </si>
  <si>
    <t>OPERATION_TIME</t>
  </si>
  <si>
    <t>Réceptions programmées</t>
  </si>
  <si>
    <t>Besoin netTotal</t>
  </si>
  <si>
    <t>SO=200</t>
  </si>
  <si>
    <t>SO=150</t>
  </si>
  <si>
    <t>SO=300</t>
  </si>
  <si>
    <t>SO=350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</si>
</sst>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5" x14ac:knownFonts="1"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color rgb="FF000000"/>
      <name val="Courier New"/>
      <family val="3"/>
    </font>
    <font>
      <sz val="10"/>
      <color rgb="FF3366FF"/>
      <name val="Courier New"/>
      <family val="3"/>
    </font>
    <font>
      <sz val="10"/>
      <color theme="1"/>
      <name val="Courier New"/>
      <family val="3"/>
    </font>
    <font>
      <b/>
      <sz val="10"/>
      <color theme="1"/>
      <name val="Courier New"/>
      <family val="3"/>
    </font>
    <font>
      <b/>
      <sz val="10"/>
      <color rgb="FF000000"/>
      <name val="Arial"/>
      <family val="2"/>
    </font>
    <font>
      <sz val="10"/>
      <color rgb="FF000000"/>
      <name val="Arial"/>
      <family val="2"/>
    </font>
    <font>
      <b/>
      <sz val="11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0"/>
      <color theme="1"/>
      <name val="Arial"/>
      <family val="2"/>
    </font>
    <font>
      <sz val="10"/>
      <color theme="1"/>
      <name val="Arial"/>
      <family val="2"/>
    </font>
    <font>
      <sz val="10"/>
      <color theme="0"/>
      <name val="Courier New"/>
      <family val="3"/>
    </font>
    <font>
      <sz val="10"/>
      <name val="Courier New"/>
      <family val="3"/>
    </font>
    <font>
      <b/>
      <sz val="10"/>
      <name val="Courier New"/>
      <family val="3"/>
    </font>
    <font>
      <sz val="11"/>
      <name val="Calibri"/>
      <family val="2"/>
      <scheme val="minor"/>
    </font>
    <font>
      <sz val="11"/>
      <color theme="4" tint="0.79998168889431442"/>
      <name val="Calibri"/>
      <family val="2"/>
      <scheme val="minor"/>
    </font>
    <font>
      <sz val="8"/>
      <name val="Calibri"/>
      <family val="2"/>
      <scheme val="minor"/>
    </font>
    <font>
      <sz val="10"/>
      <name val="Arial"/>
      <family val="2"/>
    </font>
    <font>
      <sz val="10"/>
      <color theme="0"/>
      <name val="Arial"/>
      <family val="2"/>
    </font>
    <font>
      <sz val="11"/>
      <color rgb="FF000000"/>
      <name val="Times New Roman"/>
      <family val="1"/>
    </font>
    <font>
      <b/>
      <sz val="11"/>
      <color theme="0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1"/>
      <color rgb="FF000000"/>
      <name val="Calibri"/>
      <family val="2"/>
    </font>
  </fonts>
  <fills count="28">
    <fill>
      <patternFill patternType="none"/>
    </fill>
    <fill>
      <patternFill patternType="gray125"/>
    </fill>
    <fill>
      <patternFill patternType="solid">
        <fgColor rgb="FFC0C0C0"/>
      </patternFill>
    </fill>
    <fill>
      <patternFill patternType="solid">
        <fgColor rgb="FFFF0000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0000FF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B7B7B7"/>
        <bgColor rgb="FFB7B7B7"/>
      </patternFill>
    </fill>
    <fill>
      <patternFill patternType="solid">
        <fgColor rgb="FFFFD966"/>
        <bgColor rgb="FFFFD966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/>
        <bgColor rgb="FFFFD966"/>
      </patternFill>
    </fill>
    <fill>
      <patternFill patternType="solid">
        <fgColor theme="6"/>
        <bgColor rgb="FFB7B7B7"/>
      </patternFill>
    </fill>
    <fill>
      <patternFill patternType="solid">
        <fgColor theme="6"/>
        <bgColor indexed="64"/>
      </patternFill>
    </fill>
    <fill>
      <patternFill patternType="solid">
        <fgColor rgb="FFFFD966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/>
        <bgColor rgb="FFB7B7B7"/>
      </patternFill>
    </fill>
  </fills>
  <borders count="4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rgb="FF000000"/>
      </right>
      <top style="medium">
        <color indexed="64"/>
      </top>
      <bottom/>
      <diagonal/>
    </border>
    <border>
      <left style="thin">
        <color rgb="FF000000"/>
      </left>
      <right style="thin">
        <color rgb="FF000000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rgb="FF000000"/>
      </right>
      <top style="medium">
        <color indexed="64"/>
      </top>
      <bottom style="medium">
        <color indexed="64"/>
      </bottom>
      <diagonal/>
    </border>
    <border>
      <left style="thin">
        <color rgb="FF000000"/>
      </left>
      <right style="thin">
        <color rgb="FF000000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/>
      <right style="thin">
        <color indexed="64"/>
      </right>
      <top/>
      <bottom/>
      <diagonal/>
    </border>
    <border>
      <left/>
      <right style="thin">
        <color rgb="FF000000"/>
      </right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thin">
        <color rgb="FF000000"/>
      </left>
      <right style="thin">
        <color rgb="FF000000"/>
      </right>
      <top/>
      <bottom/>
      <diagonal/>
    </border>
    <border>
      <left style="thin">
        <color rgb="FF000000"/>
      </left>
      <right/>
      <top style="thin">
        <color rgb="FF000000"/>
      </top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</borders>
  <cellStyleXfs count="1">
    <xf numFmtId="0" fontId="0" fillId="0" borderId="0"/>
  </cellStyleXfs>
  <cellXfs count="304">
    <xf numFmtId="0" fontId="0" fillId="0" borderId="0" xfId="0"/>
    <xf numFmtId="0" fontId="3" fillId="2" borderId="1" xfId="0" applyFont="1" applyFill="1" applyBorder="1" applyAlignment="1">
      <alignment horizontal="center" vertical="center"/>
    </xf>
    <xf numFmtId="0" fontId="0" fillId="0" borderId="1" xfId="0" applyBorder="1"/>
    <xf numFmtId="0" fontId="0" fillId="0" borderId="6" xfId="0" applyBorder="1"/>
    <xf numFmtId="0" fontId="6" fillId="4" borderId="8" xfId="0" applyFont="1" applyFill="1" applyBorder="1" applyAlignment="1">
      <alignment horizontal="center" vertical="center"/>
    </xf>
    <xf numFmtId="0" fontId="0" fillId="0" borderId="9" xfId="0" applyBorder="1"/>
    <xf numFmtId="0" fontId="7" fillId="2" borderId="9" xfId="0" applyFont="1" applyFill="1" applyBorder="1" applyAlignment="1">
      <alignment horizontal="center" vertical="center"/>
    </xf>
    <xf numFmtId="1" fontId="7" fillId="7" borderId="10" xfId="0" applyNumberFormat="1" applyFont="1" applyFill="1" applyBorder="1" applyAlignment="1">
      <alignment horizontal="center" vertical="center"/>
    </xf>
    <xf numFmtId="0" fontId="6" fillId="4" borderId="13" xfId="0" applyFont="1" applyFill="1" applyBorder="1" applyAlignment="1">
      <alignment horizontal="center" vertical="center"/>
    </xf>
    <xf numFmtId="1" fontId="7" fillId="7" borderId="8" xfId="0" applyNumberFormat="1" applyFont="1" applyFill="1" applyBorder="1" applyAlignment="1">
      <alignment horizontal="center" vertical="center"/>
    </xf>
    <xf numFmtId="0" fontId="0" fillId="0" borderId="16" xfId="0" applyBorder="1"/>
    <xf numFmtId="0" fontId="0" fillId="11" borderId="0" xfId="0" applyFill="1"/>
    <xf numFmtId="0" fontId="0" fillId="0" borderId="6" xfId="0" applyBorder="1" applyAlignment="1">
      <alignment horizontal="center" vertical="center"/>
    </xf>
    <xf numFmtId="0" fontId="0" fillId="5" borderId="6" xfId="0" applyFill="1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4" borderId="9" xfId="0" applyFill="1" applyBorder="1" applyAlignment="1">
      <alignment horizontal="center" vertical="center"/>
    </xf>
    <xf numFmtId="1" fontId="0" fillId="5" borderId="9" xfId="0" applyNumberFormat="1" applyFill="1" applyBorder="1" applyAlignment="1">
      <alignment horizontal="center" vertical="center"/>
    </xf>
    <xf numFmtId="1" fontId="0" fillId="4" borderId="9" xfId="0" applyNumberFormat="1" applyFill="1" applyBorder="1" applyAlignment="1">
      <alignment horizontal="center" vertical="center"/>
    </xf>
    <xf numFmtId="1" fontId="0" fillId="0" borderId="9" xfId="0" applyNumberFormat="1" applyBorder="1" applyAlignment="1">
      <alignment horizontal="center" vertical="center"/>
    </xf>
    <xf numFmtId="0" fontId="0" fillId="8" borderId="11" xfId="0" applyFill="1" applyBorder="1" applyAlignment="1">
      <alignment horizontal="center" vertical="center"/>
    </xf>
    <xf numFmtId="0" fontId="0" fillId="0" borderId="14" xfId="0" applyBorder="1" applyAlignment="1">
      <alignment horizontal="center" vertical="center"/>
    </xf>
    <xf numFmtId="0" fontId="0" fillId="4" borderId="5" xfId="0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6" borderId="0" xfId="0" applyFill="1" applyBorder="1"/>
    <xf numFmtId="0" fontId="0" fillId="6" borderId="0" xfId="0" applyFill="1"/>
    <xf numFmtId="0" fontId="0" fillId="6" borderId="0" xfId="0" applyFill="1" applyAlignment="1">
      <alignment horizontal="center" vertical="center"/>
    </xf>
    <xf numFmtId="0" fontId="4" fillId="6" borderId="4" xfId="0" applyFont="1" applyFill="1" applyBorder="1" applyAlignment="1">
      <alignment horizontal="left" vertical="center"/>
    </xf>
    <xf numFmtId="0" fontId="6" fillId="4" borderId="20" xfId="0" applyFont="1" applyFill="1" applyBorder="1" applyAlignment="1">
      <alignment horizontal="center" vertical="center"/>
    </xf>
    <xf numFmtId="0" fontId="7" fillId="6" borderId="18" xfId="0" applyFont="1" applyFill="1" applyBorder="1" applyAlignment="1">
      <alignment horizontal="center" vertical="center"/>
    </xf>
    <xf numFmtId="0" fontId="7" fillId="4" borderId="19" xfId="0" applyFont="1" applyFill="1" applyBorder="1" applyAlignment="1">
      <alignment horizontal="center" vertical="center"/>
    </xf>
    <xf numFmtId="0" fontId="4" fillId="6" borderId="9" xfId="0" applyFont="1" applyFill="1" applyBorder="1" applyAlignment="1">
      <alignment horizontal="left" vertical="center"/>
    </xf>
    <xf numFmtId="1" fontId="0" fillId="6" borderId="8" xfId="0" applyNumberFormat="1" applyFill="1" applyBorder="1"/>
    <xf numFmtId="0" fontId="6" fillId="4" borderId="21" xfId="0" applyFont="1" applyFill="1" applyBorder="1" applyAlignment="1">
      <alignment horizontal="center" vertical="center"/>
    </xf>
    <xf numFmtId="0" fontId="0" fillId="0" borderId="8" xfId="0" applyBorder="1"/>
    <xf numFmtId="0" fontId="7" fillId="4" borderId="9" xfId="0" applyFont="1" applyFill="1" applyBorder="1" applyAlignment="1">
      <alignment horizontal="center" vertical="center"/>
    </xf>
    <xf numFmtId="0" fontId="6" fillId="8" borderId="21" xfId="0" applyFont="1" applyFill="1" applyBorder="1" applyAlignment="1">
      <alignment horizontal="center" vertical="center" wrapText="1"/>
    </xf>
    <xf numFmtId="0" fontId="7" fillId="8" borderId="9" xfId="0" applyFont="1" applyFill="1" applyBorder="1" applyAlignment="1">
      <alignment horizontal="center" vertical="center"/>
    </xf>
    <xf numFmtId="0" fontId="7" fillId="6" borderId="3" xfId="0" applyFont="1" applyFill="1" applyBorder="1" applyAlignment="1">
      <alignment horizontal="center" vertical="center"/>
    </xf>
    <xf numFmtId="1" fontId="0" fillId="8" borderId="8" xfId="0" applyNumberFormat="1" applyFill="1" applyBorder="1"/>
    <xf numFmtId="1" fontId="7" fillId="2" borderId="9" xfId="0" applyNumberFormat="1" applyFont="1" applyFill="1" applyBorder="1" applyAlignment="1">
      <alignment horizontal="center" vertical="center"/>
    </xf>
    <xf numFmtId="0" fontId="9" fillId="6" borderId="0" xfId="0" applyFont="1" applyFill="1" applyBorder="1"/>
    <xf numFmtId="0" fontId="9" fillId="6" borderId="0" xfId="0" applyFont="1" applyFill="1"/>
    <xf numFmtId="0" fontId="0" fillId="6" borderId="9" xfId="0" applyFill="1" applyBorder="1"/>
    <xf numFmtId="0" fontId="4" fillId="4" borderId="24" xfId="0" applyFont="1" applyFill="1" applyBorder="1" applyAlignment="1">
      <alignment horizontal="center" vertical="center"/>
    </xf>
    <xf numFmtId="0" fontId="4" fillId="4" borderId="25" xfId="0" applyFont="1" applyFill="1" applyBorder="1" applyAlignment="1">
      <alignment horizontal="center" vertical="center"/>
    </xf>
    <xf numFmtId="0" fontId="0" fillId="0" borderId="28" xfId="0" applyBorder="1"/>
    <xf numFmtId="0" fontId="10" fillId="4" borderId="9" xfId="0" applyFont="1" applyFill="1" applyBorder="1" applyAlignment="1">
      <alignment horizontal="center" vertical="center"/>
    </xf>
    <xf numFmtId="1" fontId="0" fillId="6" borderId="9" xfId="0" applyNumberFormat="1" applyFill="1" applyBorder="1"/>
    <xf numFmtId="1" fontId="0" fillId="4" borderId="9" xfId="0" applyNumberFormat="1" applyFill="1" applyBorder="1"/>
    <xf numFmtId="1" fontId="0" fillId="6" borderId="14" xfId="0" applyNumberFormat="1" applyFill="1" applyBorder="1"/>
    <xf numFmtId="0" fontId="0" fillId="0" borderId="14" xfId="0" applyBorder="1"/>
    <xf numFmtId="0" fontId="0" fillId="6" borderId="14" xfId="0" applyFill="1" applyBorder="1"/>
    <xf numFmtId="0" fontId="0" fillId="0" borderId="30" xfId="0" applyBorder="1"/>
    <xf numFmtId="0" fontId="0" fillId="0" borderId="13" xfId="0" applyBorder="1"/>
    <xf numFmtId="0" fontId="0" fillId="0" borderId="3" xfId="0" applyBorder="1"/>
    <xf numFmtId="1" fontId="0" fillId="6" borderId="0" xfId="0" applyNumberFormat="1" applyFill="1" applyBorder="1"/>
    <xf numFmtId="0" fontId="4" fillId="6" borderId="9" xfId="0" applyFont="1" applyFill="1" applyBorder="1" applyAlignment="1">
      <alignment horizontal="center" vertical="center"/>
    </xf>
    <xf numFmtId="0" fontId="8" fillId="11" borderId="32" xfId="0" applyFont="1" applyFill="1" applyBorder="1" applyAlignment="1">
      <alignment horizontal="center" vertical="center" textRotation="90"/>
    </xf>
    <xf numFmtId="0" fontId="0" fillId="11" borderId="14" xfId="0" applyFill="1" applyBorder="1"/>
    <xf numFmtId="0" fontId="4" fillId="6" borderId="8" xfId="0" applyFont="1" applyFill="1" applyBorder="1" applyAlignment="1">
      <alignment horizontal="left" vertical="center"/>
    </xf>
    <xf numFmtId="0" fontId="4" fillId="6" borderId="3" xfId="0" applyFont="1" applyFill="1" applyBorder="1" applyAlignment="1">
      <alignment horizontal="left" vertical="center"/>
    </xf>
    <xf numFmtId="0" fontId="0" fillId="11" borderId="13" xfId="0" applyFill="1" applyBorder="1"/>
    <xf numFmtId="0" fontId="0" fillId="11" borderId="0" xfId="0" applyFill="1" applyBorder="1"/>
    <xf numFmtId="0" fontId="0" fillId="5" borderId="6" xfId="0" applyFill="1" applyBorder="1"/>
    <xf numFmtId="0" fontId="0" fillId="4" borderId="9" xfId="0" applyFill="1" applyBorder="1"/>
    <xf numFmtId="1" fontId="0" fillId="0" borderId="9" xfId="0" applyNumberFormat="1" applyBorder="1"/>
    <xf numFmtId="0" fontId="0" fillId="8" borderId="11" xfId="0" applyFill="1" applyBorder="1"/>
    <xf numFmtId="0" fontId="0" fillId="8" borderId="1" xfId="0" applyFill="1" applyBorder="1"/>
    <xf numFmtId="0" fontId="2" fillId="2" borderId="9" xfId="0" applyFont="1" applyFill="1" applyBorder="1" applyAlignment="1">
      <alignment horizontal="center" vertical="center"/>
    </xf>
    <xf numFmtId="1" fontId="7" fillId="2" borderId="1" xfId="0" applyNumberFormat="1" applyFont="1" applyFill="1" applyBorder="1" applyAlignment="1">
      <alignment horizontal="center" vertical="center"/>
    </xf>
    <xf numFmtId="0" fontId="0" fillId="11" borderId="0" xfId="0" applyFill="1" applyAlignment="1">
      <alignment horizontal="center" vertical="center"/>
    </xf>
    <xf numFmtId="0" fontId="15" fillId="11" borderId="0" xfId="0" applyFont="1" applyFill="1"/>
    <xf numFmtId="0" fontId="15" fillId="11" borderId="0" xfId="0" applyFont="1" applyFill="1" applyAlignment="1">
      <alignment horizontal="center" vertical="center"/>
    </xf>
    <xf numFmtId="0" fontId="15" fillId="11" borderId="0" xfId="0" applyFont="1" applyFill="1" applyBorder="1"/>
    <xf numFmtId="0" fontId="16" fillId="11" borderId="0" xfId="0" applyFont="1" applyFill="1" applyBorder="1"/>
    <xf numFmtId="0" fontId="4" fillId="6" borderId="33" xfId="0" applyFont="1" applyFill="1" applyBorder="1" applyAlignment="1">
      <alignment horizontal="left" vertical="center"/>
    </xf>
    <xf numFmtId="0" fontId="7" fillId="6" borderId="33" xfId="0" applyFont="1" applyFill="1" applyBorder="1" applyAlignment="1">
      <alignment horizontal="center" vertical="center"/>
    </xf>
    <xf numFmtId="0" fontId="0" fillId="11" borderId="9" xfId="0" applyFill="1" applyBorder="1"/>
    <xf numFmtId="0" fontId="0" fillId="6" borderId="0" xfId="0" applyFill="1" applyBorder="1" applyAlignment="1">
      <alignment horizontal="center" vertical="center"/>
    </xf>
    <xf numFmtId="0" fontId="4" fillId="11" borderId="14" xfId="0" applyFont="1" applyFill="1" applyBorder="1" applyAlignment="1">
      <alignment vertical="center"/>
    </xf>
    <xf numFmtId="0" fontId="18" fillId="16" borderId="36" xfId="0" applyFont="1" applyFill="1" applyBorder="1"/>
    <xf numFmtId="0" fontId="18" fillId="16" borderId="37" xfId="0" applyFont="1" applyFill="1" applyBorder="1"/>
    <xf numFmtId="0" fontId="18" fillId="17" borderId="38" xfId="0" applyFont="1" applyFill="1" applyBorder="1" applyAlignment="1">
      <alignment horizontal="right"/>
    </xf>
    <xf numFmtId="0" fontId="18" fillId="17" borderId="37" xfId="0" applyFont="1" applyFill="1" applyBorder="1" applyAlignment="1">
      <alignment horizontal="right"/>
    </xf>
    <xf numFmtId="0" fontId="18" fillId="16" borderId="39" xfId="0" applyFont="1" applyFill="1" applyBorder="1"/>
    <xf numFmtId="0" fontId="20" fillId="17" borderId="40" xfId="0" applyFont="1" applyFill="1" applyBorder="1" applyAlignment="1">
      <alignment horizontal="right"/>
    </xf>
    <xf numFmtId="0" fontId="11" fillId="7" borderId="29" xfId="0" applyFont="1" applyFill="1" applyBorder="1" applyAlignment="1">
      <alignment horizontal="center" vertical="center"/>
    </xf>
    <xf numFmtId="0" fontId="11" fillId="7" borderId="9" xfId="0" applyFont="1" applyFill="1" applyBorder="1" applyAlignment="1">
      <alignment horizontal="center" vertical="center"/>
    </xf>
    <xf numFmtId="0" fontId="21" fillId="19" borderId="8" xfId="0" applyFont="1" applyFill="1" applyBorder="1" applyAlignment="1">
      <alignment horizontal="center" vertical="center"/>
    </xf>
    <xf numFmtId="0" fontId="1" fillId="12" borderId="22" xfId="0" applyFont="1" applyFill="1" applyBorder="1" applyAlignment="1">
      <alignment vertical="center"/>
    </xf>
    <xf numFmtId="0" fontId="0" fillId="0" borderId="29" xfId="0" applyBorder="1" applyAlignment="1">
      <alignment horizontal="center" vertical="center"/>
    </xf>
    <xf numFmtId="1" fontId="0" fillId="5" borderId="32" xfId="0" applyNumberFormat="1" applyFill="1" applyBorder="1" applyAlignment="1">
      <alignment horizontal="center" vertical="center"/>
    </xf>
    <xf numFmtId="0" fontId="0" fillId="6" borderId="9" xfId="0" applyFill="1" applyBorder="1" applyAlignment="1">
      <alignment horizontal="center" vertical="center"/>
    </xf>
    <xf numFmtId="0" fontId="7" fillId="6" borderId="9" xfId="0" applyFont="1" applyFill="1" applyBorder="1" applyAlignment="1">
      <alignment horizontal="center" vertical="center"/>
    </xf>
    <xf numFmtId="0" fontId="7" fillId="20" borderId="9" xfId="0" applyFont="1" applyFill="1" applyBorder="1" applyAlignment="1">
      <alignment horizontal="center" vertical="center"/>
    </xf>
    <xf numFmtId="1" fontId="0" fillId="6" borderId="29" xfId="0" applyNumberFormat="1" applyFill="1" applyBorder="1"/>
    <xf numFmtId="0" fontId="11" fillId="7" borderId="32" xfId="0" applyFont="1" applyFill="1" applyBorder="1" applyAlignment="1">
      <alignment horizontal="center" vertical="center"/>
    </xf>
    <xf numFmtId="1" fontId="11" fillId="7" borderId="9" xfId="0" applyNumberFormat="1" applyFont="1" applyFill="1" applyBorder="1" applyAlignment="1">
      <alignment horizontal="center" vertical="center"/>
    </xf>
    <xf numFmtId="0" fontId="6" fillId="4" borderId="9" xfId="0" applyFont="1" applyFill="1" applyBorder="1" applyAlignment="1">
      <alignment horizontal="center" vertical="center"/>
    </xf>
    <xf numFmtId="0" fontId="6" fillId="4" borderId="9" xfId="0" applyFont="1" applyFill="1" applyBorder="1" applyAlignment="1">
      <alignment horizontal="left" vertical="center"/>
    </xf>
    <xf numFmtId="0" fontId="10" fillId="7" borderId="9" xfId="0" applyFont="1" applyFill="1" applyBorder="1" applyAlignment="1">
      <alignment horizontal="right" vertical="center"/>
    </xf>
    <xf numFmtId="0" fontId="8" fillId="6" borderId="0" xfId="0" applyFont="1" applyFill="1"/>
    <xf numFmtId="0" fontId="0" fillId="3" borderId="9" xfId="0" applyFill="1" applyBorder="1" applyAlignment="1">
      <alignment vertical="center"/>
    </xf>
    <xf numFmtId="49" fontId="4" fillId="6" borderId="9" xfId="0" applyNumberFormat="1" applyFont="1" applyFill="1" applyBorder="1" applyAlignment="1">
      <alignment vertical="center"/>
    </xf>
    <xf numFmtId="0" fontId="0" fillId="9" borderId="9" xfId="0" applyFill="1" applyBorder="1" applyAlignment="1">
      <alignment vertical="center"/>
    </xf>
    <xf numFmtId="0" fontId="6" fillId="4" borderId="9" xfId="0" applyFont="1" applyFill="1" applyBorder="1" applyAlignment="1">
      <alignment horizontal="right" vertical="center"/>
    </xf>
    <xf numFmtId="0" fontId="10" fillId="7" borderId="9" xfId="0" applyFont="1" applyFill="1" applyBorder="1" applyAlignment="1">
      <alignment horizontal="left" vertical="center"/>
    </xf>
    <xf numFmtId="0" fontId="0" fillId="5" borderId="9" xfId="0" applyFill="1" applyBorder="1" applyAlignment="1">
      <alignment horizontal="center" vertical="center"/>
    </xf>
    <xf numFmtId="0" fontId="13" fillId="6" borderId="9" xfId="0" applyFont="1" applyFill="1" applyBorder="1" applyAlignment="1">
      <alignment horizontal="left" vertical="center"/>
    </xf>
    <xf numFmtId="0" fontId="1" fillId="4" borderId="9" xfId="0" applyFont="1" applyFill="1" applyBorder="1" applyAlignment="1">
      <alignment vertical="center"/>
    </xf>
    <xf numFmtId="0" fontId="10" fillId="7" borderId="7" xfId="0" applyFont="1" applyFill="1" applyBorder="1" applyAlignment="1">
      <alignment horizontal="right" vertical="center"/>
    </xf>
    <xf numFmtId="0" fontId="6" fillId="4" borderId="7" xfId="0" applyFont="1" applyFill="1" applyBorder="1" applyAlignment="1">
      <alignment horizontal="center" vertical="center"/>
    </xf>
    <xf numFmtId="0" fontId="6" fillId="4" borderId="7" xfId="0" applyFont="1" applyFill="1" applyBorder="1" applyAlignment="1">
      <alignment horizontal="left" vertical="center"/>
    </xf>
    <xf numFmtId="0" fontId="6" fillId="4" borderId="7" xfId="0" applyFont="1" applyFill="1" applyBorder="1" applyAlignment="1">
      <alignment horizontal="right" vertical="center"/>
    </xf>
    <xf numFmtId="0" fontId="10" fillId="7" borderId="7" xfId="0" applyFont="1" applyFill="1" applyBorder="1" applyAlignment="1">
      <alignment horizontal="left" vertical="center"/>
    </xf>
    <xf numFmtId="0" fontId="0" fillId="4" borderId="8" xfId="0" applyFill="1" applyBorder="1" applyAlignment="1">
      <alignment horizontal="center" vertical="center"/>
    </xf>
    <xf numFmtId="0" fontId="0" fillId="13" borderId="9" xfId="0" applyFill="1" applyBorder="1"/>
    <xf numFmtId="0" fontId="0" fillId="14" borderId="9" xfId="0" applyFill="1" applyBorder="1"/>
    <xf numFmtId="0" fontId="0" fillId="15" borderId="9" xfId="0" applyFill="1" applyBorder="1"/>
    <xf numFmtId="0" fontId="0" fillId="10" borderId="9" xfId="0" applyFill="1" applyBorder="1"/>
    <xf numFmtId="0" fontId="23" fillId="6" borderId="23" xfId="0" applyFont="1" applyFill="1" applyBorder="1"/>
    <xf numFmtId="0" fontId="4" fillId="9" borderId="9" xfId="0" applyFont="1" applyFill="1" applyBorder="1" applyAlignment="1">
      <alignment vertical="center"/>
    </xf>
    <xf numFmtId="0" fontId="12" fillId="4" borderId="9" xfId="0" applyFont="1" applyFill="1" applyBorder="1" applyAlignment="1">
      <alignment vertical="center"/>
    </xf>
    <xf numFmtId="0" fontId="12" fillId="12" borderId="9" xfId="0" applyFont="1" applyFill="1" applyBorder="1" applyAlignment="1">
      <alignment vertical="center"/>
    </xf>
    <xf numFmtId="0" fontId="6" fillId="2" borderId="9" xfId="0" applyFont="1" applyFill="1" applyBorder="1" applyAlignment="1">
      <alignment horizontal="right" vertical="center"/>
    </xf>
    <xf numFmtId="0" fontId="6" fillId="2" borderId="21" xfId="0" applyFont="1" applyFill="1" applyBorder="1" applyAlignment="1">
      <alignment horizontal="right" vertical="center"/>
    </xf>
    <xf numFmtId="0" fontId="6" fillId="2" borderId="17" xfId="0" applyFont="1" applyFill="1" applyBorder="1" applyAlignment="1">
      <alignment horizontal="left" vertical="center"/>
    </xf>
    <xf numFmtId="0" fontId="6" fillId="7" borderId="8" xfId="0" applyFont="1" applyFill="1" applyBorder="1" applyAlignment="1">
      <alignment horizontal="left" vertical="center"/>
    </xf>
    <xf numFmtId="0" fontId="8" fillId="11" borderId="9" xfId="0" applyFont="1" applyFill="1" applyBorder="1" applyAlignment="1">
      <alignment horizontal="center" vertical="center" textRotation="90"/>
    </xf>
    <xf numFmtId="0" fontId="1" fillId="12" borderId="9" xfId="0" applyFont="1" applyFill="1" applyBorder="1" applyAlignment="1">
      <alignment vertical="center"/>
    </xf>
    <xf numFmtId="0" fontId="5" fillId="2" borderId="9" xfId="0" applyFont="1" applyFill="1" applyBorder="1" applyAlignment="1">
      <alignment horizontal="center" vertical="center"/>
    </xf>
    <xf numFmtId="0" fontId="11" fillId="6" borderId="9" xfId="0" applyFont="1" applyFill="1" applyBorder="1" applyAlignment="1">
      <alignment horizontal="center" vertical="center"/>
    </xf>
    <xf numFmtId="0" fontId="5" fillId="11" borderId="9" xfId="0" applyFont="1" applyFill="1" applyBorder="1" applyAlignment="1">
      <alignment horizontal="center" vertical="center" wrapText="1"/>
    </xf>
    <xf numFmtId="0" fontId="4" fillId="11" borderId="9" xfId="0" applyFont="1" applyFill="1" applyBorder="1" applyAlignment="1">
      <alignment horizontal="left" vertical="center"/>
    </xf>
    <xf numFmtId="0" fontId="10" fillId="11" borderId="9" xfId="0" applyFont="1" applyFill="1" applyBorder="1" applyAlignment="1">
      <alignment horizontal="center" vertical="center"/>
    </xf>
    <xf numFmtId="0" fontId="11" fillId="11" borderId="9" xfId="0" applyFont="1" applyFill="1" applyBorder="1" applyAlignment="1">
      <alignment horizontal="center" vertical="center"/>
    </xf>
    <xf numFmtId="0" fontId="4" fillId="11" borderId="9" xfId="0" applyFont="1" applyFill="1" applyBorder="1" applyAlignment="1">
      <alignment horizontal="center" vertical="center"/>
    </xf>
    <xf numFmtId="0" fontId="10" fillId="4" borderId="35" xfId="0" applyFont="1" applyFill="1" applyBorder="1" applyAlignment="1">
      <alignment horizontal="center" vertical="center"/>
    </xf>
    <xf numFmtId="0" fontId="10" fillId="7" borderId="31" xfId="0" applyFont="1" applyFill="1" applyBorder="1" applyAlignment="1">
      <alignment horizontal="center" vertical="center"/>
    </xf>
    <xf numFmtId="0" fontId="22" fillId="6" borderId="34" xfId="0" applyFont="1" applyFill="1" applyBorder="1" applyAlignment="1"/>
    <xf numFmtId="0" fontId="7" fillId="8" borderId="23" xfId="0" applyFont="1" applyFill="1" applyBorder="1" applyAlignment="1">
      <alignment vertical="center"/>
    </xf>
    <xf numFmtId="0" fontId="0" fillId="6" borderId="15" xfId="0" applyFill="1" applyBorder="1"/>
    <xf numFmtId="1" fontId="0" fillId="6" borderId="9" xfId="0" applyNumberFormat="1" applyFont="1" applyFill="1" applyBorder="1" applyAlignment="1">
      <alignment horizontal="center" vertical="center"/>
    </xf>
    <xf numFmtId="1" fontId="0" fillId="6" borderId="8" xfId="0" applyNumberFormat="1" applyFill="1" applyBorder="1" applyAlignment="1">
      <alignment horizontal="center" vertical="center"/>
    </xf>
    <xf numFmtId="0" fontId="0" fillId="6" borderId="8" xfId="0" applyFill="1" applyBorder="1"/>
    <xf numFmtId="0" fontId="2" fillId="6" borderId="9" xfId="0" applyFont="1" applyFill="1" applyBorder="1" applyAlignment="1">
      <alignment horizontal="center" vertical="center"/>
    </xf>
    <xf numFmtId="0" fontId="3" fillId="2" borderId="9" xfId="0" applyFont="1" applyFill="1" applyBorder="1" applyAlignment="1">
      <alignment horizontal="center" vertical="center"/>
    </xf>
    <xf numFmtId="0" fontId="14" fillId="6" borderId="9" xfId="0" applyFont="1" applyFill="1" applyBorder="1" applyAlignment="1">
      <alignment horizontal="left" vertical="center"/>
    </xf>
    <xf numFmtId="0" fontId="0" fillId="0" borderId="7" xfId="0" applyBorder="1"/>
    <xf numFmtId="1" fontId="7" fillId="2" borderId="7" xfId="0" applyNumberFormat="1" applyFont="1" applyFill="1" applyBorder="1" applyAlignment="1">
      <alignment horizontal="center" vertical="center"/>
    </xf>
    <xf numFmtId="1" fontId="7" fillId="2" borderId="2" xfId="0" applyNumberFormat="1" applyFont="1" applyFill="1" applyBorder="1" applyAlignment="1">
      <alignment horizontal="center" vertical="center"/>
    </xf>
    <xf numFmtId="0" fontId="16" fillId="11" borderId="9" xfId="0" applyFont="1" applyFill="1" applyBorder="1"/>
    <xf numFmtId="0" fontId="15" fillId="11" borderId="9" xfId="0" applyFont="1" applyFill="1" applyBorder="1"/>
    <xf numFmtId="1" fontId="0" fillId="6" borderId="9" xfId="0" applyNumberFormat="1" applyFill="1" applyBorder="1" applyAlignment="1">
      <alignment horizontal="center" vertical="center"/>
    </xf>
    <xf numFmtId="0" fontId="8" fillId="11" borderId="0" xfId="0" applyFont="1" applyFill="1" applyBorder="1" applyAlignment="1">
      <alignment horizontal="center" vertical="center" textRotation="90"/>
    </xf>
    <xf numFmtId="49" fontId="0" fillId="6" borderId="9" xfId="0" applyNumberFormat="1" applyFill="1" applyBorder="1" applyAlignment="1">
      <alignment vertical="center"/>
    </xf>
    <xf numFmtId="0" fontId="23" fillId="6" borderId="23" xfId="0" applyFont="1" applyFill="1" applyBorder="1" applyAlignment="1">
      <alignment horizontal="center" vertical="center"/>
    </xf>
    <xf numFmtId="0" fontId="3" fillId="2" borderId="42" xfId="0" applyFont="1" applyFill="1" applyBorder="1" applyAlignment="1">
      <alignment horizontal="center" vertical="center"/>
    </xf>
    <xf numFmtId="0" fontId="0" fillId="6" borderId="6" xfId="0" applyFill="1" applyBorder="1" applyAlignment="1">
      <alignment horizontal="center" vertical="center"/>
    </xf>
    <xf numFmtId="0" fontId="0" fillId="24" borderId="9" xfId="0" applyFill="1" applyBorder="1"/>
    <xf numFmtId="0" fontId="18" fillId="23" borderId="9" xfId="0" applyFont="1" applyFill="1" applyBorder="1"/>
    <xf numFmtId="0" fontId="22" fillId="6" borderId="0" xfId="0" applyFont="1" applyFill="1" applyBorder="1" applyAlignment="1"/>
    <xf numFmtId="0" fontId="0" fillId="0" borderId="0" xfId="0" applyBorder="1"/>
    <xf numFmtId="1" fontId="0" fillId="6" borderId="32" xfId="0" applyNumberFormat="1" applyFill="1" applyBorder="1" applyAlignment="1">
      <alignment horizontal="center" vertical="center"/>
    </xf>
    <xf numFmtId="1" fontId="7" fillId="4" borderId="9" xfId="0" applyNumberFormat="1" applyFont="1" applyFill="1" applyBorder="1" applyAlignment="1">
      <alignment horizontal="center" vertical="center"/>
    </xf>
    <xf numFmtId="0" fontId="18" fillId="16" borderId="38" xfId="0" applyFont="1" applyFill="1" applyBorder="1"/>
    <xf numFmtId="0" fontId="7" fillId="25" borderId="9" xfId="0" applyFont="1" applyFill="1" applyBorder="1" applyAlignment="1">
      <alignment horizontal="center" vertical="center"/>
    </xf>
    <xf numFmtId="0" fontId="6" fillId="2" borderId="17" xfId="0" applyFont="1" applyFill="1" applyBorder="1" applyAlignment="1">
      <alignment horizontal="right" vertical="center"/>
    </xf>
    <xf numFmtId="0" fontId="6" fillId="26" borderId="9" xfId="0" applyFont="1" applyFill="1" applyBorder="1" applyAlignment="1">
      <alignment horizontal="center" vertical="center"/>
    </xf>
    <xf numFmtId="0" fontId="7" fillId="26" borderId="9" xfId="0" applyFont="1" applyFill="1" applyBorder="1" applyAlignment="1">
      <alignment horizontal="center" vertical="center"/>
    </xf>
    <xf numFmtId="0" fontId="6" fillId="26" borderId="13" xfId="0" applyFont="1" applyFill="1" applyBorder="1" applyAlignment="1">
      <alignment horizontal="center" vertical="center"/>
    </xf>
    <xf numFmtId="0" fontId="0" fillId="26" borderId="9" xfId="0" applyFill="1" applyBorder="1" applyAlignment="1">
      <alignment horizontal="center" vertical="center"/>
    </xf>
    <xf numFmtId="0" fontId="10" fillId="26" borderId="9" xfId="0" applyFont="1" applyFill="1" applyBorder="1" applyAlignment="1">
      <alignment horizontal="center" vertical="center"/>
    </xf>
    <xf numFmtId="1" fontId="0" fillId="26" borderId="9" xfId="0" applyNumberFormat="1" applyFill="1" applyBorder="1"/>
    <xf numFmtId="0" fontId="7" fillId="4" borderId="44" xfId="0" applyFont="1" applyFill="1" applyBorder="1" applyAlignment="1">
      <alignment horizontal="center" vertical="center"/>
    </xf>
    <xf numFmtId="0" fontId="0" fillId="26" borderId="14" xfId="0" applyFill="1" applyBorder="1" applyAlignment="1">
      <alignment horizontal="center" vertical="center"/>
    </xf>
    <xf numFmtId="0" fontId="7" fillId="26" borderId="14" xfId="0" applyFont="1" applyFill="1" applyBorder="1" applyAlignment="1">
      <alignment horizontal="center" vertical="center"/>
    </xf>
    <xf numFmtId="0" fontId="0" fillId="26" borderId="29" xfId="0" applyFill="1" applyBorder="1" applyAlignment="1">
      <alignment horizontal="center" vertical="center"/>
    </xf>
    <xf numFmtId="0" fontId="4" fillId="11" borderId="29" xfId="0" applyFont="1" applyFill="1" applyBorder="1" applyAlignment="1">
      <alignment vertical="center"/>
    </xf>
    <xf numFmtId="0" fontId="15" fillId="11" borderId="14" xfId="0" applyFont="1" applyFill="1" applyBorder="1"/>
    <xf numFmtId="1" fontId="0" fillId="8" borderId="9" xfId="0" applyNumberFormat="1" applyFill="1" applyBorder="1"/>
    <xf numFmtId="0" fontId="6" fillId="8" borderId="9" xfId="0" applyFont="1" applyFill="1" applyBorder="1" applyAlignment="1">
      <alignment horizontal="center" vertical="center" wrapText="1"/>
    </xf>
    <xf numFmtId="0" fontId="6" fillId="2" borderId="9" xfId="0" applyFont="1" applyFill="1" applyBorder="1" applyAlignment="1">
      <alignment horizontal="left" vertical="center"/>
    </xf>
    <xf numFmtId="0" fontId="15" fillId="11" borderId="29" xfId="0" applyFont="1" applyFill="1" applyBorder="1"/>
    <xf numFmtId="0" fontId="0" fillId="6" borderId="1" xfId="0" applyFill="1" applyBorder="1" applyAlignment="1">
      <alignment horizontal="center" vertical="center"/>
    </xf>
    <xf numFmtId="1" fontId="0" fillId="26" borderId="14" xfId="0" applyNumberFormat="1" applyFill="1" applyBorder="1" applyAlignment="1">
      <alignment horizontal="center" vertical="center"/>
    </xf>
    <xf numFmtId="1" fontId="0" fillId="8" borderId="9" xfId="0" applyNumberFormat="1" applyFill="1" applyBorder="1" applyAlignment="1">
      <alignment horizontal="center" vertical="center"/>
    </xf>
    <xf numFmtId="0" fontId="7" fillId="13" borderId="41" xfId="0" applyFont="1" applyFill="1" applyBorder="1"/>
    <xf numFmtId="0" fontId="7" fillId="13" borderId="0" xfId="0" applyFont="1" applyFill="1"/>
    <xf numFmtId="0" fontId="7" fillId="3" borderId="12" xfId="0" applyFont="1" applyFill="1" applyBorder="1"/>
    <xf numFmtId="0" fontId="18" fillId="9" borderId="9" xfId="0" applyFont="1" applyFill="1" applyBorder="1"/>
    <xf numFmtId="0" fontId="7" fillId="4" borderId="14" xfId="0" applyFont="1" applyFill="1" applyBorder="1"/>
    <xf numFmtId="0" fontId="19" fillId="12" borderId="9" xfId="0" applyFont="1" applyFill="1" applyBorder="1"/>
    <xf numFmtId="0" fontId="7" fillId="14" borderId="23" xfId="0" applyFont="1" applyFill="1" applyBorder="1"/>
    <xf numFmtId="0" fontId="7" fillId="14" borderId="0" xfId="0" applyFont="1" applyFill="1"/>
    <xf numFmtId="0" fontId="7" fillId="3" borderId="14" xfId="0" applyFont="1" applyFill="1" applyBorder="1"/>
    <xf numFmtId="0" fontId="7" fillId="15" borderId="23" xfId="0" applyFont="1" applyFill="1" applyBorder="1"/>
    <xf numFmtId="0" fontId="7" fillId="15" borderId="0" xfId="0" applyFont="1" applyFill="1"/>
    <xf numFmtId="0" fontId="7" fillId="18" borderId="23" xfId="0" applyFont="1" applyFill="1" applyBorder="1"/>
    <xf numFmtId="0" fontId="7" fillId="18" borderId="0" xfId="0" applyFont="1" applyFill="1"/>
    <xf numFmtId="0" fontId="7" fillId="13" borderId="43" xfId="0" applyFont="1" applyFill="1" applyBorder="1"/>
    <xf numFmtId="0" fontId="7" fillId="7" borderId="9" xfId="0" applyFont="1" applyFill="1" applyBorder="1"/>
    <xf numFmtId="0" fontId="7" fillId="14" borderId="34" xfId="0" applyFont="1" applyFill="1" applyBorder="1"/>
    <xf numFmtId="0" fontId="7" fillId="15" borderId="34" xfId="0" applyFont="1" applyFill="1" applyBorder="1"/>
    <xf numFmtId="0" fontId="7" fillId="18" borderId="34" xfId="0" applyFont="1" applyFill="1" applyBorder="1"/>
    <xf numFmtId="0" fontId="7" fillId="13" borderId="9" xfId="0" applyFont="1" applyFill="1" applyBorder="1"/>
    <xf numFmtId="0" fontId="7" fillId="14" borderId="9" xfId="0" applyFont="1" applyFill="1" applyBorder="1"/>
    <xf numFmtId="0" fontId="7" fillId="15" borderId="9" xfId="0" applyFont="1" applyFill="1" applyBorder="1"/>
    <xf numFmtId="0" fontId="7" fillId="18" borderId="9" xfId="0" applyFont="1" applyFill="1" applyBorder="1"/>
    <xf numFmtId="1" fontId="0" fillId="6" borderId="14" xfId="0" applyNumberFormat="1" applyFill="1" applyBorder="1" applyAlignment="1">
      <alignment horizontal="center" vertical="center"/>
    </xf>
    <xf numFmtId="0" fontId="3" fillId="2" borderId="9" xfId="0" applyFont="1" applyFill="1" applyBorder="1" applyAlignment="1">
      <alignment horizontal="center" vertical="center"/>
    </xf>
    <xf numFmtId="0" fontId="3" fillId="2" borderId="7" xfId="0" applyFont="1" applyFill="1" applyBorder="1" applyAlignment="1">
      <alignment horizontal="center" vertical="center"/>
    </xf>
    <xf numFmtId="0" fontId="3" fillId="2" borderId="9" xfId="0" applyFont="1" applyFill="1" applyBorder="1" applyAlignment="1">
      <alignment horizontal="center" vertical="center"/>
    </xf>
    <xf numFmtId="0" fontId="3" fillId="2" borderId="7" xfId="0" applyFont="1" applyFill="1" applyBorder="1" applyAlignment="1">
      <alignment horizontal="center" vertical="center"/>
    </xf>
    <xf numFmtId="0" fontId="3" fillId="2" borderId="9" xfId="0" applyFont="1" applyFill="1" applyBorder="1" applyAlignment="1">
      <alignment horizontal="center" vertical="center"/>
    </xf>
    <xf numFmtId="0" fontId="3" fillId="2" borderId="7" xfId="0" applyFont="1" applyFill="1" applyBorder="1" applyAlignment="1">
      <alignment horizontal="center" vertical="center"/>
    </xf>
    <xf numFmtId="0" fontId="3" fillId="2" borderId="9" xfId="0" applyFont="1" applyFill="1" applyBorder="1" applyAlignment="1">
      <alignment horizontal="center" vertical="center"/>
    </xf>
    <xf numFmtId="0" fontId="3" fillId="2" borderId="7" xfId="0" applyFont="1" applyFill="1" applyBorder="1" applyAlignment="1">
      <alignment horizontal="center" vertical="center"/>
    </xf>
    <xf numFmtId="0" fontId="3" fillId="2" borderId="9" xfId="0" applyFont="1" applyFill="1" applyBorder="1" applyAlignment="1">
      <alignment horizontal="center" vertical="center"/>
    </xf>
    <xf numFmtId="0" fontId="3" fillId="2" borderId="7" xfId="0" applyFont="1" applyFill="1" applyBorder="1" applyAlignment="1">
      <alignment horizontal="center" vertical="center"/>
    </xf>
    <xf numFmtId="0" fontId="3" fillId="2" borderId="9" xfId="0" applyFont="1" applyFill="1" applyBorder="1" applyAlignment="1">
      <alignment horizontal="center" vertical="center"/>
    </xf>
    <xf numFmtId="0" fontId="3" fillId="2" borderId="7" xfId="0" applyFont="1" applyFill="1" applyBorder="1" applyAlignment="1">
      <alignment horizontal="center" vertical="center"/>
    </xf>
    <xf numFmtId="0" fontId="0" fillId="0" borderId="9" xfId="0" applyBorder="1"/>
    <xf numFmtId="0" fontId="7" fillId="2" borderId="9" xfId="0" applyFont="1" applyFill="1" applyBorder="1" applyAlignment="1">
      <alignment horizontal="center" vertical="center"/>
    </xf>
    <xf numFmtId="1" fontId="7" fillId="7" borderId="10" xfId="0" applyNumberFormat="1" applyFont="1" applyFill="1" applyBorder="1" applyAlignment="1">
      <alignment horizontal="center" vertical="center"/>
    </xf>
    <xf numFmtId="1" fontId="7" fillId="7" borderId="8" xfId="0" applyNumberFormat="1" applyFont="1" applyFill="1" applyBorder="1" applyAlignment="1">
      <alignment horizontal="center" vertical="center"/>
    </xf>
    <xf numFmtId="0" fontId="0" fillId="11" borderId="0" xfId="0" applyFill="1"/>
    <xf numFmtId="0" fontId="0" fillId="5" borderId="6" xfId="0" applyFill="1" applyBorder="1" applyAlignment="1">
      <alignment horizontal="center" vertical="center"/>
    </xf>
    <xf numFmtId="0" fontId="0" fillId="4" borderId="9" xfId="0" applyFill="1" applyBorder="1" applyAlignment="1">
      <alignment horizontal="center" vertical="center"/>
    </xf>
    <xf numFmtId="1" fontId="0" fillId="5" borderId="9" xfId="0" applyNumberFormat="1" applyFill="1" applyBorder="1" applyAlignment="1">
      <alignment horizontal="center" vertical="center"/>
    </xf>
    <xf numFmtId="1" fontId="0" fillId="4" borderId="9" xfId="0" applyNumberFormat="1" applyFill="1" applyBorder="1" applyAlignment="1">
      <alignment horizontal="center" vertical="center"/>
    </xf>
    <xf numFmtId="0" fontId="0" fillId="8" borderId="11" xfId="0" applyFill="1" applyBorder="1" applyAlignment="1">
      <alignment horizontal="center" vertical="center"/>
    </xf>
    <xf numFmtId="0" fontId="0" fillId="4" borderId="5" xfId="0" applyFill="1" applyBorder="1" applyAlignment="1">
      <alignment horizontal="center" vertical="center"/>
    </xf>
    <xf numFmtId="0" fontId="0" fillId="6" borderId="0" xfId="0" applyFill="1" applyBorder="1"/>
    <xf numFmtId="0" fontId="0" fillId="6" borderId="0" xfId="0" applyFill="1"/>
    <xf numFmtId="0" fontId="7" fillId="4" borderId="19" xfId="0" applyFont="1" applyFill="1" applyBorder="1" applyAlignment="1">
      <alignment horizontal="center" vertical="center"/>
    </xf>
    <xf numFmtId="0" fontId="7" fillId="4" borderId="9" xfId="0" applyFont="1" applyFill="1" applyBorder="1" applyAlignment="1">
      <alignment horizontal="center" vertical="center"/>
    </xf>
    <xf numFmtId="0" fontId="7" fillId="8" borderId="9" xfId="0" applyFont="1" applyFill="1" applyBorder="1" applyAlignment="1">
      <alignment horizontal="center" vertical="center"/>
    </xf>
    <xf numFmtId="1" fontId="7" fillId="2" borderId="9" xfId="0" applyNumberFormat="1" applyFont="1" applyFill="1" applyBorder="1" applyAlignment="1">
      <alignment horizontal="center" vertical="center"/>
    </xf>
    <xf numFmtId="0" fontId="0" fillId="6" borderId="9" xfId="0" applyFill="1" applyBorder="1"/>
    <xf numFmtId="0" fontId="4" fillId="4" borderId="25" xfId="0" applyFont="1" applyFill="1" applyBorder="1" applyAlignment="1">
      <alignment horizontal="center" vertical="center"/>
    </xf>
    <xf numFmtId="1" fontId="0" fillId="4" borderId="9" xfId="0" applyNumberFormat="1" applyFill="1" applyBorder="1"/>
    <xf numFmtId="0" fontId="0" fillId="5" borderId="6" xfId="0" applyFill="1" applyBorder="1"/>
    <xf numFmtId="0" fontId="0" fillId="4" borderId="9" xfId="0" applyFill="1" applyBorder="1"/>
    <xf numFmtId="0" fontId="0" fillId="11" borderId="9" xfId="0" applyFill="1" applyBorder="1"/>
    <xf numFmtId="0" fontId="11" fillId="7" borderId="29" xfId="0" applyFont="1" applyFill="1" applyBorder="1" applyAlignment="1">
      <alignment horizontal="center" vertical="center"/>
    </xf>
    <xf numFmtId="0" fontId="11" fillId="7" borderId="9" xfId="0" applyFont="1" applyFill="1" applyBorder="1" applyAlignment="1">
      <alignment horizontal="center" vertical="center"/>
    </xf>
    <xf numFmtId="1" fontId="0" fillId="5" borderId="32" xfId="0" applyNumberFormat="1" applyFill="1" applyBorder="1" applyAlignment="1">
      <alignment horizontal="center" vertical="center"/>
    </xf>
    <xf numFmtId="0" fontId="0" fillId="6" borderId="9" xfId="0" applyFill="1" applyBorder="1" applyAlignment="1">
      <alignment horizontal="center" vertical="center"/>
    </xf>
    <xf numFmtId="0" fontId="7" fillId="6" borderId="9" xfId="0" applyFont="1" applyFill="1" applyBorder="1" applyAlignment="1">
      <alignment horizontal="center" vertical="center"/>
    </xf>
    <xf numFmtId="1" fontId="11" fillId="7" borderId="9" xfId="0" applyNumberFormat="1" applyFont="1" applyFill="1" applyBorder="1" applyAlignment="1">
      <alignment horizontal="center" vertical="center"/>
    </xf>
    <xf numFmtId="0" fontId="0" fillId="5" borderId="9" xfId="0" applyFill="1" applyBorder="1" applyAlignment="1">
      <alignment horizontal="center" vertical="center"/>
    </xf>
    <xf numFmtId="0" fontId="0" fillId="4" borderId="8" xfId="0" applyFill="1" applyBorder="1" applyAlignment="1">
      <alignment horizontal="center" vertical="center"/>
    </xf>
    <xf numFmtId="0" fontId="11" fillId="11" borderId="9" xfId="0" applyFont="1" applyFill="1" applyBorder="1" applyAlignment="1">
      <alignment horizontal="center" vertical="center"/>
    </xf>
    <xf numFmtId="1" fontId="0" fillId="6" borderId="8" xfId="0" applyNumberFormat="1" applyFill="1" applyBorder="1" applyAlignment="1">
      <alignment horizontal="center" vertical="center"/>
    </xf>
    <xf numFmtId="0" fontId="0" fillId="6" borderId="8" xfId="0" applyFill="1" applyBorder="1"/>
    <xf numFmtId="0" fontId="3" fillId="2" borderId="9" xfId="0" applyFont="1" applyFill="1" applyBorder="1" applyAlignment="1">
      <alignment horizontal="center" vertical="center"/>
    </xf>
    <xf numFmtId="0" fontId="3" fillId="2" borderId="7" xfId="0" applyFont="1" applyFill="1" applyBorder="1" applyAlignment="1">
      <alignment horizontal="center" vertical="center"/>
    </xf>
    <xf numFmtId="0" fontId="16" fillId="11" borderId="9" xfId="0" applyFont="1" applyFill="1" applyBorder="1"/>
    <xf numFmtId="0" fontId="15" fillId="11" borderId="9" xfId="0" applyFont="1" applyFill="1" applyBorder="1"/>
    <xf numFmtId="1" fontId="0" fillId="6" borderId="9" xfId="0" applyNumberFormat="1" applyFill="1" applyBorder="1" applyAlignment="1">
      <alignment horizontal="center" vertical="center"/>
    </xf>
    <xf numFmtId="0" fontId="0" fillId="6" borderId="6" xfId="0" applyFill="1" applyBorder="1" applyAlignment="1">
      <alignment horizontal="center" vertical="center"/>
    </xf>
    <xf numFmtId="1" fontId="7" fillId="4" borderId="9" xfId="0" applyNumberFormat="1" applyFont="1" applyFill="1" applyBorder="1" applyAlignment="1">
      <alignment horizontal="center" vertical="center"/>
    </xf>
    <xf numFmtId="0" fontId="7" fillId="26" borderId="9" xfId="0" applyFont="1" applyFill="1" applyBorder="1" applyAlignment="1">
      <alignment horizontal="center" vertical="center"/>
    </xf>
    <xf numFmtId="0" fontId="0" fillId="26" borderId="9" xfId="0" applyFill="1" applyBorder="1" applyAlignment="1">
      <alignment horizontal="center" vertical="center"/>
    </xf>
    <xf numFmtId="1" fontId="0" fillId="26" borderId="9" xfId="0" applyNumberFormat="1" applyFill="1" applyBorder="1"/>
    <xf numFmtId="0" fontId="7" fillId="4" borderId="44" xfId="0" applyFont="1" applyFill="1" applyBorder="1" applyAlignment="1">
      <alignment horizontal="center" vertical="center"/>
    </xf>
    <xf numFmtId="0" fontId="7" fillId="26" borderId="14" xfId="0" applyFont="1" applyFill="1" applyBorder="1" applyAlignment="1">
      <alignment horizontal="center" vertical="center"/>
    </xf>
    <xf numFmtId="0" fontId="15" fillId="11" borderId="14" xfId="0" applyFont="1" applyFill="1" applyBorder="1"/>
    <xf numFmtId="0" fontId="15" fillId="11" borderId="29" xfId="0" applyFont="1" applyFill="1" applyBorder="1"/>
    <xf numFmtId="1" fontId="0" fillId="26" borderId="14" xfId="0" applyNumberFormat="1" applyFill="1" applyBorder="1" applyAlignment="1">
      <alignment horizontal="center" vertical="center"/>
    </xf>
    <xf numFmtId="1" fontId="0" fillId="8" borderId="9" xfId="0" applyNumberFormat="1" applyFill="1" applyBorder="1" applyAlignment="1">
      <alignment horizontal="center" vertical="center"/>
    </xf>
    <xf numFmtId="1" fontId="7" fillId="6" borderId="8" xfId="0" applyNumberFormat="1" applyFont="1" applyFill="1" applyBorder="1" applyAlignment="1">
      <alignment horizontal="center" vertical="center"/>
    </xf>
    <xf numFmtId="1" fontId="7" fillId="6" borderId="10" xfId="0" applyNumberFormat="1" applyFont="1" applyFill="1" applyBorder="1" applyAlignment="1">
      <alignment horizontal="center" vertical="center"/>
    </xf>
    <xf numFmtId="0" fontId="7" fillId="6" borderId="14" xfId="0" applyFont="1" applyFill="1" applyBorder="1" applyAlignment="1">
      <alignment horizontal="center" vertical="center"/>
    </xf>
    <xf numFmtId="0" fontId="0" fillId="6" borderId="6" xfId="0" applyFill="1" applyBorder="1"/>
    <xf numFmtId="0" fontId="18" fillId="16" borderId="45" xfId="0" applyFont="1" applyFill="1" applyBorder="1"/>
    <xf numFmtId="0" fontId="18" fillId="16" borderId="46" xfId="0" applyFont="1" applyFill="1" applyBorder="1"/>
    <xf numFmtId="0" fontId="18" fillId="17" borderId="45" xfId="0" applyFont="1" applyFill="1" applyBorder="1" applyAlignment="1">
      <alignment horizontal="right"/>
    </xf>
    <xf numFmtId="0" fontId="18" fillId="27" borderId="0" xfId="0" applyFont="1" applyFill="1" applyBorder="1"/>
    <xf numFmtId="0" fontId="7" fillId="6" borderId="0" xfId="0" applyFont="1" applyFill="1" applyBorder="1" applyAlignment="1">
      <alignment horizontal="center" vertical="center"/>
    </xf>
    <xf numFmtId="0" fontId="18" fillId="22" borderId="0" xfId="0" applyFont="1" applyFill="1" applyBorder="1" applyAlignment="1">
      <alignment horizontal="right"/>
    </xf>
    <xf numFmtId="0" fontId="7" fillId="22" borderId="0" xfId="0" applyFont="1" applyFill="1" applyBorder="1" applyAlignment="1">
      <alignment horizontal="right"/>
    </xf>
    <xf numFmtId="0" fontId="20" fillId="22" borderId="0" xfId="0" applyFont="1" applyFill="1" applyBorder="1" applyAlignment="1">
      <alignment horizontal="right"/>
    </xf>
    <xf numFmtId="0" fontId="0" fillId="6" borderId="27" xfId="0" applyFill="1" applyBorder="1"/>
    <xf numFmtId="0" fontId="8" fillId="6" borderId="0" xfId="0" applyFont="1" applyFill="1" applyAlignment="1">
      <alignment horizontal="center"/>
    </xf>
    <xf numFmtId="0" fontId="7" fillId="3" borderId="9" xfId="0" applyFont="1" applyFill="1" applyBorder="1"/>
    <xf numFmtId="0" fontId="7" fillId="22" borderId="9" xfId="0" applyFont="1" applyFill="1" applyBorder="1" applyAlignment="1">
      <alignment horizontal="right"/>
    </xf>
    <xf numFmtId="0" fontId="7" fillId="4" borderId="9" xfId="0" applyFont="1" applyFill="1" applyBorder="1"/>
    <xf numFmtId="0" fontId="18" fillId="16" borderId="9" xfId="0" applyFont="1" applyFill="1" applyBorder="1"/>
    <xf numFmtId="0" fontId="18" fillId="17" borderId="9" xfId="0" applyFont="1" applyFill="1" applyBorder="1" applyAlignment="1">
      <alignment horizontal="right"/>
    </xf>
    <xf numFmtId="0" fontId="7" fillId="17" borderId="9" xfId="0" applyFont="1" applyFill="1" applyBorder="1" applyAlignment="1">
      <alignment horizontal="right"/>
    </xf>
    <xf numFmtId="1" fontId="11" fillId="7" borderId="29" xfId="0" applyNumberFormat="1" applyFont="1" applyFill="1" applyBorder="1" applyAlignment="1">
      <alignment horizontal="center" vertical="center"/>
    </xf>
    <xf numFmtId="1" fontId="7" fillId="26" borderId="9" xfId="0" applyNumberFormat="1" applyFont="1" applyFill="1" applyBorder="1" applyAlignment="1">
      <alignment horizontal="center" vertical="center"/>
    </xf>
    <xf numFmtId="1" fontId="0" fillId="26" borderId="9" xfId="0" applyNumberFormat="1" applyFill="1" applyBorder="1" applyAlignment="1">
      <alignment horizontal="center" vertical="center"/>
    </xf>
    <xf numFmtId="1" fontId="0" fillId="26" borderId="29" xfId="0" applyNumberFormat="1" applyFill="1" applyBorder="1" applyAlignment="1">
      <alignment horizontal="center" vertical="center"/>
    </xf>
    <xf numFmtId="1" fontId="0" fillId="0" borderId="0" xfId="0" applyNumberFormat="1"/>
    <xf numFmtId="1" fontId="0" fillId="6" borderId="0" xfId="0" applyNumberFormat="1" applyFill="1"/>
    <xf numFmtId="1" fontId="7" fillId="6" borderId="9" xfId="0" applyNumberFormat="1" applyFont="1" applyFill="1" applyBorder="1" applyAlignment="1">
      <alignment horizontal="center" vertical="center"/>
    </xf>
    <xf numFmtId="0" fontId="6" fillId="5" borderId="21" xfId="0" applyFont="1" applyFill="1" applyBorder="1" applyAlignment="1">
      <alignment horizontal="right" vertical="center"/>
    </xf>
    <xf numFmtId="1" fontId="0" fillId="5" borderId="8" xfId="0" applyNumberFormat="1" applyFill="1" applyBorder="1"/>
    <xf numFmtId="0" fontId="0" fillId="21" borderId="34" xfId="0" applyFill="1" applyBorder="1" applyAlignment="1">
      <alignment horizontal="center"/>
    </xf>
    <xf numFmtId="0" fontId="0" fillId="21" borderId="26" xfId="0" applyFill="1" applyBorder="1" applyAlignment="1">
      <alignment horizontal="center"/>
    </xf>
    <xf numFmtId="0" fontId="0" fillId="21" borderId="35" xfId="0" applyFill="1" applyBorder="1" applyAlignment="1">
      <alignment horizontal="center"/>
    </xf>
  </cellXfs>
  <cellStyles count="1">
    <cellStyle name="Normal" xfId="0" builtinId="0"/>
  </cellStyles>
  <dxfs count="24"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  <color auto="1"/>
      </font>
      <fill>
        <patternFill>
          <bgColor rgb="FFFFC000"/>
        </patternFill>
      </fill>
    </dxf>
    <dxf>
      <fill>
        <patternFill>
          <bgColor rgb="FFFF0000"/>
        </patternFill>
      </fill>
    </dxf>
    <dxf>
      <font>
        <b/>
        <i val="0"/>
        <color auto="1"/>
      </font>
      <fill>
        <patternFill>
          <bgColor rgb="FFFFC000"/>
        </patternFill>
      </fill>
    </dxf>
    <dxf>
      <fill>
        <patternFill>
          <bgColor rgb="FFFF0000"/>
        </patternFill>
      </fill>
    </dxf>
    <dxf>
      <font>
        <b/>
        <i val="0"/>
        <color auto="1"/>
      </font>
      <fill>
        <patternFill>
          <bgColor rgb="FFFFC000"/>
        </patternFill>
      </fill>
    </dxf>
    <dxf>
      <fill>
        <patternFill>
          <bgColor rgb="FFFF0000"/>
        </patternFill>
      </fill>
    </dxf>
    <dxf>
      <font>
        <b/>
        <i val="0"/>
        <color auto="1"/>
      </font>
      <fill>
        <patternFill>
          <bgColor rgb="FFFFC000"/>
        </patternFill>
      </fill>
    </dxf>
    <dxf>
      <fill>
        <patternFill>
          <bgColor rgb="FFFF0000"/>
        </patternFill>
      </fill>
    </dxf>
    <dxf>
      <font>
        <b/>
        <i val="0"/>
        <color theme="1"/>
      </font>
      <fill>
        <patternFill>
          <bgColor rgb="FFFF0000"/>
        </patternFill>
      </fill>
    </dxf>
    <dxf>
      <font>
        <b/>
        <i val="0"/>
        <color theme="1"/>
      </font>
      <fill>
        <patternFill>
          <bgColor rgb="FFFF0000"/>
        </patternFill>
      </fill>
    </dxf>
    <dxf>
      <font>
        <b/>
        <i val="0"/>
        <color theme="1"/>
      </font>
      <fill>
        <patternFill>
          <bgColor rgb="FFFF0000"/>
        </patternFill>
      </fill>
    </dxf>
    <dxf>
      <font>
        <b/>
        <i val="0"/>
        <color theme="1"/>
      </font>
      <fill>
        <patternFill>
          <bgColor rgb="FFFF0000"/>
        </patternFill>
      </fill>
    </dxf>
    <dxf>
      <font>
        <b/>
        <i val="0"/>
        <color theme="1"/>
      </font>
      <fill>
        <patternFill>
          <bgColor rgb="FFFF0000"/>
        </patternFill>
      </fill>
    </dxf>
    <dxf>
      <font>
        <b/>
        <i val="0"/>
        <color theme="1"/>
      </font>
      <fill>
        <patternFill>
          <bgColor rgb="FFFF0000"/>
        </patternFill>
      </fill>
    </dxf>
    <dxf>
      <font>
        <b/>
        <i val="0"/>
        <color theme="1"/>
      </font>
      <fill>
        <patternFill>
          <bgColor rgb="FFFF0000"/>
        </patternFill>
      </fill>
    </dxf>
    <dxf>
      <font>
        <b/>
        <i val="0"/>
        <color theme="1"/>
      </font>
      <fill>
        <patternFill>
          <bgColor rgb="FFFF0000"/>
        </patternFill>
      </fill>
    </dxf>
    <dxf>
      <font>
        <b/>
        <i val="0"/>
        <color theme="1"/>
      </font>
      <fill>
        <patternFill>
          <bgColor rgb="FFFF0000"/>
        </patternFill>
      </fill>
    </dxf>
  </dxfs>
  <tableStyles count="0" defaultTableStyle="TableStyleMedium2" defaultPivotStyle="PivotStyleLight16"/>
  <colors>
    <mruColors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30</xdr:col>
          <xdr:colOff>114300</xdr:colOff>
          <xdr:row>21</xdr:row>
          <xdr:rowOff>47625</xdr:rowOff>
        </xdr:from>
        <xdr:to>
          <xdr:col>32</xdr:col>
          <xdr:colOff>590550</xdr:colOff>
          <xdr:row>23</xdr:row>
          <xdr:rowOff>95250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ExporterS2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1"/>
  <dimension ref="A1:AV123"/>
  <sheetViews>
    <sheetView tabSelected="1" topLeftCell="A19" zoomScale="70" zoomScaleNormal="93" workbookViewId="0">
      <selection activeCell="K31" sqref="K31"/>
    </sheetView>
  </sheetViews>
  <sheetFormatPr baseColWidth="10" defaultColWidth="11.42578125" defaultRowHeight="15" x14ac:dyDescent="0.25"/>
  <cols>
    <col min="3" max="27" width="8.42578125" customWidth="1"/>
    <col min="28" max="28" width="10.140625" style="233" customWidth="1"/>
    <col min="29" max="29" width="7.42578125" style="233" customWidth="1"/>
    <col min="31" max="31" width="9" customWidth="1"/>
    <col min="33" max="47" width="11.42578125" style="234"/>
  </cols>
  <sheetData>
    <row r="1" spans="1:32" ht="19.5" thickBot="1" x14ac:dyDescent="0.35">
      <c r="A1" s="139" t="s">
        <v>40</v>
      </c>
      <c r="B1" s="161"/>
      <c r="C1" s="24"/>
      <c r="D1" s="88" t="str">
        <f>D5</f>
        <v>S2</v>
      </c>
      <c r="E1" s="234"/>
      <c r="F1" s="234">
        <f ca="1">MROUND(RANDBETWEEN(0,200),10)</f>
        <v>50</v>
      </c>
      <c r="G1" s="234">
        <f ca="1">MROUND(RANDBETWEEN(0,200),10)</f>
        <v>170</v>
      </c>
      <c r="H1" s="234">
        <f t="shared" ref="G1:Y1" ca="1" si="0">MROUND(RANDBETWEEN(0,200),10)</f>
        <v>50</v>
      </c>
      <c r="I1" s="234">
        <f t="shared" ca="1" si="0"/>
        <v>180</v>
      </c>
      <c r="J1" s="234">
        <f t="shared" ca="1" si="0"/>
        <v>40</v>
      </c>
      <c r="K1" s="234">
        <f t="shared" ca="1" si="0"/>
        <v>70</v>
      </c>
      <c r="L1" s="234">
        <f ca="1">MROUND(RANDBETWEEN(0,200),10)</f>
        <v>180</v>
      </c>
      <c r="M1" s="234">
        <f t="shared" ca="1" si="0"/>
        <v>30</v>
      </c>
      <c r="N1" s="234">
        <f t="shared" ca="1" si="0"/>
        <v>190</v>
      </c>
      <c r="O1" s="234">
        <f ca="1">MROUND(RANDBETWEEN(0,200),10)</f>
        <v>190</v>
      </c>
      <c r="P1" s="234">
        <f ca="1">MROUND(RANDBETWEEN(0,200),10)</f>
        <v>160</v>
      </c>
      <c r="Q1" s="234">
        <f t="shared" ca="1" si="0"/>
        <v>140</v>
      </c>
      <c r="R1" s="234">
        <f t="shared" ca="1" si="0"/>
        <v>100</v>
      </c>
      <c r="S1" s="234">
        <f t="shared" ca="1" si="0"/>
        <v>120</v>
      </c>
      <c r="T1" s="234">
        <f t="shared" ca="1" si="0"/>
        <v>190</v>
      </c>
      <c r="U1" s="234">
        <f t="shared" ca="1" si="0"/>
        <v>140</v>
      </c>
      <c r="V1" s="234">
        <f t="shared" ca="1" si="0"/>
        <v>120</v>
      </c>
      <c r="W1" s="234">
        <f t="shared" ca="1" si="0"/>
        <v>150</v>
      </c>
      <c r="X1" s="234">
        <f t="shared" ca="1" si="0"/>
        <v>90</v>
      </c>
      <c r="Y1" s="234">
        <f t="shared" ca="1" si="0"/>
        <v>200</v>
      </c>
      <c r="Z1" s="234"/>
      <c r="AA1" s="234"/>
    </row>
    <row r="2" spans="1:32" s="234" customFormat="1" ht="15.75" thickBot="1" x14ac:dyDescent="0.3">
      <c r="AB2" s="233"/>
      <c r="AC2" s="233"/>
    </row>
    <row r="3" spans="1:32" ht="15.75" thickBot="1" x14ac:dyDescent="0.3">
      <c r="A3" s="301" t="s">
        <v>67</v>
      </c>
      <c r="B3" s="302"/>
      <c r="C3" s="302"/>
      <c r="D3" s="302"/>
      <c r="E3" s="302"/>
      <c r="F3" s="302"/>
      <c r="G3" s="302"/>
      <c r="H3" s="302"/>
      <c r="I3" s="302"/>
      <c r="J3" s="302"/>
      <c r="K3" s="302"/>
      <c r="L3" s="302"/>
      <c r="M3" s="302"/>
      <c r="N3" s="302"/>
      <c r="O3" s="302"/>
      <c r="P3" s="302"/>
      <c r="Q3" s="302"/>
      <c r="R3" s="302"/>
      <c r="S3" s="302"/>
      <c r="T3" s="302"/>
      <c r="U3" s="302"/>
      <c r="V3" s="302"/>
      <c r="W3" s="302"/>
      <c r="X3" s="302"/>
      <c r="Y3" s="302"/>
      <c r="Z3" s="302"/>
      <c r="AA3" s="303"/>
      <c r="AD3" s="301" t="s">
        <v>112</v>
      </c>
      <c r="AE3" s="302"/>
      <c r="AF3" s="303"/>
    </row>
    <row r="4" spans="1:32" s="234" customFormat="1" x14ac:dyDescent="0.25">
      <c r="A4" s="284"/>
      <c r="B4" s="233"/>
      <c r="AB4" s="233"/>
      <c r="AC4" s="233"/>
    </row>
    <row r="5" spans="1:32" x14ac:dyDescent="0.25">
      <c r="A5" s="5" t="s">
        <v>68</v>
      </c>
      <c r="B5" s="5"/>
      <c r="C5" s="5" t="s">
        <v>32</v>
      </c>
      <c r="D5" s="81" t="s">
        <v>0</v>
      </c>
      <c r="E5" s="165" t="s">
        <v>1</v>
      </c>
      <c r="F5" s="165" t="s">
        <v>2</v>
      </c>
      <c r="G5" s="165" t="s">
        <v>3</v>
      </c>
      <c r="H5" s="165" t="s">
        <v>4</v>
      </c>
      <c r="I5" s="165" t="s">
        <v>5</v>
      </c>
      <c r="J5" s="165" t="s">
        <v>6</v>
      </c>
      <c r="K5" s="165" t="s">
        <v>7</v>
      </c>
      <c r="L5" s="165" t="s">
        <v>8</v>
      </c>
      <c r="M5" s="165" t="s">
        <v>9</v>
      </c>
      <c r="N5" s="165" t="s">
        <v>10</v>
      </c>
      <c r="O5" s="165" t="s">
        <v>11</v>
      </c>
      <c r="P5" s="165" t="s">
        <v>12</v>
      </c>
      <c r="Q5" s="165" t="s">
        <v>13</v>
      </c>
      <c r="R5" s="165" t="s">
        <v>14</v>
      </c>
      <c r="S5" s="165" t="s">
        <v>15</v>
      </c>
      <c r="T5" s="165" t="s">
        <v>16</v>
      </c>
      <c r="U5" s="165" t="s">
        <v>17</v>
      </c>
      <c r="V5" s="165" t="s">
        <v>18</v>
      </c>
      <c r="W5" s="165" t="s">
        <v>19</v>
      </c>
      <c r="X5" s="165" t="s">
        <v>20</v>
      </c>
      <c r="Y5" s="165" t="s">
        <v>21</v>
      </c>
      <c r="Z5" s="276" t="s">
        <v>22</v>
      </c>
      <c r="AA5" s="289" t="s">
        <v>23</v>
      </c>
      <c r="AB5" s="279"/>
      <c r="AC5" s="279"/>
      <c r="AD5" s="160" t="s">
        <v>107</v>
      </c>
      <c r="AE5" s="159" t="s">
        <v>32</v>
      </c>
      <c r="AF5" s="160" t="s">
        <v>106</v>
      </c>
    </row>
    <row r="6" spans="1:32" ht="15.75" thickBot="1" x14ac:dyDescent="0.3">
      <c r="A6" s="187" t="s">
        <v>33</v>
      </c>
      <c r="B6" s="188">
        <v>10</v>
      </c>
      <c r="C6" s="189" t="s">
        <v>29</v>
      </c>
      <c r="D6" s="166">
        <v>10</v>
      </c>
      <c r="E6" s="166">
        <v>60</v>
      </c>
      <c r="F6" s="166">
        <v>200</v>
      </c>
      <c r="G6" s="166">
        <v>80</v>
      </c>
      <c r="H6" s="166">
        <v>70</v>
      </c>
      <c r="I6" s="166">
        <v>150</v>
      </c>
      <c r="J6" s="166">
        <v>130</v>
      </c>
      <c r="K6" s="166">
        <v>200</v>
      </c>
      <c r="L6" s="166">
        <v>70</v>
      </c>
      <c r="M6" s="166">
        <v>160</v>
      </c>
      <c r="N6" s="166">
        <v>170</v>
      </c>
      <c r="O6" s="166">
        <v>130</v>
      </c>
      <c r="P6" s="166">
        <v>30</v>
      </c>
      <c r="Q6" s="166">
        <v>120</v>
      </c>
      <c r="R6" s="166">
        <v>40</v>
      </c>
      <c r="S6" s="166">
        <v>150</v>
      </c>
      <c r="T6" s="166">
        <v>150</v>
      </c>
      <c r="U6" s="166">
        <v>20</v>
      </c>
      <c r="V6" s="166">
        <v>170</v>
      </c>
      <c r="W6" s="166">
        <v>40</v>
      </c>
      <c r="X6" s="166">
        <v>130</v>
      </c>
      <c r="Y6" s="166">
        <v>100</v>
      </c>
      <c r="Z6" s="166">
        <v>190</v>
      </c>
      <c r="AA6" s="166">
        <v>40</v>
      </c>
      <c r="AB6" s="280">
        <f>AVERAGE(D6:AA6)*2</f>
        <v>217.5</v>
      </c>
      <c r="AC6" s="280"/>
      <c r="AD6" s="205" t="s">
        <v>33</v>
      </c>
      <c r="AE6" s="286" t="s">
        <v>29</v>
      </c>
      <c r="AF6" s="287">
        <v>300</v>
      </c>
    </row>
    <row r="7" spans="1:32" x14ac:dyDescent="0.25">
      <c r="B7">
        <v>200</v>
      </c>
      <c r="C7" s="190" t="s">
        <v>30</v>
      </c>
      <c r="D7" s="166">
        <v>110</v>
      </c>
      <c r="E7" s="166">
        <v>50</v>
      </c>
      <c r="F7" s="166">
        <v>110</v>
      </c>
      <c r="G7" s="166">
        <v>50</v>
      </c>
      <c r="H7" s="166">
        <v>20</v>
      </c>
      <c r="I7" s="166">
        <v>130</v>
      </c>
      <c r="J7" s="166">
        <v>170</v>
      </c>
      <c r="K7" s="166">
        <v>180</v>
      </c>
      <c r="L7" s="166">
        <v>180</v>
      </c>
      <c r="M7" s="166">
        <v>10</v>
      </c>
      <c r="N7" s="166">
        <v>100</v>
      </c>
      <c r="O7" s="166">
        <v>200</v>
      </c>
      <c r="P7" s="166">
        <v>30</v>
      </c>
      <c r="Q7" s="166">
        <v>200</v>
      </c>
      <c r="R7" s="166">
        <v>50</v>
      </c>
      <c r="S7" s="166">
        <v>40</v>
      </c>
      <c r="T7" s="166">
        <v>40</v>
      </c>
      <c r="U7" s="166">
        <v>10</v>
      </c>
      <c r="V7" s="166">
        <v>40</v>
      </c>
      <c r="W7" s="166">
        <v>100</v>
      </c>
      <c r="X7" s="166">
        <v>150</v>
      </c>
      <c r="Y7" s="166">
        <v>100</v>
      </c>
      <c r="Z7" s="166">
        <v>110</v>
      </c>
      <c r="AA7" s="166">
        <v>40</v>
      </c>
      <c r="AB7" s="280">
        <f t="shared" ref="AB7:AB15" si="1">AVERAGE(D7:AA7)*2</f>
        <v>185</v>
      </c>
      <c r="AC7" s="280"/>
      <c r="AD7" s="205" t="s">
        <v>33</v>
      </c>
      <c r="AE7" s="190" t="s">
        <v>30</v>
      </c>
      <c r="AF7" s="287">
        <v>300</v>
      </c>
    </row>
    <row r="8" spans="1:32" x14ac:dyDescent="0.25">
      <c r="A8" t="s">
        <v>129</v>
      </c>
      <c r="B8">
        <v>200</v>
      </c>
      <c r="C8" s="191" t="s">
        <v>31</v>
      </c>
      <c r="D8" s="166">
        <v>170</v>
      </c>
      <c r="E8" s="166">
        <v>170</v>
      </c>
      <c r="F8" s="166">
        <v>110</v>
      </c>
      <c r="G8" s="166">
        <v>110</v>
      </c>
      <c r="H8" s="166">
        <v>150</v>
      </c>
      <c r="I8" s="166">
        <v>180</v>
      </c>
      <c r="J8" s="166">
        <v>80</v>
      </c>
      <c r="K8" s="166">
        <v>120</v>
      </c>
      <c r="L8" s="166">
        <v>20</v>
      </c>
      <c r="M8" s="166">
        <v>20</v>
      </c>
      <c r="N8" s="166">
        <v>50</v>
      </c>
      <c r="O8" s="166">
        <v>120</v>
      </c>
      <c r="P8" s="166">
        <v>150</v>
      </c>
      <c r="Q8" s="166">
        <v>140</v>
      </c>
      <c r="R8" s="166">
        <v>160</v>
      </c>
      <c r="S8" s="166">
        <v>30</v>
      </c>
      <c r="T8" s="166">
        <v>30</v>
      </c>
      <c r="U8" s="166">
        <v>0</v>
      </c>
      <c r="V8" s="166">
        <v>110</v>
      </c>
      <c r="W8" s="166">
        <v>80</v>
      </c>
      <c r="X8" s="166">
        <v>180</v>
      </c>
      <c r="Y8" s="166">
        <v>170</v>
      </c>
      <c r="Z8" s="166">
        <v>20</v>
      </c>
      <c r="AA8" s="166">
        <v>30</v>
      </c>
      <c r="AB8" s="280">
        <f t="shared" si="1"/>
        <v>200</v>
      </c>
      <c r="AC8" s="280"/>
      <c r="AD8" s="205" t="s">
        <v>33</v>
      </c>
      <c r="AE8" s="288" t="s">
        <v>31</v>
      </c>
      <c r="AF8" s="287">
        <v>300</v>
      </c>
    </row>
    <row r="9" spans="1:32" ht="15.75" thickBot="1" x14ac:dyDescent="0.3">
      <c r="C9" s="192" t="s">
        <v>44</v>
      </c>
      <c r="D9" s="166">
        <v>160</v>
      </c>
      <c r="E9" s="166">
        <v>60</v>
      </c>
      <c r="F9" s="166">
        <v>80</v>
      </c>
      <c r="G9" s="166">
        <v>10</v>
      </c>
      <c r="H9" s="166">
        <v>160</v>
      </c>
      <c r="I9" s="166">
        <v>80</v>
      </c>
      <c r="J9" s="166">
        <v>40</v>
      </c>
      <c r="K9" s="166">
        <v>120</v>
      </c>
      <c r="L9" s="166">
        <v>170</v>
      </c>
      <c r="M9" s="166">
        <v>80</v>
      </c>
      <c r="N9" s="166">
        <v>150</v>
      </c>
      <c r="O9" s="166">
        <v>40</v>
      </c>
      <c r="P9" s="166">
        <v>40</v>
      </c>
      <c r="Q9" s="166">
        <v>70</v>
      </c>
      <c r="R9" s="166">
        <v>120</v>
      </c>
      <c r="S9" s="166">
        <v>170</v>
      </c>
      <c r="T9" s="166">
        <v>170</v>
      </c>
      <c r="U9" s="166">
        <v>180</v>
      </c>
      <c r="V9" s="166">
        <v>10</v>
      </c>
      <c r="W9" s="166">
        <v>130</v>
      </c>
      <c r="X9" s="166">
        <v>10</v>
      </c>
      <c r="Y9" s="166">
        <v>190</v>
      </c>
      <c r="Z9" s="166">
        <v>110</v>
      </c>
      <c r="AA9" s="166">
        <v>100</v>
      </c>
      <c r="AB9" s="280">
        <f t="shared" si="1"/>
        <v>204.16666666666666</v>
      </c>
      <c r="AC9" s="280"/>
      <c r="AD9" s="205" t="s">
        <v>33</v>
      </c>
      <c r="AE9" s="192" t="s">
        <v>44</v>
      </c>
      <c r="AF9" s="287">
        <v>300</v>
      </c>
    </row>
    <row r="10" spans="1:32" ht="15.75" thickBot="1" x14ac:dyDescent="0.3">
      <c r="A10" s="193" t="s">
        <v>35</v>
      </c>
      <c r="B10" s="194">
        <v>10</v>
      </c>
      <c r="C10" s="195" t="s">
        <v>29</v>
      </c>
      <c r="D10" s="166">
        <v>80</v>
      </c>
      <c r="E10" s="166">
        <v>110</v>
      </c>
      <c r="F10" s="166">
        <v>10</v>
      </c>
      <c r="G10" s="166">
        <v>90</v>
      </c>
      <c r="H10" s="166">
        <v>10</v>
      </c>
      <c r="I10" s="166">
        <v>40</v>
      </c>
      <c r="J10" s="166">
        <v>0</v>
      </c>
      <c r="K10" s="166">
        <v>150</v>
      </c>
      <c r="L10" s="166">
        <v>0</v>
      </c>
      <c r="M10" s="166">
        <v>140</v>
      </c>
      <c r="N10" s="166">
        <v>140</v>
      </c>
      <c r="O10" s="166">
        <v>110</v>
      </c>
      <c r="P10" s="166">
        <v>80</v>
      </c>
      <c r="Q10" s="166">
        <v>60</v>
      </c>
      <c r="R10" s="166">
        <v>50</v>
      </c>
      <c r="S10" s="166">
        <v>30</v>
      </c>
      <c r="T10" s="166">
        <v>100</v>
      </c>
      <c r="U10" s="166">
        <v>50</v>
      </c>
      <c r="V10" s="166">
        <v>150</v>
      </c>
      <c r="W10" s="166">
        <v>130</v>
      </c>
      <c r="X10" s="166">
        <v>170</v>
      </c>
      <c r="Y10" s="166">
        <v>20</v>
      </c>
      <c r="Z10" s="166">
        <v>20</v>
      </c>
      <c r="AA10" s="166">
        <v>20</v>
      </c>
      <c r="AB10" s="280">
        <f t="shared" si="1"/>
        <v>146.66666666666666</v>
      </c>
      <c r="AC10" s="280"/>
      <c r="AD10" s="206" t="s">
        <v>35</v>
      </c>
      <c r="AE10" s="286" t="s">
        <v>29</v>
      </c>
      <c r="AF10" s="287">
        <v>200</v>
      </c>
    </row>
    <row r="11" spans="1:32" ht="15.75" thickBot="1" x14ac:dyDescent="0.3">
      <c r="A11" t="s">
        <v>130</v>
      </c>
      <c r="B11">
        <v>200</v>
      </c>
      <c r="C11" s="190" t="s">
        <v>30</v>
      </c>
      <c r="D11" s="166">
        <v>40</v>
      </c>
      <c r="E11" s="166">
        <v>140</v>
      </c>
      <c r="F11" s="166">
        <v>20</v>
      </c>
      <c r="G11" s="166">
        <v>170</v>
      </c>
      <c r="H11" s="166">
        <v>0</v>
      </c>
      <c r="I11" s="166">
        <v>60</v>
      </c>
      <c r="J11" s="166">
        <v>20</v>
      </c>
      <c r="K11" s="166">
        <v>170</v>
      </c>
      <c r="L11" s="166">
        <v>40</v>
      </c>
      <c r="M11" s="166">
        <v>80</v>
      </c>
      <c r="N11" s="166">
        <v>130</v>
      </c>
      <c r="O11" s="166">
        <v>140</v>
      </c>
      <c r="P11" s="166">
        <v>30</v>
      </c>
      <c r="Q11" s="166">
        <v>70</v>
      </c>
      <c r="R11" s="166">
        <v>120</v>
      </c>
      <c r="S11" s="166">
        <v>140</v>
      </c>
      <c r="T11" s="166">
        <v>10</v>
      </c>
      <c r="U11" s="166">
        <v>110</v>
      </c>
      <c r="V11" s="166">
        <v>30</v>
      </c>
      <c r="W11" s="166">
        <v>30</v>
      </c>
      <c r="X11" s="166">
        <v>60</v>
      </c>
      <c r="Y11" s="166">
        <v>100</v>
      </c>
      <c r="Z11" s="166">
        <v>100</v>
      </c>
      <c r="AA11" s="166">
        <v>140</v>
      </c>
      <c r="AB11" s="280">
        <f t="shared" si="1"/>
        <v>162.5</v>
      </c>
      <c r="AC11" s="280"/>
      <c r="AD11" s="206" t="s">
        <v>35</v>
      </c>
      <c r="AE11" s="190" t="s">
        <v>30</v>
      </c>
      <c r="AF11" s="287">
        <v>200</v>
      </c>
    </row>
    <row r="12" spans="1:32" ht="15.75" thickBot="1" x14ac:dyDescent="0.3">
      <c r="A12" s="196" t="s">
        <v>36</v>
      </c>
      <c r="B12" s="197">
        <v>50</v>
      </c>
      <c r="C12" s="195" t="s">
        <v>29</v>
      </c>
      <c r="D12" s="166">
        <v>50</v>
      </c>
      <c r="E12" s="166">
        <v>100</v>
      </c>
      <c r="F12" s="166">
        <v>150</v>
      </c>
      <c r="G12" s="166">
        <v>200</v>
      </c>
      <c r="H12" s="166">
        <v>200</v>
      </c>
      <c r="I12" s="166">
        <v>50</v>
      </c>
      <c r="J12" s="166">
        <v>150</v>
      </c>
      <c r="K12" s="166">
        <v>250</v>
      </c>
      <c r="L12" s="166">
        <v>100</v>
      </c>
      <c r="M12" s="166">
        <v>50</v>
      </c>
      <c r="N12" s="166">
        <v>250</v>
      </c>
      <c r="O12" s="166">
        <v>200</v>
      </c>
      <c r="P12" s="166">
        <v>50</v>
      </c>
      <c r="Q12" s="166">
        <v>250</v>
      </c>
      <c r="R12" s="166">
        <v>200</v>
      </c>
      <c r="S12" s="166">
        <v>250</v>
      </c>
      <c r="T12" s="166">
        <v>250</v>
      </c>
      <c r="U12" s="166">
        <v>150</v>
      </c>
      <c r="V12" s="166">
        <v>250</v>
      </c>
      <c r="W12" s="166">
        <v>150</v>
      </c>
      <c r="X12" s="166">
        <v>300</v>
      </c>
      <c r="Y12" s="166">
        <v>100</v>
      </c>
      <c r="Z12" s="166">
        <v>200</v>
      </c>
      <c r="AA12" s="166">
        <v>100</v>
      </c>
      <c r="AB12" s="280">
        <f t="shared" si="1"/>
        <v>333.33333333333331</v>
      </c>
      <c r="AC12" s="280"/>
      <c r="AD12" s="207" t="s">
        <v>36</v>
      </c>
      <c r="AE12" s="286" t="s">
        <v>29</v>
      </c>
      <c r="AF12" s="287">
        <v>250</v>
      </c>
    </row>
    <row r="13" spans="1:32" ht="15.75" thickBot="1" x14ac:dyDescent="0.3">
      <c r="A13" t="s">
        <v>131</v>
      </c>
      <c r="B13">
        <v>300</v>
      </c>
      <c r="C13" s="191" t="s">
        <v>31</v>
      </c>
      <c r="D13" s="166">
        <v>150</v>
      </c>
      <c r="E13" s="166">
        <v>100</v>
      </c>
      <c r="F13" s="166">
        <v>150</v>
      </c>
      <c r="G13" s="166">
        <v>150</v>
      </c>
      <c r="H13" s="166">
        <v>200</v>
      </c>
      <c r="I13" s="166">
        <v>100</v>
      </c>
      <c r="J13" s="166">
        <v>150</v>
      </c>
      <c r="K13" s="166">
        <v>150</v>
      </c>
      <c r="L13" s="166">
        <v>300</v>
      </c>
      <c r="M13" s="166">
        <v>150</v>
      </c>
      <c r="N13" s="166">
        <v>150</v>
      </c>
      <c r="O13" s="166">
        <v>100</v>
      </c>
      <c r="P13" s="166">
        <v>50</v>
      </c>
      <c r="Q13" s="166">
        <v>100</v>
      </c>
      <c r="R13" s="166">
        <v>150</v>
      </c>
      <c r="S13" s="166">
        <v>150</v>
      </c>
      <c r="T13" s="166">
        <v>100</v>
      </c>
      <c r="U13" s="166">
        <v>50</v>
      </c>
      <c r="V13" s="166">
        <v>250</v>
      </c>
      <c r="W13" s="166">
        <v>150</v>
      </c>
      <c r="X13" s="166">
        <v>250</v>
      </c>
      <c r="Y13" s="166">
        <v>200</v>
      </c>
      <c r="Z13" s="166">
        <v>100</v>
      </c>
      <c r="AA13" s="166">
        <v>50</v>
      </c>
      <c r="AB13" s="280">
        <f t="shared" si="1"/>
        <v>287.5</v>
      </c>
      <c r="AC13" s="280"/>
      <c r="AD13" s="207" t="s">
        <v>36</v>
      </c>
      <c r="AE13" s="288" t="s">
        <v>31</v>
      </c>
      <c r="AF13" s="287">
        <v>300</v>
      </c>
    </row>
    <row r="14" spans="1:32" ht="15.75" thickBot="1" x14ac:dyDescent="0.3">
      <c r="A14" s="198" t="s">
        <v>34</v>
      </c>
      <c r="B14" s="199">
        <v>100</v>
      </c>
      <c r="C14" s="195" t="s">
        <v>29</v>
      </c>
      <c r="D14" s="166">
        <v>300</v>
      </c>
      <c r="E14" s="166">
        <v>300</v>
      </c>
      <c r="F14" s="166">
        <v>0</v>
      </c>
      <c r="G14" s="166">
        <v>0</v>
      </c>
      <c r="H14" s="166">
        <v>100</v>
      </c>
      <c r="I14" s="166">
        <v>0</v>
      </c>
      <c r="J14" s="166">
        <v>0</v>
      </c>
      <c r="K14" s="166">
        <v>200</v>
      </c>
      <c r="L14" s="166">
        <v>100</v>
      </c>
      <c r="M14" s="166">
        <v>300</v>
      </c>
      <c r="N14" s="166">
        <v>100</v>
      </c>
      <c r="O14" s="166">
        <v>400</v>
      </c>
      <c r="P14" s="166">
        <v>100</v>
      </c>
      <c r="Q14" s="166">
        <v>200</v>
      </c>
      <c r="R14" s="166">
        <v>400</v>
      </c>
      <c r="S14" s="166">
        <v>100</v>
      </c>
      <c r="T14" s="166">
        <v>200</v>
      </c>
      <c r="U14" s="166">
        <v>100</v>
      </c>
      <c r="V14" s="166">
        <v>300</v>
      </c>
      <c r="W14" s="166">
        <v>100</v>
      </c>
      <c r="X14" s="166">
        <v>300</v>
      </c>
      <c r="Y14" s="166">
        <v>400</v>
      </c>
      <c r="Z14" s="166">
        <v>400</v>
      </c>
      <c r="AA14" s="166">
        <v>100</v>
      </c>
      <c r="AB14" s="280">
        <f t="shared" si="1"/>
        <v>375</v>
      </c>
      <c r="AC14" s="280"/>
      <c r="AD14" s="208" t="s">
        <v>34</v>
      </c>
      <c r="AE14" s="286" t="s">
        <v>29</v>
      </c>
      <c r="AF14" s="287">
        <v>400</v>
      </c>
    </row>
    <row r="15" spans="1:32" x14ac:dyDescent="0.25">
      <c r="A15" t="s">
        <v>132</v>
      </c>
      <c r="B15">
        <v>400</v>
      </c>
      <c r="C15" s="190" t="s">
        <v>30</v>
      </c>
      <c r="D15" s="166">
        <v>300</v>
      </c>
      <c r="E15" s="166">
        <v>200</v>
      </c>
      <c r="F15" s="166">
        <v>200</v>
      </c>
      <c r="G15" s="166">
        <v>0</v>
      </c>
      <c r="H15" s="166">
        <v>400</v>
      </c>
      <c r="I15" s="166">
        <v>200</v>
      </c>
      <c r="J15" s="166">
        <v>100</v>
      </c>
      <c r="K15" s="166">
        <v>0</v>
      </c>
      <c r="L15" s="166">
        <v>0</v>
      </c>
      <c r="M15" s="166">
        <v>0</v>
      </c>
      <c r="N15" s="166">
        <v>100</v>
      </c>
      <c r="O15" s="166">
        <v>200</v>
      </c>
      <c r="P15" s="166">
        <v>100</v>
      </c>
      <c r="Q15" s="166">
        <v>200</v>
      </c>
      <c r="R15" s="166">
        <v>0</v>
      </c>
      <c r="S15" s="166">
        <v>0</v>
      </c>
      <c r="T15" s="166">
        <v>300</v>
      </c>
      <c r="U15" s="166">
        <v>300</v>
      </c>
      <c r="V15" s="166">
        <v>400</v>
      </c>
      <c r="W15" s="166">
        <v>300</v>
      </c>
      <c r="X15" s="166">
        <v>200</v>
      </c>
      <c r="Y15" s="166">
        <v>0</v>
      </c>
      <c r="Z15" s="166">
        <v>100</v>
      </c>
      <c r="AA15" s="166">
        <v>200</v>
      </c>
      <c r="AB15" s="280">
        <f t="shared" si="1"/>
        <v>316.66666666666669</v>
      </c>
      <c r="AC15" s="280"/>
      <c r="AD15" s="208" t="s">
        <v>34</v>
      </c>
      <c r="AE15" s="190" t="s">
        <v>30</v>
      </c>
      <c r="AF15" s="287">
        <v>400</v>
      </c>
    </row>
    <row r="16" spans="1:32" ht="15.75" thickBot="1" x14ac:dyDescent="0.3">
      <c r="AD16" s="222" t="s">
        <v>48</v>
      </c>
      <c r="AE16" s="286" t="s">
        <v>29</v>
      </c>
      <c r="AF16" s="287">
        <v>300</v>
      </c>
    </row>
    <row r="17" spans="1:48" ht="15.75" thickBot="1" x14ac:dyDescent="0.3">
      <c r="A17" s="301" t="s">
        <v>108</v>
      </c>
      <c r="B17" s="302"/>
      <c r="C17" s="302"/>
      <c r="D17" s="302"/>
      <c r="E17" s="302"/>
      <c r="F17" s="302"/>
      <c r="G17" s="302"/>
      <c r="H17" s="302"/>
      <c r="I17" s="302"/>
      <c r="J17" s="302"/>
      <c r="K17" s="302"/>
      <c r="L17" s="302"/>
      <c r="M17" s="302"/>
      <c r="N17" s="302"/>
      <c r="O17" s="302"/>
      <c r="P17" s="302"/>
      <c r="Q17" s="302"/>
      <c r="R17" s="302"/>
      <c r="S17" s="302"/>
      <c r="T17" s="302"/>
      <c r="U17" s="302"/>
      <c r="V17" s="302"/>
      <c r="W17" s="302"/>
      <c r="X17" s="302"/>
      <c r="Y17" s="302"/>
      <c r="Z17" s="302"/>
      <c r="AA17" s="303"/>
      <c r="AD17" s="222" t="s">
        <v>48</v>
      </c>
      <c r="AE17" s="190" t="s">
        <v>30</v>
      </c>
      <c r="AF17" s="287">
        <v>300</v>
      </c>
    </row>
    <row r="18" spans="1:48" x14ac:dyDescent="0.25">
      <c r="A18" s="50"/>
      <c r="B18" s="162"/>
      <c r="AD18" s="222" t="s">
        <v>48</v>
      </c>
      <c r="AE18" s="288" t="s">
        <v>31</v>
      </c>
      <c r="AF18" s="287">
        <v>300</v>
      </c>
      <c r="AG18" s="285"/>
    </row>
    <row r="19" spans="1:48" x14ac:dyDescent="0.25">
      <c r="A19" s="5" t="s">
        <v>68</v>
      </c>
      <c r="B19" s="5"/>
      <c r="C19" s="5" t="s">
        <v>32</v>
      </c>
      <c r="D19" s="84" t="s">
        <v>0</v>
      </c>
      <c r="E19" s="80" t="s">
        <v>1</v>
      </c>
      <c r="F19" s="80" t="s">
        <v>2</v>
      </c>
      <c r="G19" s="80" t="s">
        <v>3</v>
      </c>
      <c r="H19" s="80" t="s">
        <v>4</v>
      </c>
      <c r="I19" s="80" t="s">
        <v>5</v>
      </c>
      <c r="J19" s="80" t="s">
        <v>6</v>
      </c>
      <c r="K19" s="80" t="s">
        <v>7</v>
      </c>
      <c r="L19" s="80" t="s">
        <v>8</v>
      </c>
      <c r="M19" s="80" t="s">
        <v>9</v>
      </c>
      <c r="N19" s="80" t="s">
        <v>10</v>
      </c>
      <c r="O19" s="80" t="s">
        <v>11</v>
      </c>
      <c r="P19" s="80" t="s">
        <v>12</v>
      </c>
      <c r="Q19" s="80" t="s">
        <v>13</v>
      </c>
      <c r="R19" s="80" t="s">
        <v>14</v>
      </c>
      <c r="S19" s="80" t="s">
        <v>15</v>
      </c>
      <c r="T19" s="80" t="s">
        <v>16</v>
      </c>
      <c r="U19" s="80" t="s">
        <v>17</v>
      </c>
      <c r="V19" s="80" t="s">
        <v>18</v>
      </c>
      <c r="W19" s="80" t="s">
        <v>19</v>
      </c>
      <c r="X19" s="80" t="s">
        <v>20</v>
      </c>
      <c r="Y19" s="80" t="s">
        <v>21</v>
      </c>
      <c r="Z19" s="277" t="s">
        <v>22</v>
      </c>
      <c r="AA19" s="289" t="s">
        <v>23</v>
      </c>
      <c r="AB19" s="279"/>
      <c r="AC19" s="279"/>
      <c r="AD19" s="222" t="s">
        <v>48</v>
      </c>
      <c r="AE19" s="192" t="s">
        <v>44</v>
      </c>
      <c r="AF19" s="287">
        <v>200</v>
      </c>
    </row>
    <row r="20" spans="1:48" ht="15.75" thickBot="1" x14ac:dyDescent="0.3">
      <c r="A20" s="200" t="s">
        <v>33</v>
      </c>
      <c r="B20" s="201" t="s">
        <v>56</v>
      </c>
      <c r="C20" s="195" t="s">
        <v>29</v>
      </c>
      <c r="D20" s="82">
        <v>0</v>
      </c>
      <c r="E20" s="83">
        <v>0</v>
      </c>
      <c r="F20" s="82">
        <v>170</v>
      </c>
      <c r="G20" s="83">
        <v>80</v>
      </c>
      <c r="H20" s="82">
        <v>70</v>
      </c>
      <c r="I20" s="83">
        <v>150</v>
      </c>
      <c r="J20" s="82">
        <v>130</v>
      </c>
      <c r="K20" s="83">
        <v>200</v>
      </c>
      <c r="L20" s="82">
        <v>70</v>
      </c>
      <c r="M20" s="83">
        <v>160</v>
      </c>
      <c r="N20" s="82">
        <v>170</v>
      </c>
      <c r="O20" s="83">
        <v>130</v>
      </c>
      <c r="P20" s="82">
        <v>30</v>
      </c>
      <c r="Q20" s="83">
        <v>120</v>
      </c>
      <c r="R20" s="82">
        <v>40</v>
      </c>
      <c r="S20" s="83">
        <v>150</v>
      </c>
      <c r="T20" s="82">
        <v>150</v>
      </c>
      <c r="U20" s="83">
        <v>20</v>
      </c>
      <c r="V20" s="82">
        <v>170</v>
      </c>
      <c r="W20" s="83">
        <v>40</v>
      </c>
      <c r="X20" s="82">
        <v>130</v>
      </c>
      <c r="Y20" s="83">
        <v>100</v>
      </c>
      <c r="Z20" s="278">
        <v>190</v>
      </c>
      <c r="AA20" s="290">
        <v>40</v>
      </c>
      <c r="AB20" s="281"/>
      <c r="AC20" s="281"/>
      <c r="AD20" s="234"/>
      <c r="AE20" s="234"/>
      <c r="AF20" s="234"/>
      <c r="AV20" s="234"/>
    </row>
    <row r="21" spans="1:48" x14ac:dyDescent="0.25">
      <c r="A21" s="188"/>
      <c r="B21" s="201" t="s">
        <v>113</v>
      </c>
      <c r="C21" s="195" t="s">
        <v>29</v>
      </c>
      <c r="D21" s="82"/>
      <c r="E21" s="83"/>
      <c r="F21" s="82"/>
      <c r="G21" s="83"/>
      <c r="H21" s="82"/>
      <c r="I21" s="83"/>
      <c r="J21" s="82"/>
      <c r="K21" s="83"/>
      <c r="L21" s="82"/>
      <c r="M21" s="83"/>
      <c r="N21" s="82"/>
      <c r="O21" s="83"/>
      <c r="P21" s="82"/>
      <c r="Q21" s="83"/>
      <c r="R21" s="82"/>
      <c r="S21" s="83"/>
      <c r="T21" s="82"/>
      <c r="U21" s="83"/>
      <c r="V21" s="82"/>
      <c r="W21" s="83"/>
      <c r="X21" s="82"/>
      <c r="Y21" s="83"/>
      <c r="Z21" s="278"/>
      <c r="AA21" s="290"/>
      <c r="AB21" s="281"/>
      <c r="AC21" s="281"/>
      <c r="AD21" s="234"/>
      <c r="AE21" s="234"/>
      <c r="AF21" s="234"/>
      <c r="AV21" s="234"/>
    </row>
    <row r="22" spans="1:48" x14ac:dyDescent="0.25">
      <c r="B22" s="201" t="s">
        <v>56</v>
      </c>
      <c r="C22" s="190" t="s">
        <v>30</v>
      </c>
      <c r="D22" s="82">
        <v>10</v>
      </c>
      <c r="E22" s="83">
        <v>50</v>
      </c>
      <c r="F22" s="82">
        <v>110</v>
      </c>
      <c r="G22" s="83">
        <v>50</v>
      </c>
      <c r="H22" s="82">
        <v>20</v>
      </c>
      <c r="I22" s="83">
        <v>130</v>
      </c>
      <c r="J22" s="82">
        <v>170</v>
      </c>
      <c r="K22" s="83">
        <v>180</v>
      </c>
      <c r="L22" s="82">
        <v>180</v>
      </c>
      <c r="M22" s="83">
        <v>10</v>
      </c>
      <c r="N22" s="82">
        <v>100</v>
      </c>
      <c r="O22" s="83">
        <v>200</v>
      </c>
      <c r="P22" s="82">
        <v>30</v>
      </c>
      <c r="Q22" s="83">
        <v>200</v>
      </c>
      <c r="R22" s="82">
        <v>50</v>
      </c>
      <c r="S22" s="83">
        <v>40</v>
      </c>
      <c r="T22" s="82">
        <v>40</v>
      </c>
      <c r="U22" s="83">
        <v>10</v>
      </c>
      <c r="V22" s="82">
        <v>40</v>
      </c>
      <c r="W22" s="83">
        <v>100</v>
      </c>
      <c r="X22" s="82">
        <v>150</v>
      </c>
      <c r="Y22" s="83">
        <v>100</v>
      </c>
      <c r="Z22" s="278">
        <v>110</v>
      </c>
      <c r="AA22" s="290">
        <v>40</v>
      </c>
      <c r="AB22" s="281"/>
      <c r="AC22" s="281"/>
      <c r="AD22" s="234"/>
      <c r="AE22" s="234"/>
      <c r="AF22" s="234"/>
      <c r="AV22" s="234"/>
    </row>
    <row r="23" spans="1:48" x14ac:dyDescent="0.25">
      <c r="B23" s="201" t="s">
        <v>113</v>
      </c>
      <c r="C23" s="190" t="s">
        <v>30</v>
      </c>
      <c r="D23" s="82"/>
      <c r="E23" s="83"/>
      <c r="F23" s="82"/>
      <c r="G23" s="83"/>
      <c r="H23" s="82"/>
      <c r="I23" s="83"/>
      <c r="J23" s="82"/>
      <c r="K23" s="83"/>
      <c r="L23" s="82"/>
      <c r="M23" s="83"/>
      <c r="N23" s="82"/>
      <c r="O23" s="83"/>
      <c r="P23" s="82"/>
      <c r="Q23" s="83"/>
      <c r="R23" s="82"/>
      <c r="S23" s="83"/>
      <c r="T23" s="82"/>
      <c r="U23" s="83"/>
      <c r="V23" s="82"/>
      <c r="W23" s="83"/>
      <c r="X23" s="82"/>
      <c r="Y23" s="83"/>
      <c r="Z23" s="278"/>
      <c r="AA23" s="290"/>
      <c r="AB23" s="281"/>
      <c r="AC23" s="281"/>
      <c r="AD23" s="234"/>
      <c r="AE23" s="234"/>
      <c r="AF23" s="234"/>
      <c r="AV23" s="234"/>
    </row>
    <row r="24" spans="1:48" x14ac:dyDescent="0.25">
      <c r="B24" s="201" t="s">
        <v>56</v>
      </c>
      <c r="C24" s="191" t="s">
        <v>31</v>
      </c>
      <c r="D24" s="82">
        <v>70</v>
      </c>
      <c r="E24" s="83">
        <v>170</v>
      </c>
      <c r="F24" s="82">
        <v>110</v>
      </c>
      <c r="G24" s="83">
        <v>110</v>
      </c>
      <c r="H24" s="82">
        <v>150</v>
      </c>
      <c r="I24" s="83">
        <v>180</v>
      </c>
      <c r="J24" s="82">
        <v>80</v>
      </c>
      <c r="K24" s="83">
        <v>120</v>
      </c>
      <c r="L24" s="82">
        <v>20</v>
      </c>
      <c r="M24" s="83">
        <v>20</v>
      </c>
      <c r="N24" s="82">
        <v>50</v>
      </c>
      <c r="O24" s="83">
        <v>120</v>
      </c>
      <c r="P24" s="82">
        <v>150</v>
      </c>
      <c r="Q24" s="83">
        <v>140</v>
      </c>
      <c r="R24" s="82">
        <v>160</v>
      </c>
      <c r="S24" s="83">
        <v>30</v>
      </c>
      <c r="T24" s="82">
        <v>30</v>
      </c>
      <c r="U24" s="83">
        <v>0</v>
      </c>
      <c r="V24" s="82">
        <v>110</v>
      </c>
      <c r="W24" s="83">
        <v>80</v>
      </c>
      <c r="X24" s="82">
        <v>180</v>
      </c>
      <c r="Y24" s="83">
        <v>170</v>
      </c>
      <c r="Z24" s="278">
        <v>20</v>
      </c>
      <c r="AA24" s="290">
        <v>30</v>
      </c>
      <c r="AB24" s="281"/>
      <c r="AC24" s="281"/>
      <c r="AD24" s="234"/>
      <c r="AE24" s="234"/>
      <c r="AF24" s="234"/>
      <c r="AV24" s="234"/>
    </row>
    <row r="25" spans="1:48" x14ac:dyDescent="0.25">
      <c r="B25" s="201" t="s">
        <v>113</v>
      </c>
      <c r="C25" s="191" t="s">
        <v>31</v>
      </c>
      <c r="D25" s="82"/>
      <c r="E25" s="83"/>
      <c r="F25" s="82"/>
      <c r="G25" s="83"/>
      <c r="H25" s="82"/>
      <c r="I25" s="83"/>
      <c r="J25" s="82"/>
      <c r="K25" s="83"/>
      <c r="L25" s="82"/>
      <c r="M25" s="83"/>
      <c r="N25" s="82"/>
      <c r="O25" s="83"/>
      <c r="P25" s="82"/>
      <c r="Q25" s="83"/>
      <c r="R25" s="82"/>
      <c r="S25" s="83"/>
      <c r="T25" s="82"/>
      <c r="U25" s="83"/>
      <c r="V25" s="82"/>
      <c r="W25" s="83"/>
      <c r="X25" s="82"/>
      <c r="Y25" s="83"/>
      <c r="Z25" s="278"/>
      <c r="AA25" s="290"/>
      <c r="AB25" s="281"/>
      <c r="AC25" s="281"/>
      <c r="AD25" s="234"/>
      <c r="AE25" s="234"/>
      <c r="AF25" s="234"/>
      <c r="AV25" s="234"/>
    </row>
    <row r="26" spans="1:48" x14ac:dyDescent="0.25">
      <c r="B26" s="201" t="s">
        <v>56</v>
      </c>
      <c r="C26" s="192" t="s">
        <v>44</v>
      </c>
      <c r="D26" s="82">
        <v>60</v>
      </c>
      <c r="E26" s="83">
        <v>60</v>
      </c>
      <c r="F26" s="82">
        <v>80</v>
      </c>
      <c r="G26" s="83">
        <v>10</v>
      </c>
      <c r="H26" s="82">
        <v>160</v>
      </c>
      <c r="I26" s="83">
        <v>80</v>
      </c>
      <c r="J26" s="82">
        <v>40</v>
      </c>
      <c r="K26" s="83">
        <v>120</v>
      </c>
      <c r="L26" s="82">
        <v>170</v>
      </c>
      <c r="M26" s="83">
        <v>80</v>
      </c>
      <c r="N26" s="82">
        <v>150</v>
      </c>
      <c r="O26" s="83">
        <v>40</v>
      </c>
      <c r="P26" s="82">
        <v>40</v>
      </c>
      <c r="Q26" s="83">
        <v>70</v>
      </c>
      <c r="R26" s="82">
        <v>120</v>
      </c>
      <c r="S26" s="83">
        <v>170</v>
      </c>
      <c r="T26" s="82">
        <v>170</v>
      </c>
      <c r="U26" s="83">
        <v>180</v>
      </c>
      <c r="V26" s="82">
        <v>10</v>
      </c>
      <c r="W26" s="83">
        <v>130</v>
      </c>
      <c r="X26" s="82">
        <v>10</v>
      </c>
      <c r="Y26" s="83">
        <v>190</v>
      </c>
      <c r="Z26" s="278">
        <v>110</v>
      </c>
      <c r="AA26" s="290">
        <v>100</v>
      </c>
      <c r="AB26" s="281"/>
      <c r="AC26" s="281"/>
      <c r="AD26" s="234"/>
      <c r="AE26" s="234"/>
      <c r="AF26" s="234"/>
      <c r="AV26" s="234"/>
    </row>
    <row r="27" spans="1:48" ht="15.75" thickBot="1" x14ac:dyDescent="0.3">
      <c r="B27" s="201" t="s">
        <v>113</v>
      </c>
      <c r="C27" s="192" t="s">
        <v>44</v>
      </c>
      <c r="D27" s="82"/>
      <c r="E27" s="83"/>
      <c r="F27" s="82"/>
      <c r="G27" s="83"/>
      <c r="H27" s="82"/>
      <c r="I27" s="83"/>
      <c r="J27" s="82"/>
      <c r="K27" s="83"/>
      <c r="L27" s="82"/>
      <c r="M27" s="83"/>
      <c r="N27" s="82"/>
      <c r="O27" s="83"/>
      <c r="P27" s="82"/>
      <c r="Q27" s="83"/>
      <c r="R27" s="82"/>
      <c r="S27" s="83"/>
      <c r="T27" s="82"/>
      <c r="U27" s="83"/>
      <c r="V27" s="82"/>
      <c r="W27" s="83"/>
      <c r="X27" s="82"/>
      <c r="Y27" s="83"/>
      <c r="Z27" s="278"/>
      <c r="AA27" s="290"/>
      <c r="AB27" s="281"/>
      <c r="AD27" s="234"/>
      <c r="AE27" s="234"/>
      <c r="AF27" s="234"/>
      <c r="AV27" s="234"/>
    </row>
    <row r="28" spans="1:48" ht="15.75" thickBot="1" x14ac:dyDescent="0.3">
      <c r="A28" s="202" t="s">
        <v>35</v>
      </c>
      <c r="B28" s="201" t="s">
        <v>56</v>
      </c>
      <c r="C28" s="195" t="s">
        <v>29</v>
      </c>
      <c r="D28" s="82">
        <v>70</v>
      </c>
      <c r="E28" s="83">
        <v>70</v>
      </c>
      <c r="F28" s="82">
        <v>10</v>
      </c>
      <c r="G28" s="83">
        <v>90</v>
      </c>
      <c r="H28" s="82">
        <v>10</v>
      </c>
      <c r="I28" s="83">
        <v>40</v>
      </c>
      <c r="J28" s="82">
        <v>0</v>
      </c>
      <c r="K28" s="83">
        <v>150</v>
      </c>
      <c r="L28" s="82">
        <v>0</v>
      </c>
      <c r="M28" s="83">
        <v>140</v>
      </c>
      <c r="N28" s="82">
        <v>140</v>
      </c>
      <c r="O28" s="83">
        <v>110</v>
      </c>
      <c r="P28" s="82">
        <v>80</v>
      </c>
      <c r="Q28" s="83">
        <v>60</v>
      </c>
      <c r="R28" s="82">
        <v>50</v>
      </c>
      <c r="S28" s="83">
        <v>30</v>
      </c>
      <c r="T28" s="82">
        <v>100</v>
      </c>
      <c r="U28" s="83">
        <v>50</v>
      </c>
      <c r="V28" s="82">
        <v>150</v>
      </c>
      <c r="W28" s="83">
        <v>130</v>
      </c>
      <c r="X28" s="82">
        <v>170</v>
      </c>
      <c r="Y28" s="83">
        <v>20</v>
      </c>
      <c r="Z28" s="278">
        <v>20</v>
      </c>
      <c r="AA28" s="290">
        <v>20</v>
      </c>
      <c r="AB28" s="281"/>
      <c r="AC28" s="279"/>
      <c r="AD28" s="234"/>
      <c r="AE28" s="234"/>
      <c r="AF28" s="234"/>
      <c r="AV28" s="234"/>
    </row>
    <row r="29" spans="1:48" x14ac:dyDescent="0.25">
      <c r="A29" s="194"/>
      <c r="B29" s="201" t="s">
        <v>113</v>
      </c>
      <c r="C29" s="195" t="s">
        <v>29</v>
      </c>
      <c r="D29" s="82"/>
      <c r="E29" s="83"/>
      <c r="F29" s="82"/>
      <c r="G29" s="83"/>
      <c r="H29" s="82"/>
      <c r="I29" s="83"/>
      <c r="J29" s="82"/>
      <c r="K29" s="83"/>
      <c r="L29" s="82"/>
      <c r="M29" s="83"/>
      <c r="N29" s="82"/>
      <c r="O29" s="83"/>
      <c r="P29" s="82"/>
      <c r="Q29" s="83"/>
      <c r="R29" s="82"/>
      <c r="S29" s="83"/>
      <c r="T29" s="82"/>
      <c r="U29" s="83"/>
      <c r="V29" s="82"/>
      <c r="W29" s="83"/>
      <c r="X29" s="82"/>
      <c r="Y29" s="83"/>
      <c r="Z29" s="278"/>
      <c r="AA29" s="290"/>
      <c r="AB29" s="281"/>
      <c r="AC29" s="282"/>
      <c r="AD29" s="234"/>
      <c r="AE29" s="234"/>
      <c r="AF29" s="234"/>
      <c r="AV29" s="234"/>
    </row>
    <row r="30" spans="1:48" x14ac:dyDescent="0.25">
      <c r="B30" s="201" t="s">
        <v>56</v>
      </c>
      <c r="C30" s="190" t="s">
        <v>30</v>
      </c>
      <c r="D30" s="82">
        <v>80</v>
      </c>
      <c r="E30" s="83">
        <v>50</v>
      </c>
      <c r="F30" s="82">
        <v>20</v>
      </c>
      <c r="G30" s="83">
        <v>170</v>
      </c>
      <c r="H30" s="82">
        <v>0</v>
      </c>
      <c r="I30" s="83">
        <v>60</v>
      </c>
      <c r="J30" s="82">
        <v>20</v>
      </c>
      <c r="K30" s="83">
        <v>170</v>
      </c>
      <c r="L30" s="82">
        <v>40</v>
      </c>
      <c r="M30" s="83">
        <v>80</v>
      </c>
      <c r="N30" s="82">
        <v>130</v>
      </c>
      <c r="O30" s="83">
        <v>140</v>
      </c>
      <c r="P30" s="82">
        <v>30</v>
      </c>
      <c r="Q30" s="83">
        <v>70</v>
      </c>
      <c r="R30" s="82">
        <v>120</v>
      </c>
      <c r="S30" s="83">
        <v>140</v>
      </c>
      <c r="T30" s="82">
        <v>10</v>
      </c>
      <c r="U30" s="83">
        <v>110</v>
      </c>
      <c r="V30" s="82">
        <v>30</v>
      </c>
      <c r="W30" s="83">
        <v>30</v>
      </c>
      <c r="X30" s="82">
        <v>60</v>
      </c>
      <c r="Y30" s="83">
        <v>100</v>
      </c>
      <c r="Z30" s="278">
        <v>100</v>
      </c>
      <c r="AA30" s="290">
        <v>140</v>
      </c>
      <c r="AB30" s="281"/>
      <c r="AC30" s="282"/>
      <c r="AD30" s="234"/>
      <c r="AE30" s="234"/>
      <c r="AF30" s="234"/>
      <c r="AV30" s="234"/>
    </row>
    <row r="31" spans="1:48" ht="15.75" thickBot="1" x14ac:dyDescent="0.3">
      <c r="B31" s="201" t="s">
        <v>113</v>
      </c>
      <c r="C31" s="190" t="s">
        <v>30</v>
      </c>
      <c r="D31" s="82"/>
      <c r="E31" s="83"/>
      <c r="F31" s="82"/>
      <c r="G31" s="83"/>
      <c r="H31" s="82"/>
      <c r="I31" s="83"/>
      <c r="J31" s="82"/>
      <c r="K31" s="83"/>
      <c r="L31" s="82"/>
      <c r="M31" s="83"/>
      <c r="N31" s="82"/>
      <c r="O31" s="83"/>
      <c r="P31" s="82"/>
      <c r="Q31" s="83"/>
      <c r="R31" s="82"/>
      <c r="S31" s="83"/>
      <c r="T31" s="82"/>
      <c r="U31" s="83"/>
      <c r="V31" s="82"/>
      <c r="W31" s="83"/>
      <c r="X31" s="82"/>
      <c r="Y31" s="83"/>
      <c r="Z31" s="278"/>
      <c r="AA31" s="290"/>
      <c r="AB31" s="281"/>
      <c r="AC31" s="234"/>
      <c r="AD31" s="234"/>
      <c r="AE31" s="234"/>
      <c r="AF31" s="234"/>
      <c r="AV31" s="234"/>
    </row>
    <row r="32" spans="1:48" ht="15.75" thickBot="1" x14ac:dyDescent="0.3">
      <c r="A32" s="203" t="s">
        <v>36</v>
      </c>
      <c r="B32" s="201" t="s">
        <v>56</v>
      </c>
      <c r="C32" s="195" t="s">
        <v>29</v>
      </c>
      <c r="D32" s="82">
        <v>100</v>
      </c>
      <c r="E32" s="82">
        <v>100</v>
      </c>
      <c r="F32" s="82">
        <v>150</v>
      </c>
      <c r="G32" s="83">
        <v>200</v>
      </c>
      <c r="H32" s="82">
        <v>200</v>
      </c>
      <c r="I32" s="83">
        <v>50</v>
      </c>
      <c r="J32" s="82">
        <v>150</v>
      </c>
      <c r="K32" s="83">
        <v>250</v>
      </c>
      <c r="L32" s="82">
        <v>100</v>
      </c>
      <c r="M32" s="83">
        <v>50</v>
      </c>
      <c r="N32" s="82">
        <v>250</v>
      </c>
      <c r="O32" s="83">
        <v>200</v>
      </c>
      <c r="P32" s="82">
        <v>50</v>
      </c>
      <c r="Q32" s="83">
        <v>250</v>
      </c>
      <c r="R32" s="82">
        <v>200</v>
      </c>
      <c r="S32" s="83">
        <v>250</v>
      </c>
      <c r="T32" s="82">
        <v>250</v>
      </c>
      <c r="U32" s="83">
        <v>150</v>
      </c>
      <c r="V32" s="82">
        <v>250</v>
      </c>
      <c r="W32" s="83">
        <v>150</v>
      </c>
      <c r="X32" s="82">
        <v>300</v>
      </c>
      <c r="Y32" s="83">
        <v>100</v>
      </c>
      <c r="Z32" s="278">
        <v>200</v>
      </c>
      <c r="AA32" s="290">
        <v>100</v>
      </c>
      <c r="AB32" s="281"/>
      <c r="AE32" s="234"/>
      <c r="AF32" s="234"/>
      <c r="AV32" s="234"/>
    </row>
    <row r="33" spans="1:48" x14ac:dyDescent="0.25">
      <c r="A33" s="197"/>
      <c r="B33" s="201" t="s">
        <v>113</v>
      </c>
      <c r="C33" s="195" t="s">
        <v>29</v>
      </c>
      <c r="D33" s="82"/>
      <c r="E33" s="82"/>
      <c r="F33" s="82"/>
      <c r="G33" s="83"/>
      <c r="H33" s="82"/>
      <c r="I33" s="83"/>
      <c r="J33" s="82"/>
      <c r="K33" s="83"/>
      <c r="L33" s="82"/>
      <c r="M33" s="83"/>
      <c r="N33" s="82"/>
      <c r="O33" s="83"/>
      <c r="P33" s="82"/>
      <c r="Q33" s="83"/>
      <c r="R33" s="82"/>
      <c r="S33" s="83"/>
      <c r="T33" s="82"/>
      <c r="U33" s="83"/>
      <c r="V33" s="82"/>
      <c r="W33" s="83"/>
      <c r="X33" s="82"/>
      <c r="Y33" s="83"/>
      <c r="Z33" s="278"/>
      <c r="AA33" s="290"/>
      <c r="AB33" s="281"/>
      <c r="AC33" s="281"/>
      <c r="AD33" s="234"/>
      <c r="AE33" s="234"/>
      <c r="AF33" s="234"/>
      <c r="AV33" s="234"/>
    </row>
    <row r="34" spans="1:48" x14ac:dyDescent="0.25">
      <c r="B34" s="201" t="s">
        <v>56</v>
      </c>
      <c r="C34" s="191" t="s">
        <v>31</v>
      </c>
      <c r="D34" s="82">
        <v>150</v>
      </c>
      <c r="E34" s="82">
        <v>100</v>
      </c>
      <c r="F34" s="82">
        <v>150</v>
      </c>
      <c r="G34" s="83">
        <v>150</v>
      </c>
      <c r="H34" s="82">
        <v>200</v>
      </c>
      <c r="I34" s="83">
        <v>100</v>
      </c>
      <c r="J34" s="82">
        <v>150</v>
      </c>
      <c r="K34" s="83">
        <v>150</v>
      </c>
      <c r="L34" s="82">
        <v>300</v>
      </c>
      <c r="M34" s="83">
        <v>150</v>
      </c>
      <c r="N34" s="82">
        <v>150</v>
      </c>
      <c r="O34" s="83">
        <v>100</v>
      </c>
      <c r="P34" s="82">
        <v>50</v>
      </c>
      <c r="Q34" s="83">
        <v>100</v>
      </c>
      <c r="R34" s="82">
        <v>150</v>
      </c>
      <c r="S34" s="83">
        <v>150</v>
      </c>
      <c r="T34" s="82">
        <v>100</v>
      </c>
      <c r="U34" s="83">
        <v>50</v>
      </c>
      <c r="V34" s="82">
        <v>250</v>
      </c>
      <c r="W34" s="83">
        <v>150</v>
      </c>
      <c r="X34" s="82">
        <v>250</v>
      </c>
      <c r="Y34" s="83">
        <v>200</v>
      </c>
      <c r="Z34" s="278">
        <v>100</v>
      </c>
      <c r="AA34" s="290">
        <v>50</v>
      </c>
      <c r="AB34" s="281"/>
      <c r="AC34" s="281"/>
      <c r="AE34" s="234"/>
      <c r="AF34" s="234"/>
      <c r="AV34" s="234"/>
    </row>
    <row r="35" spans="1:48" ht="15.75" thickBot="1" x14ac:dyDescent="0.3">
      <c r="B35" s="201" t="s">
        <v>113</v>
      </c>
      <c r="C35" s="191" t="s">
        <v>31</v>
      </c>
      <c r="D35" s="82"/>
      <c r="E35" s="83"/>
      <c r="F35" s="82"/>
      <c r="G35" s="83"/>
      <c r="H35" s="82"/>
      <c r="I35" s="83"/>
      <c r="J35" s="82"/>
      <c r="K35" s="83"/>
      <c r="L35" s="82"/>
      <c r="M35" s="83"/>
      <c r="N35" s="82"/>
      <c r="O35" s="83"/>
      <c r="P35" s="82"/>
      <c r="Q35" s="83"/>
      <c r="R35" s="82"/>
      <c r="S35" s="83"/>
      <c r="T35" s="82"/>
      <c r="U35" s="83"/>
      <c r="V35" s="82"/>
      <c r="W35" s="83"/>
      <c r="X35" s="82"/>
      <c r="Y35" s="83"/>
      <c r="Z35" s="278"/>
      <c r="AA35" s="290"/>
      <c r="AB35" s="281"/>
      <c r="AC35" s="281"/>
      <c r="AD35" s="281"/>
      <c r="AE35" s="281"/>
      <c r="AF35" s="234"/>
      <c r="AV35" s="234"/>
    </row>
    <row r="36" spans="1:48" ht="15.75" thickBot="1" x14ac:dyDescent="0.3">
      <c r="A36" s="204" t="s">
        <v>34</v>
      </c>
      <c r="B36" s="201" t="s">
        <v>56</v>
      </c>
      <c r="C36" s="195" t="s">
        <v>29</v>
      </c>
      <c r="D36" s="82">
        <v>280</v>
      </c>
      <c r="E36" s="82">
        <v>300</v>
      </c>
      <c r="F36" s="82">
        <v>0</v>
      </c>
      <c r="G36" s="83">
        <v>0</v>
      </c>
      <c r="H36" s="82">
        <v>70</v>
      </c>
      <c r="I36" s="83">
        <v>0</v>
      </c>
      <c r="J36" s="82">
        <v>0</v>
      </c>
      <c r="K36" s="83">
        <v>200</v>
      </c>
      <c r="L36" s="82">
        <v>100</v>
      </c>
      <c r="M36" s="83">
        <v>300</v>
      </c>
      <c r="N36" s="82">
        <v>100</v>
      </c>
      <c r="O36" s="83">
        <v>400</v>
      </c>
      <c r="P36" s="82">
        <v>100</v>
      </c>
      <c r="Q36" s="83">
        <v>200</v>
      </c>
      <c r="R36" s="82">
        <v>400</v>
      </c>
      <c r="S36" s="83">
        <v>100</v>
      </c>
      <c r="T36" s="82">
        <v>200</v>
      </c>
      <c r="U36" s="83">
        <v>100</v>
      </c>
      <c r="V36" s="82">
        <v>300</v>
      </c>
      <c r="W36" s="83">
        <v>100</v>
      </c>
      <c r="X36" s="82">
        <v>300</v>
      </c>
      <c r="Y36" s="83">
        <v>400</v>
      </c>
      <c r="Z36" s="278">
        <v>400</v>
      </c>
      <c r="AA36" s="290">
        <v>100</v>
      </c>
      <c r="AB36" s="281"/>
      <c r="AC36" s="281"/>
      <c r="AD36" s="234"/>
      <c r="AE36" s="234"/>
      <c r="AF36" s="234"/>
      <c r="AV36" s="234"/>
    </row>
    <row r="37" spans="1:48" x14ac:dyDescent="0.25">
      <c r="A37" s="199"/>
      <c r="B37" s="201" t="s">
        <v>113</v>
      </c>
      <c r="C37" s="195" t="s">
        <v>29</v>
      </c>
      <c r="D37" s="82"/>
      <c r="E37" s="82"/>
      <c r="F37" s="82"/>
      <c r="G37" s="83"/>
      <c r="H37" s="82"/>
      <c r="I37" s="83"/>
      <c r="J37" s="82"/>
      <c r="K37" s="83"/>
      <c r="L37" s="82"/>
      <c r="M37" s="83"/>
      <c r="N37" s="82"/>
      <c r="O37" s="83"/>
      <c r="P37" s="82"/>
      <c r="Q37" s="83"/>
      <c r="R37" s="82"/>
      <c r="S37" s="83"/>
      <c r="T37" s="82"/>
      <c r="U37" s="83"/>
      <c r="V37" s="82"/>
      <c r="W37" s="83"/>
      <c r="X37" s="82"/>
      <c r="Y37" s="83"/>
      <c r="Z37" s="278"/>
      <c r="AA37" s="290"/>
      <c r="AB37" s="281"/>
      <c r="AC37" s="281"/>
      <c r="AD37" s="234"/>
      <c r="AE37" s="234"/>
      <c r="AF37" s="234"/>
      <c r="AV37" s="234"/>
    </row>
    <row r="38" spans="1:48" x14ac:dyDescent="0.25">
      <c r="B38" s="201" t="s">
        <v>56</v>
      </c>
      <c r="C38" s="190" t="s">
        <v>30</v>
      </c>
      <c r="D38" s="82">
        <v>280</v>
      </c>
      <c r="E38" s="82">
        <v>300</v>
      </c>
      <c r="F38" s="82">
        <v>100</v>
      </c>
      <c r="G38" s="83">
        <v>0</v>
      </c>
      <c r="H38" s="82">
        <v>370</v>
      </c>
      <c r="I38" s="83">
        <v>200</v>
      </c>
      <c r="J38" s="82">
        <v>100</v>
      </c>
      <c r="K38" s="83">
        <v>0</v>
      </c>
      <c r="L38" s="82">
        <v>0</v>
      </c>
      <c r="M38" s="83">
        <v>0</v>
      </c>
      <c r="N38" s="82">
        <v>100</v>
      </c>
      <c r="O38" s="83">
        <v>200</v>
      </c>
      <c r="P38" s="82">
        <v>100</v>
      </c>
      <c r="Q38" s="83">
        <v>200</v>
      </c>
      <c r="R38" s="82">
        <v>0</v>
      </c>
      <c r="S38" s="83">
        <v>0</v>
      </c>
      <c r="T38" s="82">
        <v>300</v>
      </c>
      <c r="U38" s="83">
        <v>300</v>
      </c>
      <c r="V38" s="82">
        <v>400</v>
      </c>
      <c r="W38" s="83">
        <v>300</v>
      </c>
      <c r="X38" s="82">
        <v>200</v>
      </c>
      <c r="Y38" s="83">
        <v>0</v>
      </c>
      <c r="Z38" s="278">
        <v>100</v>
      </c>
      <c r="AA38" s="290">
        <v>200</v>
      </c>
      <c r="AB38" s="281"/>
      <c r="AC38" s="281"/>
      <c r="AD38" s="234"/>
      <c r="AE38" s="234"/>
      <c r="AF38" s="234"/>
      <c r="AV38" s="234"/>
    </row>
    <row r="39" spans="1:48" x14ac:dyDescent="0.25">
      <c r="B39" s="201" t="s">
        <v>113</v>
      </c>
      <c r="C39" s="190" t="s">
        <v>30</v>
      </c>
      <c r="D39" s="82"/>
      <c r="E39" s="83"/>
      <c r="F39" s="82"/>
      <c r="G39" s="83"/>
      <c r="H39" s="82"/>
      <c r="I39" s="83"/>
      <c r="J39" s="82"/>
      <c r="K39" s="83"/>
      <c r="L39" s="82"/>
      <c r="M39" s="83"/>
      <c r="N39" s="82"/>
      <c r="O39" s="83"/>
      <c r="P39" s="82"/>
      <c r="Q39" s="83"/>
      <c r="R39" s="82"/>
      <c r="S39" s="83"/>
      <c r="T39" s="82"/>
      <c r="U39" s="83"/>
      <c r="V39" s="82"/>
      <c r="W39" s="83"/>
      <c r="X39" s="82"/>
      <c r="Y39" s="83"/>
      <c r="Z39" s="278"/>
      <c r="AA39" s="290"/>
      <c r="AB39" s="281"/>
      <c r="AC39" s="281"/>
      <c r="AD39" s="234"/>
      <c r="AE39" s="234"/>
      <c r="AF39" s="234"/>
      <c r="AV39" s="234"/>
    </row>
    <row r="40" spans="1:48" ht="15.75" thickBot="1" x14ac:dyDescent="0.3">
      <c r="AD40" s="234"/>
      <c r="AE40" s="234"/>
      <c r="AF40" s="234"/>
      <c r="AV40" s="234"/>
    </row>
    <row r="41" spans="1:48" ht="15.75" thickBot="1" x14ac:dyDescent="0.3">
      <c r="A41" s="301" t="s">
        <v>109</v>
      </c>
      <c r="B41" s="302"/>
      <c r="C41" s="302"/>
      <c r="D41" s="302"/>
      <c r="E41" s="302"/>
      <c r="F41" s="302"/>
      <c r="G41" s="302"/>
      <c r="H41" s="302"/>
      <c r="I41" s="302"/>
      <c r="J41" s="302"/>
      <c r="K41" s="302"/>
      <c r="L41" s="302"/>
      <c r="M41" s="302"/>
      <c r="N41" s="302"/>
      <c r="O41" s="302"/>
      <c r="P41" s="302"/>
      <c r="Q41" s="302"/>
      <c r="R41" s="302"/>
      <c r="S41" s="302"/>
      <c r="T41" s="302"/>
      <c r="U41" s="302"/>
      <c r="V41" s="302"/>
      <c r="W41" s="302"/>
      <c r="X41" s="302"/>
      <c r="Y41" s="302"/>
      <c r="Z41" s="302"/>
      <c r="AA41" s="303"/>
      <c r="AD41" s="234"/>
      <c r="AE41" s="234"/>
      <c r="AF41" s="234"/>
      <c r="AV41" s="234"/>
    </row>
    <row r="42" spans="1:48" x14ac:dyDescent="0.25">
      <c r="A42" s="50"/>
      <c r="B42" s="162"/>
      <c r="AE42" s="234"/>
      <c r="AV42" s="234"/>
    </row>
    <row r="43" spans="1:48" x14ac:dyDescent="0.25">
      <c r="C43" s="5" t="s">
        <v>32</v>
      </c>
      <c r="D43" s="289" t="s">
        <v>0</v>
      </c>
      <c r="E43" s="289" t="s">
        <v>1</v>
      </c>
      <c r="F43" s="289" t="s">
        <v>2</v>
      </c>
      <c r="G43" s="289" t="s">
        <v>3</v>
      </c>
      <c r="H43" s="289" t="s">
        <v>4</v>
      </c>
      <c r="I43" s="289" t="s">
        <v>5</v>
      </c>
      <c r="J43" s="289" t="s">
        <v>6</v>
      </c>
      <c r="K43" s="289" t="s">
        <v>7</v>
      </c>
      <c r="L43" s="289" t="s">
        <v>8</v>
      </c>
      <c r="M43" s="289" t="s">
        <v>9</v>
      </c>
      <c r="N43" s="289" t="s">
        <v>10</v>
      </c>
      <c r="O43" s="289" t="s">
        <v>11</v>
      </c>
      <c r="P43" s="289" t="s">
        <v>12</v>
      </c>
      <c r="Q43" s="289" t="s">
        <v>13</v>
      </c>
      <c r="R43" s="289" t="s">
        <v>14</v>
      </c>
      <c r="S43" s="289" t="s">
        <v>15</v>
      </c>
      <c r="T43" s="289" t="s">
        <v>16</v>
      </c>
      <c r="U43" s="289" t="s">
        <v>17</v>
      </c>
      <c r="V43" s="289" t="s">
        <v>18</v>
      </c>
      <c r="W43" s="289" t="s">
        <v>19</v>
      </c>
      <c r="X43" s="289" t="s">
        <v>20</v>
      </c>
      <c r="Y43" s="289" t="s">
        <v>21</v>
      </c>
      <c r="Z43" s="289" t="s">
        <v>22</v>
      </c>
      <c r="AA43" s="289" t="s">
        <v>23</v>
      </c>
      <c r="AB43" s="279"/>
      <c r="AE43" s="234"/>
      <c r="AF43" s="234"/>
      <c r="AV43" s="234"/>
    </row>
    <row r="44" spans="1:48" x14ac:dyDescent="0.25">
      <c r="B44" s="201" t="s">
        <v>47</v>
      </c>
      <c r="C44" s="195" t="s">
        <v>29</v>
      </c>
      <c r="D44" s="291">
        <v>220</v>
      </c>
      <c r="E44" s="291">
        <v>280</v>
      </c>
      <c r="F44" s="291">
        <v>460</v>
      </c>
      <c r="G44" s="291">
        <v>327</v>
      </c>
      <c r="H44" s="291">
        <v>290</v>
      </c>
      <c r="I44" s="291">
        <v>483</v>
      </c>
      <c r="J44" s="291">
        <v>680</v>
      </c>
      <c r="K44" s="291">
        <v>448</v>
      </c>
      <c r="L44" s="291">
        <v>762</v>
      </c>
      <c r="M44" s="291">
        <v>600</v>
      </c>
      <c r="N44" s="291">
        <v>530</v>
      </c>
      <c r="O44" s="291">
        <v>860</v>
      </c>
      <c r="P44" s="291">
        <v>390</v>
      </c>
      <c r="Q44" s="291">
        <v>620</v>
      </c>
      <c r="R44" s="291">
        <v>434</v>
      </c>
      <c r="S44" s="291">
        <v>686</v>
      </c>
      <c r="T44" s="291">
        <v>550</v>
      </c>
      <c r="U44" s="291">
        <v>620</v>
      </c>
      <c r="V44" s="291">
        <v>1000</v>
      </c>
      <c r="W44" s="291">
        <v>710</v>
      </c>
      <c r="X44" s="291">
        <v>450</v>
      </c>
      <c r="Y44" s="291">
        <v>237</v>
      </c>
      <c r="Z44" s="291">
        <v>256</v>
      </c>
      <c r="AA44" s="291">
        <v>132</v>
      </c>
      <c r="AB44" s="282"/>
      <c r="AE44" s="234"/>
      <c r="AF44" s="234"/>
      <c r="AV44" s="234"/>
    </row>
    <row r="45" spans="1:48" x14ac:dyDescent="0.25">
      <c r="B45" s="201" t="s">
        <v>114</v>
      </c>
      <c r="C45" s="195" t="s">
        <v>29</v>
      </c>
      <c r="D45" s="291"/>
      <c r="E45" s="291"/>
      <c r="F45" s="291"/>
      <c r="G45" s="291"/>
      <c r="H45" s="291"/>
      <c r="I45" s="291"/>
      <c r="J45" s="291"/>
      <c r="K45" s="291"/>
      <c r="L45" s="291"/>
      <c r="M45" s="291"/>
      <c r="N45" s="291"/>
      <c r="O45" s="291"/>
      <c r="P45" s="291"/>
      <c r="Q45" s="291"/>
      <c r="R45" s="291"/>
      <c r="S45" s="291"/>
      <c r="T45" s="291"/>
      <c r="U45" s="291"/>
      <c r="V45" s="291"/>
      <c r="W45" s="291"/>
      <c r="X45" s="291"/>
      <c r="Y45" s="291"/>
      <c r="Z45" s="291"/>
      <c r="AA45" s="291"/>
      <c r="AB45" s="282"/>
      <c r="AE45" s="234"/>
      <c r="AF45" s="234"/>
      <c r="AV45" s="234"/>
    </row>
    <row r="46" spans="1:48" x14ac:dyDescent="0.25">
      <c r="B46" s="201" t="s">
        <v>47</v>
      </c>
      <c r="C46" s="190" t="s">
        <v>30</v>
      </c>
      <c r="D46" s="291">
        <v>60</v>
      </c>
      <c r="E46" s="291">
        <v>440</v>
      </c>
      <c r="F46" s="290">
        <v>480</v>
      </c>
      <c r="G46" s="290">
        <v>197</v>
      </c>
      <c r="H46" s="290">
        <v>379</v>
      </c>
      <c r="I46" s="290">
        <v>295</v>
      </c>
      <c r="J46" s="290">
        <v>473</v>
      </c>
      <c r="K46" s="290">
        <v>321</v>
      </c>
      <c r="L46" s="290">
        <v>374</v>
      </c>
      <c r="M46" s="290">
        <v>297</v>
      </c>
      <c r="N46" s="290">
        <v>227</v>
      </c>
      <c r="O46" s="290">
        <v>417</v>
      </c>
      <c r="P46" s="290">
        <v>296</v>
      </c>
      <c r="Q46" s="290">
        <v>71</v>
      </c>
      <c r="R46" s="290">
        <v>273</v>
      </c>
      <c r="S46" s="290">
        <v>450</v>
      </c>
      <c r="T46" s="290">
        <v>450</v>
      </c>
      <c r="U46" s="290">
        <v>240</v>
      </c>
      <c r="V46" s="290">
        <v>296</v>
      </c>
      <c r="W46" s="290">
        <v>449</v>
      </c>
      <c r="X46" s="290">
        <v>232</v>
      </c>
      <c r="Y46" s="290">
        <v>146</v>
      </c>
      <c r="Z46" s="290">
        <v>208</v>
      </c>
      <c r="AA46" s="290">
        <v>108</v>
      </c>
      <c r="AB46" s="281"/>
      <c r="AE46" s="234"/>
      <c r="AF46" s="234"/>
      <c r="AV46" s="234"/>
    </row>
    <row r="47" spans="1:48" x14ac:dyDescent="0.25">
      <c r="B47" s="201" t="s">
        <v>114</v>
      </c>
      <c r="C47" s="190" t="s">
        <v>30</v>
      </c>
      <c r="D47" s="290"/>
      <c r="E47" s="290"/>
      <c r="F47" s="290"/>
      <c r="G47" s="290"/>
      <c r="H47" s="290"/>
      <c r="I47" s="290"/>
      <c r="J47" s="290"/>
      <c r="K47" s="290"/>
      <c r="L47" s="290"/>
      <c r="M47" s="290"/>
      <c r="N47" s="290"/>
      <c r="O47" s="290"/>
      <c r="P47" s="290"/>
      <c r="Q47" s="290"/>
      <c r="R47" s="290"/>
      <c r="S47" s="290"/>
      <c r="T47" s="290"/>
      <c r="U47" s="290"/>
      <c r="V47" s="290"/>
      <c r="W47" s="290"/>
      <c r="X47" s="290"/>
      <c r="Y47" s="290"/>
      <c r="Z47" s="290"/>
      <c r="AA47" s="290"/>
      <c r="AB47" s="281"/>
      <c r="AE47" s="234"/>
      <c r="AF47" s="234"/>
      <c r="AV47" s="234"/>
    </row>
    <row r="48" spans="1:48" x14ac:dyDescent="0.25">
      <c r="B48" s="201" t="s">
        <v>47</v>
      </c>
      <c r="C48" s="191" t="s">
        <v>31</v>
      </c>
      <c r="D48" s="291">
        <v>220</v>
      </c>
      <c r="E48" s="291">
        <v>320</v>
      </c>
      <c r="F48" s="291">
        <v>310</v>
      </c>
      <c r="G48" s="291">
        <v>210</v>
      </c>
      <c r="H48" s="291">
        <v>300</v>
      </c>
      <c r="I48" s="291">
        <v>330</v>
      </c>
      <c r="J48" s="291">
        <v>380</v>
      </c>
      <c r="K48" s="291">
        <v>270</v>
      </c>
      <c r="L48" s="291">
        <v>196</v>
      </c>
      <c r="M48" s="291">
        <v>251</v>
      </c>
      <c r="N48" s="291">
        <v>303</v>
      </c>
      <c r="O48" s="291">
        <v>173</v>
      </c>
      <c r="P48" s="291">
        <v>83</v>
      </c>
      <c r="Q48" s="291">
        <v>281</v>
      </c>
      <c r="R48" s="291">
        <v>248</v>
      </c>
      <c r="S48" s="291">
        <v>259</v>
      </c>
      <c r="T48" s="291">
        <v>189</v>
      </c>
      <c r="U48" s="291">
        <v>119</v>
      </c>
      <c r="V48" s="291">
        <v>256</v>
      </c>
      <c r="W48" s="291">
        <v>379</v>
      </c>
      <c r="X48" s="291">
        <v>178</v>
      </c>
      <c r="Y48" s="291">
        <v>323</v>
      </c>
      <c r="Z48" s="291">
        <v>131</v>
      </c>
      <c r="AA48" s="291">
        <v>138</v>
      </c>
      <c r="AB48" s="282"/>
      <c r="AC48" s="282"/>
      <c r="AD48" s="234"/>
      <c r="AE48" s="234"/>
      <c r="AF48" s="234"/>
      <c r="AV48" s="234"/>
    </row>
    <row r="49" spans="1:48" x14ac:dyDescent="0.25">
      <c r="B49" s="201" t="s">
        <v>114</v>
      </c>
      <c r="C49" s="191" t="s">
        <v>31</v>
      </c>
      <c r="D49" s="291"/>
      <c r="E49" s="291"/>
      <c r="F49" s="291"/>
      <c r="G49" s="291"/>
      <c r="H49" s="291"/>
      <c r="I49" s="291"/>
      <c r="J49" s="291"/>
      <c r="K49" s="291"/>
      <c r="L49" s="291"/>
      <c r="M49" s="291"/>
      <c r="N49" s="291"/>
      <c r="O49" s="291"/>
      <c r="P49" s="291"/>
      <c r="Q49" s="291"/>
      <c r="R49" s="291"/>
      <c r="S49" s="291"/>
      <c r="T49" s="291"/>
      <c r="U49" s="291"/>
      <c r="V49" s="291"/>
      <c r="W49" s="291"/>
      <c r="X49" s="291"/>
      <c r="Y49" s="291"/>
      <c r="Z49" s="291"/>
      <c r="AA49" s="291"/>
      <c r="AB49" s="282"/>
      <c r="AC49" s="281"/>
      <c r="AD49" s="234"/>
      <c r="AE49" s="234"/>
      <c r="AF49" s="234"/>
      <c r="AV49" s="234"/>
    </row>
    <row r="50" spans="1:48" x14ac:dyDescent="0.25">
      <c r="B50" s="201" t="s">
        <v>47</v>
      </c>
      <c r="C50" s="192" t="s">
        <v>44</v>
      </c>
      <c r="D50" s="291">
        <v>160</v>
      </c>
      <c r="E50" s="291">
        <v>60</v>
      </c>
      <c r="F50" s="290">
        <v>80</v>
      </c>
      <c r="G50" s="290">
        <v>71</v>
      </c>
      <c r="H50" s="290">
        <v>99</v>
      </c>
      <c r="I50" s="290">
        <v>105</v>
      </c>
      <c r="J50" s="290">
        <v>163</v>
      </c>
      <c r="K50" s="290">
        <v>28</v>
      </c>
      <c r="L50" s="290">
        <v>121</v>
      </c>
      <c r="M50" s="290">
        <v>199</v>
      </c>
      <c r="N50" s="290">
        <v>115</v>
      </c>
      <c r="O50" s="290">
        <v>168</v>
      </c>
      <c r="P50" s="290">
        <v>168</v>
      </c>
      <c r="Q50" s="290">
        <v>132</v>
      </c>
      <c r="R50" s="290">
        <v>160</v>
      </c>
      <c r="S50" s="290">
        <v>136</v>
      </c>
      <c r="T50" s="290">
        <v>152</v>
      </c>
      <c r="U50" s="290">
        <v>56</v>
      </c>
      <c r="V50" s="290">
        <v>131</v>
      </c>
      <c r="W50" s="290">
        <v>115</v>
      </c>
      <c r="X50" s="290">
        <v>17</v>
      </c>
      <c r="Y50" s="290">
        <v>56</v>
      </c>
      <c r="Z50" s="290">
        <v>153</v>
      </c>
      <c r="AA50" s="290">
        <v>113</v>
      </c>
      <c r="AB50" s="281"/>
      <c r="AC50" s="281"/>
      <c r="AD50" s="234"/>
      <c r="AE50" s="234"/>
      <c r="AF50" s="234"/>
      <c r="AV50" s="234"/>
    </row>
    <row r="51" spans="1:48" x14ac:dyDescent="0.25">
      <c r="B51" s="201" t="s">
        <v>114</v>
      </c>
      <c r="C51" s="192" t="s">
        <v>44</v>
      </c>
      <c r="D51" s="290"/>
      <c r="E51" s="290"/>
      <c r="F51" s="290"/>
      <c r="G51" s="290"/>
      <c r="H51" s="290"/>
      <c r="I51" s="290"/>
      <c r="J51" s="290"/>
      <c r="K51" s="290"/>
      <c r="L51" s="290"/>
      <c r="M51" s="290"/>
      <c r="N51" s="290"/>
      <c r="O51" s="290"/>
      <c r="P51" s="290"/>
      <c r="Q51" s="290"/>
      <c r="R51" s="290"/>
      <c r="S51" s="290"/>
      <c r="T51" s="290"/>
      <c r="U51" s="290"/>
      <c r="V51" s="290"/>
      <c r="W51" s="290"/>
      <c r="X51" s="290"/>
      <c r="Y51" s="290"/>
      <c r="Z51" s="290"/>
      <c r="AA51" s="290"/>
      <c r="AB51" s="281"/>
      <c r="AC51" s="281"/>
      <c r="AD51" s="234"/>
      <c r="AE51" s="234"/>
      <c r="AF51" s="234"/>
      <c r="AV51" s="234"/>
    </row>
    <row r="52" spans="1:48" ht="15.75" thickBot="1" x14ac:dyDescent="0.3">
      <c r="AD52" s="234"/>
      <c r="AE52" s="234"/>
      <c r="AF52" s="234"/>
      <c r="AV52" s="234"/>
    </row>
    <row r="53" spans="1:48" ht="15.75" thickBot="1" x14ac:dyDescent="0.3">
      <c r="A53" s="301" t="s">
        <v>110</v>
      </c>
      <c r="B53" s="302"/>
      <c r="C53" s="302"/>
      <c r="D53" s="302"/>
      <c r="E53" s="302"/>
      <c r="F53" s="302"/>
      <c r="G53" s="302"/>
      <c r="H53" s="302"/>
      <c r="I53" s="302"/>
      <c r="J53" s="302"/>
      <c r="K53" s="302"/>
      <c r="L53" s="302"/>
      <c r="M53" s="302"/>
      <c r="N53" s="302"/>
      <c r="O53" s="302"/>
      <c r="P53" s="302"/>
      <c r="Q53" s="302"/>
      <c r="R53" s="302"/>
      <c r="S53" s="302"/>
      <c r="T53" s="302"/>
      <c r="U53" s="302"/>
      <c r="V53" s="302"/>
      <c r="W53" s="302"/>
      <c r="X53" s="302"/>
      <c r="Y53" s="302"/>
      <c r="Z53" s="302"/>
      <c r="AA53" s="303"/>
      <c r="AD53" s="234"/>
      <c r="AE53" s="234"/>
      <c r="AF53" s="234"/>
      <c r="AV53" s="234"/>
    </row>
    <row r="54" spans="1:48" x14ac:dyDescent="0.25">
      <c r="AD54" s="234"/>
      <c r="AE54" s="234"/>
      <c r="AF54" s="234"/>
      <c r="AV54" s="234"/>
    </row>
    <row r="55" spans="1:48" ht="15.75" thickBot="1" x14ac:dyDescent="0.3">
      <c r="C55" s="80" t="s">
        <v>0</v>
      </c>
      <c r="D55" s="80" t="s">
        <v>1</v>
      </c>
      <c r="E55" s="80" t="s">
        <v>2</v>
      </c>
      <c r="F55" s="80" t="s">
        <v>3</v>
      </c>
      <c r="G55" s="80" t="s">
        <v>4</v>
      </c>
      <c r="H55" s="80" t="s">
        <v>5</v>
      </c>
      <c r="I55" s="80" t="s">
        <v>6</v>
      </c>
      <c r="J55" s="80" t="s">
        <v>7</v>
      </c>
      <c r="K55" s="80" t="s">
        <v>8</v>
      </c>
      <c r="L55" s="80" t="s">
        <v>9</v>
      </c>
      <c r="M55" s="80" t="s">
        <v>10</v>
      </c>
      <c r="N55" s="80" t="s">
        <v>11</v>
      </c>
      <c r="O55" s="80" t="s">
        <v>12</v>
      </c>
      <c r="P55" s="80" t="s">
        <v>13</v>
      </c>
      <c r="Q55" s="80" t="s">
        <v>14</v>
      </c>
      <c r="R55" s="80" t="s">
        <v>15</v>
      </c>
      <c r="S55" s="80" t="s">
        <v>16</v>
      </c>
      <c r="T55" s="80" t="s">
        <v>17</v>
      </c>
      <c r="U55" s="80" t="s">
        <v>18</v>
      </c>
      <c r="V55" s="80" t="s">
        <v>19</v>
      </c>
      <c r="W55" s="80" t="s">
        <v>20</v>
      </c>
      <c r="X55" s="80" t="s">
        <v>21</v>
      </c>
      <c r="Y55" s="80" t="s">
        <v>22</v>
      </c>
      <c r="Z55" s="80" t="s">
        <v>23</v>
      </c>
      <c r="AA55" s="277"/>
      <c r="AB55" s="279"/>
      <c r="AC55" s="279"/>
      <c r="AD55" s="234"/>
      <c r="AE55" s="234"/>
      <c r="AF55" s="234"/>
      <c r="AV55" s="234"/>
    </row>
    <row r="56" spans="1:48" ht="15.75" thickBot="1" x14ac:dyDescent="0.3">
      <c r="B56" s="140" t="s">
        <v>111</v>
      </c>
      <c r="C56" s="85">
        <v>1700</v>
      </c>
      <c r="D56" s="85">
        <v>1700</v>
      </c>
      <c r="E56" s="85">
        <v>1700</v>
      </c>
      <c r="F56" s="85">
        <v>1700</v>
      </c>
      <c r="G56" s="85">
        <v>1700</v>
      </c>
      <c r="H56" s="85">
        <v>1700</v>
      </c>
      <c r="I56" s="85">
        <v>1700</v>
      </c>
      <c r="J56" s="85">
        <v>1700</v>
      </c>
      <c r="K56" s="85">
        <v>1700</v>
      </c>
      <c r="L56" s="85">
        <v>1700</v>
      </c>
      <c r="M56" s="85">
        <v>1700</v>
      </c>
      <c r="N56" s="85">
        <v>1700</v>
      </c>
      <c r="O56" s="85">
        <v>1700</v>
      </c>
      <c r="P56" s="85">
        <v>1700</v>
      </c>
      <c r="Q56" s="85">
        <v>1700</v>
      </c>
      <c r="R56" s="85">
        <v>1700</v>
      </c>
      <c r="S56" s="85">
        <v>1700</v>
      </c>
      <c r="T56" s="85">
        <v>1700</v>
      </c>
      <c r="U56" s="85">
        <v>1700</v>
      </c>
      <c r="V56" s="85">
        <v>1700</v>
      </c>
      <c r="W56" s="85">
        <v>1700</v>
      </c>
      <c r="X56" s="85">
        <v>1700</v>
      </c>
      <c r="Y56" s="85">
        <v>1700</v>
      </c>
      <c r="Z56" s="85">
        <v>1700</v>
      </c>
      <c r="AA56" s="85"/>
      <c r="AB56" s="283"/>
      <c r="AC56" s="283"/>
      <c r="AD56" s="234"/>
      <c r="AE56" s="234"/>
      <c r="AF56" s="234"/>
      <c r="AV56" s="234"/>
    </row>
    <row r="57" spans="1:48" s="234" customFormat="1" x14ac:dyDescent="0.25">
      <c r="AB57" s="233"/>
      <c r="AC57" s="233"/>
    </row>
    <row r="58" spans="1:48" s="234" customFormat="1" x14ac:dyDescent="0.25">
      <c r="AB58" s="233"/>
      <c r="AC58" s="233"/>
    </row>
    <row r="59" spans="1:48" s="234" customFormat="1" x14ac:dyDescent="0.25">
      <c r="AB59" s="233"/>
      <c r="AC59" s="233"/>
    </row>
    <row r="60" spans="1:48" s="234" customFormat="1" x14ac:dyDescent="0.25">
      <c r="AB60" s="233"/>
      <c r="AC60" s="233"/>
    </row>
    <row r="61" spans="1:48" s="234" customFormat="1" x14ac:dyDescent="0.25">
      <c r="AB61" s="233"/>
      <c r="AC61" s="233"/>
    </row>
    <row r="62" spans="1:48" s="234" customFormat="1" x14ac:dyDescent="0.25">
      <c r="AB62" s="233"/>
      <c r="AC62" s="233"/>
    </row>
    <row r="63" spans="1:48" s="234" customFormat="1" x14ac:dyDescent="0.25">
      <c r="AB63" s="233"/>
      <c r="AC63" s="233"/>
    </row>
    <row r="64" spans="1:48" s="234" customFormat="1" x14ac:dyDescent="0.25">
      <c r="AB64" s="233"/>
      <c r="AC64" s="233"/>
    </row>
    <row r="65" spans="28:29" s="234" customFormat="1" x14ac:dyDescent="0.25">
      <c r="AB65" s="233"/>
      <c r="AC65" s="233"/>
    </row>
    <row r="66" spans="28:29" s="234" customFormat="1" x14ac:dyDescent="0.25">
      <c r="AB66" s="233"/>
      <c r="AC66" s="233"/>
    </row>
    <row r="67" spans="28:29" s="234" customFormat="1" x14ac:dyDescent="0.25">
      <c r="AB67" s="233"/>
      <c r="AC67" s="233"/>
    </row>
    <row r="68" spans="28:29" s="234" customFormat="1" x14ac:dyDescent="0.25">
      <c r="AB68" s="233"/>
      <c r="AC68" s="233"/>
    </row>
    <row r="69" spans="28:29" s="234" customFormat="1" x14ac:dyDescent="0.25">
      <c r="AB69" s="233"/>
      <c r="AC69" s="233"/>
    </row>
    <row r="70" spans="28:29" s="234" customFormat="1" x14ac:dyDescent="0.25">
      <c r="AB70" s="233"/>
      <c r="AC70" s="233"/>
    </row>
    <row r="71" spans="28:29" s="234" customFormat="1" x14ac:dyDescent="0.25">
      <c r="AB71" s="233"/>
      <c r="AC71" s="233"/>
    </row>
    <row r="72" spans="28:29" s="234" customFormat="1" x14ac:dyDescent="0.25">
      <c r="AB72" s="233"/>
      <c r="AC72" s="233"/>
    </row>
    <row r="73" spans="28:29" s="234" customFormat="1" x14ac:dyDescent="0.25">
      <c r="AB73" s="233"/>
      <c r="AC73" s="233"/>
    </row>
    <row r="74" spans="28:29" s="234" customFormat="1" x14ac:dyDescent="0.25">
      <c r="AB74" s="233"/>
      <c r="AC74" s="233"/>
    </row>
    <row r="75" spans="28:29" s="234" customFormat="1" x14ac:dyDescent="0.25">
      <c r="AB75" s="233"/>
      <c r="AC75" s="233"/>
    </row>
    <row r="76" spans="28:29" s="234" customFormat="1" x14ac:dyDescent="0.25">
      <c r="AB76" s="233"/>
      <c r="AC76" s="233"/>
    </row>
    <row r="77" spans="28:29" s="234" customFormat="1" x14ac:dyDescent="0.25">
      <c r="AB77" s="233"/>
      <c r="AC77" s="233"/>
    </row>
    <row r="78" spans="28:29" s="234" customFormat="1" x14ac:dyDescent="0.25">
      <c r="AB78" s="233"/>
      <c r="AC78" s="233"/>
    </row>
    <row r="79" spans="28:29" s="234" customFormat="1" x14ac:dyDescent="0.25">
      <c r="AB79" s="233"/>
      <c r="AC79" s="233"/>
    </row>
    <row r="80" spans="28:29" s="234" customFormat="1" x14ac:dyDescent="0.25">
      <c r="AB80" s="233"/>
      <c r="AC80" s="233"/>
    </row>
    <row r="81" spans="28:29" s="234" customFormat="1" x14ac:dyDescent="0.25">
      <c r="AB81" s="233"/>
      <c r="AC81" s="233"/>
    </row>
    <row r="82" spans="28:29" s="234" customFormat="1" x14ac:dyDescent="0.25">
      <c r="AB82" s="233"/>
      <c r="AC82" s="233"/>
    </row>
    <row r="83" spans="28:29" s="234" customFormat="1" x14ac:dyDescent="0.25">
      <c r="AB83" s="233"/>
      <c r="AC83" s="233"/>
    </row>
    <row r="84" spans="28:29" s="234" customFormat="1" x14ac:dyDescent="0.25">
      <c r="AB84" s="233"/>
      <c r="AC84" s="233"/>
    </row>
    <row r="85" spans="28:29" s="234" customFormat="1" x14ac:dyDescent="0.25">
      <c r="AB85" s="233"/>
      <c r="AC85" s="233"/>
    </row>
    <row r="86" spans="28:29" s="234" customFormat="1" x14ac:dyDescent="0.25">
      <c r="AB86" s="233"/>
      <c r="AC86" s="233"/>
    </row>
    <row r="87" spans="28:29" s="234" customFormat="1" x14ac:dyDescent="0.25">
      <c r="AB87" s="233"/>
      <c r="AC87" s="233"/>
    </row>
    <row r="88" spans="28:29" s="234" customFormat="1" x14ac:dyDescent="0.25">
      <c r="AB88" s="233"/>
      <c r="AC88" s="233"/>
    </row>
    <row r="89" spans="28:29" s="234" customFormat="1" x14ac:dyDescent="0.25">
      <c r="AB89" s="233"/>
      <c r="AC89" s="233"/>
    </row>
    <row r="90" spans="28:29" s="234" customFormat="1" x14ac:dyDescent="0.25">
      <c r="AB90" s="233"/>
      <c r="AC90" s="233"/>
    </row>
    <row r="91" spans="28:29" s="234" customFormat="1" x14ac:dyDescent="0.25">
      <c r="AB91" s="233"/>
      <c r="AC91" s="233"/>
    </row>
    <row r="92" spans="28:29" s="234" customFormat="1" x14ac:dyDescent="0.25">
      <c r="AB92" s="233"/>
      <c r="AC92" s="233"/>
    </row>
    <row r="93" spans="28:29" s="234" customFormat="1" x14ac:dyDescent="0.25">
      <c r="AB93" s="233"/>
      <c r="AC93" s="233"/>
    </row>
    <row r="94" spans="28:29" s="234" customFormat="1" x14ac:dyDescent="0.25">
      <c r="AB94" s="233"/>
      <c r="AC94" s="233"/>
    </row>
    <row r="95" spans="28:29" s="234" customFormat="1" x14ac:dyDescent="0.25">
      <c r="AB95" s="233"/>
      <c r="AC95" s="233"/>
    </row>
    <row r="96" spans="28:29" s="234" customFormat="1" x14ac:dyDescent="0.25">
      <c r="AB96" s="233"/>
      <c r="AC96" s="233"/>
    </row>
    <row r="97" spans="28:29" s="234" customFormat="1" x14ac:dyDescent="0.25">
      <c r="AB97" s="233"/>
      <c r="AC97" s="233"/>
    </row>
    <row r="98" spans="28:29" s="234" customFormat="1" x14ac:dyDescent="0.25">
      <c r="AB98" s="233"/>
      <c r="AC98" s="233"/>
    </row>
    <row r="99" spans="28:29" s="234" customFormat="1" x14ac:dyDescent="0.25">
      <c r="AB99" s="233"/>
      <c r="AC99" s="233"/>
    </row>
    <row r="100" spans="28:29" s="234" customFormat="1" x14ac:dyDescent="0.25">
      <c r="AB100" s="233"/>
      <c r="AC100" s="233"/>
    </row>
    <row r="101" spans="28:29" s="234" customFormat="1" x14ac:dyDescent="0.25">
      <c r="AB101" s="233"/>
      <c r="AC101" s="233"/>
    </row>
    <row r="102" spans="28:29" s="234" customFormat="1" x14ac:dyDescent="0.25">
      <c r="AB102" s="233"/>
      <c r="AC102" s="233"/>
    </row>
    <row r="103" spans="28:29" s="234" customFormat="1" x14ac:dyDescent="0.25">
      <c r="AB103" s="233"/>
      <c r="AC103" s="233"/>
    </row>
    <row r="104" spans="28:29" s="234" customFormat="1" x14ac:dyDescent="0.25">
      <c r="AB104" s="233"/>
      <c r="AC104" s="233"/>
    </row>
    <row r="105" spans="28:29" s="234" customFormat="1" x14ac:dyDescent="0.25">
      <c r="AB105" s="233"/>
      <c r="AC105" s="233"/>
    </row>
    <row r="106" spans="28:29" s="234" customFormat="1" x14ac:dyDescent="0.25">
      <c r="AB106" s="233"/>
      <c r="AC106" s="233"/>
    </row>
    <row r="107" spans="28:29" s="234" customFormat="1" x14ac:dyDescent="0.25">
      <c r="AB107" s="233"/>
      <c r="AC107" s="233"/>
    </row>
    <row r="108" spans="28:29" s="234" customFormat="1" x14ac:dyDescent="0.25">
      <c r="AB108" s="233"/>
      <c r="AC108" s="233"/>
    </row>
    <row r="109" spans="28:29" s="234" customFormat="1" x14ac:dyDescent="0.25">
      <c r="AB109" s="233"/>
      <c r="AC109" s="233"/>
    </row>
    <row r="110" spans="28:29" s="234" customFormat="1" x14ac:dyDescent="0.25">
      <c r="AB110" s="233"/>
      <c r="AC110" s="233"/>
    </row>
    <row r="111" spans="28:29" s="234" customFormat="1" x14ac:dyDescent="0.25">
      <c r="AB111" s="233"/>
      <c r="AC111" s="233"/>
    </row>
    <row r="112" spans="28:29" s="234" customFormat="1" x14ac:dyDescent="0.25">
      <c r="AB112" s="233"/>
      <c r="AC112" s="233"/>
    </row>
    <row r="113" spans="28:30" s="234" customFormat="1" x14ac:dyDescent="0.25">
      <c r="AB113" s="233"/>
      <c r="AC113" s="233"/>
    </row>
    <row r="114" spans="28:30" s="234" customFormat="1" x14ac:dyDescent="0.25">
      <c r="AB114" s="233"/>
      <c r="AC114" s="233"/>
    </row>
    <row r="115" spans="28:30" s="234" customFormat="1" x14ac:dyDescent="0.25">
      <c r="AB115" s="233"/>
      <c r="AC115" s="233"/>
    </row>
    <row r="116" spans="28:30" s="234" customFormat="1" x14ac:dyDescent="0.25">
      <c r="AB116" s="233"/>
      <c r="AC116" s="233"/>
    </row>
    <row r="117" spans="28:30" x14ac:dyDescent="0.25">
      <c r="AD117" s="234"/>
    </row>
    <row r="118" spans="28:30" x14ac:dyDescent="0.25">
      <c r="AD118" s="234"/>
    </row>
    <row r="119" spans="28:30" x14ac:dyDescent="0.25">
      <c r="AD119" s="234"/>
    </row>
    <row r="120" spans="28:30" x14ac:dyDescent="0.25">
      <c r="AD120" s="234"/>
    </row>
    <row r="121" spans="28:30" x14ac:dyDescent="0.25">
      <c r="AD121" s="234"/>
    </row>
    <row r="122" spans="28:30" x14ac:dyDescent="0.25">
      <c r="AD122" s="234"/>
    </row>
    <row r="123" spans="28:30" x14ac:dyDescent="0.25">
      <c r="AD123" s="234"/>
    </row>
  </sheetData>
  <mergeCells count="5">
    <mergeCell ref="AD3:AF3"/>
    <mergeCell ref="A3:AA3"/>
    <mergeCell ref="A17:AA17"/>
    <mergeCell ref="A41:AA41"/>
    <mergeCell ref="A53:AA53"/>
  </mergeCells>
  <phoneticPr fontId="17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exporter_S1">
                <anchor moveWithCells="1" sizeWithCells="1">
                  <from>
                    <xdr:col>30</xdr:col>
                    <xdr:colOff>114300</xdr:colOff>
                    <xdr:row>21</xdr:row>
                    <xdr:rowOff>47625</xdr:rowOff>
                  </from>
                  <to>
                    <xdr:col>32</xdr:col>
                    <xdr:colOff>590550</xdr:colOff>
                    <xdr:row>23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5"/>
  <dimension ref="A1:CO673"/>
  <sheetViews>
    <sheetView topLeftCell="A19" zoomScale="46" zoomScaleNormal="46" workbookViewId="0">
      <selection activeCell="J42" activeCellId="3" sqref="J12:AG13 J22:AG23 J32:AG33 J42:AG43"/>
    </sheetView>
  </sheetViews>
  <sheetFormatPr baseColWidth="10" defaultColWidth="11.42578125" defaultRowHeight="15" x14ac:dyDescent="0.25"/>
  <cols>
    <col min="1" max="1" width="10" customWidth="1"/>
    <col min="4" max="4" width="6.5703125" customWidth="1"/>
    <col min="5" max="5" width="6.7109375" style="5" customWidth="1"/>
    <col min="6" max="6" width="6.5703125" customWidth="1"/>
    <col min="7" max="7" width="6.7109375" style="5" customWidth="1"/>
    <col min="8" max="8" width="20.42578125" style="22" customWidth="1"/>
    <col min="9" max="9" width="5.7109375" style="22" customWidth="1"/>
    <col min="10" max="31" width="7.28515625" style="22" customWidth="1"/>
    <col min="32" max="33" width="7.28515625" customWidth="1"/>
    <col min="34" max="34" width="5.7109375" customWidth="1"/>
    <col min="35" max="36" width="6.85546875" style="23" customWidth="1"/>
    <col min="37" max="37" width="7.42578125" style="23" customWidth="1"/>
    <col min="38" max="93" width="11.42578125" style="23"/>
  </cols>
  <sheetData>
    <row r="1" spans="1:93" s="24" customFormat="1" ht="15.75" thickBot="1" x14ac:dyDescent="0.3">
      <c r="E1" s="23"/>
      <c r="G1" s="23"/>
      <c r="H1" s="25"/>
      <c r="I1" s="25"/>
      <c r="J1" s="25"/>
      <c r="K1" s="23" t="s">
        <v>70</v>
      </c>
      <c r="L1" s="23" t="s">
        <v>71</v>
      </c>
      <c r="M1" s="23" t="s">
        <v>72</v>
      </c>
      <c r="N1" s="23"/>
      <c r="O1" s="23" t="s">
        <v>74</v>
      </c>
      <c r="P1" s="23" t="s">
        <v>56</v>
      </c>
      <c r="Q1" s="25"/>
      <c r="R1" s="25"/>
      <c r="S1" s="25"/>
      <c r="T1" s="25"/>
      <c r="U1" s="25"/>
      <c r="V1" s="25"/>
      <c r="W1" s="25"/>
      <c r="X1" s="25"/>
      <c r="Y1" s="25"/>
      <c r="Z1" s="25"/>
      <c r="AA1" s="25"/>
      <c r="AB1" s="25"/>
      <c r="AC1" s="25"/>
      <c r="AD1" s="25"/>
      <c r="AE1" s="25"/>
      <c r="AH1"/>
      <c r="AI1" s="23"/>
      <c r="AJ1" s="23"/>
      <c r="AK1" s="23"/>
      <c r="AL1" s="23"/>
      <c r="AM1" s="23"/>
      <c r="AN1" s="23"/>
      <c r="AO1" s="23"/>
      <c r="AP1" s="23"/>
      <c r="AQ1" s="23"/>
      <c r="AR1" s="23"/>
      <c r="AS1" s="23"/>
      <c r="AT1" s="23"/>
      <c r="AU1" s="23"/>
      <c r="AV1" s="23"/>
      <c r="AW1" s="23"/>
      <c r="AX1" s="23"/>
      <c r="AY1" s="23"/>
      <c r="AZ1" s="23"/>
      <c r="BA1" s="23"/>
      <c r="BB1" s="23"/>
      <c r="BC1" s="23"/>
      <c r="BD1" s="23"/>
      <c r="BE1" s="23"/>
      <c r="BF1" s="23"/>
      <c r="BG1" s="23"/>
      <c r="BH1" s="23"/>
      <c r="BI1" s="23"/>
      <c r="BJ1" s="23"/>
      <c r="BK1" s="23"/>
      <c r="BL1" s="23"/>
      <c r="BM1" s="23"/>
      <c r="BN1" s="23"/>
      <c r="BO1" s="23"/>
      <c r="BP1" s="23"/>
      <c r="BQ1" s="23"/>
      <c r="BR1" s="23"/>
      <c r="BS1" s="23"/>
      <c r="BT1" s="23"/>
      <c r="BU1" s="23"/>
      <c r="BV1" s="23"/>
      <c r="BW1" s="23"/>
      <c r="BX1" s="23"/>
      <c r="BY1" s="23"/>
      <c r="BZ1" s="23"/>
      <c r="CA1" s="23"/>
      <c r="CB1" s="23"/>
      <c r="CC1" s="23"/>
      <c r="CD1" s="23"/>
      <c r="CE1" s="23"/>
      <c r="CF1" s="23"/>
      <c r="CG1" s="23"/>
      <c r="CH1" s="23"/>
      <c r="CI1" s="23"/>
      <c r="CJ1" s="23"/>
      <c r="CK1" s="23"/>
      <c r="CL1" s="23"/>
      <c r="CM1" s="23"/>
      <c r="CN1" s="23"/>
      <c r="CO1" s="23"/>
    </row>
    <row r="2" spans="1:93" s="24" customFormat="1" ht="25.5" customHeight="1" thickBot="1" x14ac:dyDescent="0.3">
      <c r="A2" s="120" t="s">
        <v>103</v>
      </c>
      <c r="B2" s="1" t="str">
        <f>J4</f>
        <v>W2/20</v>
      </c>
      <c r="D2" s="23"/>
      <c r="E2" s="23"/>
      <c r="F2" s="23"/>
      <c r="G2" s="23"/>
      <c r="H2" s="23"/>
      <c r="L2" s="23"/>
      <c r="M2" s="23"/>
      <c r="N2" s="23"/>
      <c r="O2" s="23"/>
      <c r="AF2" s="23"/>
      <c r="AG2" s="23"/>
      <c r="AH2"/>
      <c r="AK2" s="23"/>
      <c r="AL2" s="23"/>
      <c r="AM2" s="23"/>
      <c r="AN2" s="23"/>
      <c r="AO2" s="23"/>
      <c r="AP2" s="23"/>
      <c r="AQ2" s="23"/>
      <c r="AR2" s="23"/>
      <c r="AS2" s="23"/>
      <c r="AT2" s="23"/>
      <c r="AU2" s="23"/>
      <c r="AV2" s="23"/>
      <c r="AW2" s="23"/>
      <c r="AX2" s="23"/>
      <c r="AY2" s="23"/>
      <c r="AZ2" s="23"/>
      <c r="BA2" s="23"/>
      <c r="BB2" s="23"/>
      <c r="BC2" s="23"/>
      <c r="BD2" s="23"/>
      <c r="BE2" s="23"/>
      <c r="BF2" s="23"/>
      <c r="BG2" s="23"/>
      <c r="BH2" s="23"/>
      <c r="BI2" s="23"/>
      <c r="BJ2" s="23"/>
      <c r="BK2" s="23"/>
      <c r="BL2" s="23"/>
      <c r="BM2" s="23"/>
      <c r="BN2" s="23"/>
      <c r="BO2" s="23"/>
      <c r="BP2" s="23"/>
      <c r="BQ2" s="23"/>
      <c r="BR2" s="23"/>
      <c r="BS2" s="23"/>
      <c r="BT2" s="23"/>
      <c r="BU2" s="23"/>
      <c r="BV2" s="23"/>
      <c r="BW2" s="23"/>
      <c r="BX2" s="23"/>
      <c r="BY2" s="23"/>
      <c r="BZ2" s="23"/>
      <c r="CA2" s="23"/>
      <c r="CB2" s="23"/>
      <c r="CC2" s="23"/>
      <c r="CD2" s="23"/>
      <c r="CE2" s="23"/>
      <c r="CF2" s="23"/>
      <c r="CG2" s="23"/>
      <c r="CH2" s="23"/>
      <c r="CI2" s="23"/>
      <c r="CJ2" s="23"/>
      <c r="CK2" s="23"/>
      <c r="CL2" s="23"/>
      <c r="CM2" s="23"/>
      <c r="CN2" s="23"/>
      <c r="CO2" s="23"/>
    </row>
    <row r="3" spans="1:93" s="141" customFormat="1" ht="19.5" customHeight="1" x14ac:dyDescent="0.35">
      <c r="A3" s="23"/>
      <c r="B3" s="23"/>
      <c r="C3" s="23"/>
      <c r="D3" s="40"/>
      <c r="E3" s="23"/>
      <c r="F3" s="40"/>
      <c r="G3" s="23"/>
      <c r="H3" s="23"/>
      <c r="I3" s="23"/>
      <c r="J3" s="23"/>
      <c r="K3" s="23"/>
      <c r="L3" s="23"/>
      <c r="M3" s="23"/>
      <c r="N3" s="23"/>
      <c r="O3" s="23"/>
      <c r="P3" s="23"/>
      <c r="Q3" s="23"/>
      <c r="R3" s="23"/>
      <c r="S3" s="23"/>
      <c r="T3" s="23"/>
      <c r="U3" s="23"/>
      <c r="V3" s="23"/>
      <c r="W3" s="23"/>
      <c r="X3" s="23"/>
      <c r="Y3" s="23"/>
      <c r="Z3" s="23"/>
      <c r="AA3" s="23"/>
      <c r="AB3" s="23"/>
      <c r="AC3" s="23"/>
      <c r="AD3" s="23"/>
      <c r="AE3" s="23"/>
      <c r="AF3" s="23"/>
      <c r="AG3" s="23"/>
      <c r="AH3"/>
      <c r="AI3" s="24"/>
      <c r="AJ3" s="24"/>
      <c r="AK3" s="23"/>
      <c r="AL3" s="23"/>
      <c r="AM3" s="23"/>
      <c r="AN3" s="23"/>
      <c r="AO3" s="23"/>
      <c r="AP3" s="23"/>
      <c r="AQ3" s="23"/>
      <c r="AR3" s="23"/>
      <c r="AS3" s="23"/>
      <c r="AT3" s="23"/>
      <c r="AU3" s="23"/>
      <c r="AV3" s="23"/>
      <c r="AW3" s="23"/>
      <c r="AX3" s="23"/>
      <c r="AY3" s="23"/>
      <c r="AZ3" s="23"/>
      <c r="BA3" s="23"/>
      <c r="BB3" s="23"/>
      <c r="BC3" s="23"/>
      <c r="BD3" s="23"/>
      <c r="BE3" s="23"/>
      <c r="BF3" s="23"/>
      <c r="BG3" s="23"/>
      <c r="BH3" s="23"/>
      <c r="BI3" s="23"/>
      <c r="BJ3" s="23"/>
      <c r="BK3" s="23"/>
      <c r="BL3" s="23"/>
      <c r="BM3" s="23"/>
      <c r="BN3" s="23"/>
      <c r="BO3" s="23"/>
      <c r="BP3" s="23"/>
      <c r="BQ3" s="23"/>
      <c r="BR3" s="23"/>
      <c r="BS3" s="23"/>
      <c r="BT3" s="23"/>
      <c r="BU3" s="23"/>
      <c r="BV3" s="23"/>
      <c r="BW3" s="23"/>
      <c r="BX3" s="23"/>
      <c r="BY3" s="23"/>
      <c r="BZ3" s="23"/>
      <c r="CA3" s="23"/>
      <c r="CB3" s="23"/>
      <c r="CC3" s="23"/>
      <c r="CD3" s="23"/>
      <c r="CE3" s="23"/>
      <c r="CF3" s="23"/>
      <c r="CG3" s="23"/>
      <c r="CH3" s="23"/>
      <c r="CI3" s="23"/>
      <c r="CJ3" s="23"/>
      <c r="CK3" s="23"/>
      <c r="CL3" s="23"/>
      <c r="CM3" s="23"/>
      <c r="CN3" s="23"/>
      <c r="CO3" s="23"/>
    </row>
    <row r="4" spans="1:93" ht="22.5" customHeight="1" x14ac:dyDescent="0.25">
      <c r="A4" s="68" t="s">
        <v>121</v>
      </c>
      <c r="B4" s="68" t="s">
        <v>122</v>
      </c>
      <c r="C4" s="68" t="s">
        <v>105</v>
      </c>
      <c r="D4" s="68" t="s">
        <v>123</v>
      </c>
      <c r="E4" s="68" t="s">
        <v>101</v>
      </c>
      <c r="F4" s="68" t="s">
        <v>124</v>
      </c>
      <c r="G4" s="130" t="s">
        <v>125</v>
      </c>
      <c r="H4" s="146" t="s">
        <v>102</v>
      </c>
      <c r="I4" s="210" t="s">
        <v>76</v>
      </c>
      <c r="J4" s="210" t="s">
        <v>77</v>
      </c>
      <c r="K4" s="210" t="s">
        <v>78</v>
      </c>
      <c r="L4" s="210" t="s">
        <v>79</v>
      </c>
      <c r="M4" s="210" t="s">
        <v>80</v>
      </c>
      <c r="N4" s="210" t="s">
        <v>81</v>
      </c>
      <c r="O4" s="210" t="s">
        <v>82</v>
      </c>
      <c r="P4" s="210" t="s">
        <v>83</v>
      </c>
      <c r="Q4" s="210" t="s">
        <v>84</v>
      </c>
      <c r="R4" s="210" t="s">
        <v>85</v>
      </c>
      <c r="S4" s="210" t="s">
        <v>86</v>
      </c>
      <c r="T4" s="210" t="s">
        <v>87</v>
      </c>
      <c r="U4" s="210" t="s">
        <v>88</v>
      </c>
      <c r="V4" s="210" t="s">
        <v>89</v>
      </c>
      <c r="W4" s="210" t="s">
        <v>90</v>
      </c>
      <c r="X4" s="210" t="s">
        <v>91</v>
      </c>
      <c r="Y4" s="210" t="s">
        <v>92</v>
      </c>
      <c r="Z4" s="210" t="s">
        <v>93</v>
      </c>
      <c r="AA4" s="210" t="s">
        <v>94</v>
      </c>
      <c r="AB4" s="210" t="s">
        <v>95</v>
      </c>
      <c r="AC4" s="210" t="s">
        <v>96</v>
      </c>
      <c r="AD4" s="210" t="s">
        <v>97</v>
      </c>
      <c r="AE4" s="210" t="s">
        <v>98</v>
      </c>
      <c r="AF4" s="211" t="s">
        <v>99</v>
      </c>
      <c r="AG4" s="210" t="s">
        <v>100</v>
      </c>
      <c r="AH4" s="210"/>
      <c r="AI4" s="210"/>
      <c r="AJ4" s="210"/>
      <c r="AK4" s="210"/>
      <c r="CL4"/>
      <c r="CM4"/>
      <c r="CN4"/>
      <c r="CO4"/>
    </row>
    <row r="5" spans="1:93" ht="22.5" customHeight="1" x14ac:dyDescent="0.25">
      <c r="A5" s="30">
        <v>1000</v>
      </c>
      <c r="B5" s="102" t="s">
        <v>29</v>
      </c>
      <c r="C5" s="103" t="s">
        <v>50</v>
      </c>
      <c r="D5" s="116" t="s">
        <v>33</v>
      </c>
      <c r="E5" s="103" t="s">
        <v>50</v>
      </c>
      <c r="F5" s="116" t="s">
        <v>33</v>
      </c>
      <c r="G5" s="30">
        <v>0</v>
      </c>
      <c r="H5" s="168" t="s">
        <v>115</v>
      </c>
      <c r="I5" s="169"/>
      <c r="J5" s="263">
        <f>J8</f>
        <v>10</v>
      </c>
      <c r="K5" s="169"/>
      <c r="L5" s="169"/>
      <c r="M5" s="169"/>
      <c r="N5" s="169"/>
      <c r="O5" s="169"/>
      <c r="P5" s="169"/>
      <c r="Q5" s="169"/>
      <c r="R5" s="169"/>
      <c r="S5" s="169"/>
      <c r="T5" s="169"/>
      <c r="U5" s="169"/>
      <c r="V5" s="169"/>
      <c r="W5" s="169"/>
      <c r="X5" s="169"/>
      <c r="Y5" s="169"/>
      <c r="Z5" s="169"/>
      <c r="AA5" s="169"/>
      <c r="AB5" s="169"/>
      <c r="AC5" s="169"/>
      <c r="AD5" s="169"/>
      <c r="AE5" s="169"/>
      <c r="AF5" s="169"/>
      <c r="AG5" s="169"/>
      <c r="AH5" s="263"/>
      <c r="AI5" s="263"/>
      <c r="AJ5" s="263"/>
      <c r="AK5" s="263"/>
      <c r="AL5" s="24"/>
      <c r="AM5" s="24"/>
      <c r="AN5" s="24"/>
      <c r="AO5" s="24"/>
      <c r="AP5" s="24"/>
      <c r="AQ5" s="24"/>
      <c r="AR5" s="24"/>
      <c r="AS5" s="24"/>
      <c r="AT5" s="24"/>
      <c r="AU5" s="24"/>
      <c r="AV5" s="24"/>
      <c r="AW5" s="24"/>
      <c r="AX5" s="24"/>
      <c r="AY5" s="24"/>
      <c r="AZ5" s="24"/>
      <c r="BA5" s="24"/>
      <c r="BB5" s="24"/>
      <c r="BC5" s="24"/>
      <c r="BD5" s="24"/>
      <c r="BE5" s="24"/>
      <c r="BF5" s="24"/>
      <c r="BG5" s="24"/>
      <c r="BH5" s="24"/>
      <c r="BI5" s="24"/>
      <c r="BJ5" s="24"/>
      <c r="BK5" s="24"/>
      <c r="BL5" s="24"/>
      <c r="BM5" s="24"/>
      <c r="BN5" s="24"/>
      <c r="BO5" s="24"/>
      <c r="BP5" s="24"/>
      <c r="BQ5" s="24"/>
      <c r="BR5" s="24"/>
      <c r="BS5" s="24"/>
      <c r="BT5" s="24"/>
      <c r="BU5" s="24"/>
      <c r="BV5" s="24"/>
      <c r="BW5" s="24"/>
      <c r="BX5" s="24"/>
      <c r="BY5" s="24"/>
      <c r="BZ5" s="24"/>
      <c r="CA5" s="24"/>
      <c r="CB5" s="24"/>
      <c r="CC5" s="24"/>
      <c r="CD5" s="24"/>
      <c r="CE5" s="24"/>
      <c r="CF5" s="24"/>
      <c r="CG5" s="24"/>
      <c r="CH5" s="24"/>
      <c r="CI5" s="24"/>
      <c r="CJ5" s="24"/>
      <c r="CK5" s="24"/>
      <c r="CL5" s="24"/>
      <c r="CM5"/>
      <c r="CN5"/>
      <c r="CO5"/>
    </row>
    <row r="6" spans="1:93" ht="22.5" customHeight="1" x14ac:dyDescent="0.25">
      <c r="A6" s="30">
        <v>1000</v>
      </c>
      <c r="B6" s="102" t="s">
        <v>29</v>
      </c>
      <c r="C6" s="103" t="s">
        <v>49</v>
      </c>
      <c r="D6" s="42" t="s">
        <v>48</v>
      </c>
      <c r="E6" s="103" t="s">
        <v>50</v>
      </c>
      <c r="F6" s="116" t="s">
        <v>33</v>
      </c>
      <c r="G6" s="30">
        <v>0</v>
      </c>
      <c r="H6" s="168" t="s">
        <v>116</v>
      </c>
      <c r="I6" s="169"/>
      <c r="J6" s="263">
        <f>J10</f>
        <v>0</v>
      </c>
      <c r="K6" s="169"/>
      <c r="L6" s="169"/>
      <c r="M6" s="169"/>
      <c r="N6" s="169"/>
      <c r="O6" s="169"/>
      <c r="P6" s="169"/>
      <c r="Q6" s="169"/>
      <c r="R6" s="169"/>
      <c r="S6" s="169"/>
      <c r="T6" s="169"/>
      <c r="U6" s="169"/>
      <c r="V6" s="169"/>
      <c r="W6" s="169"/>
      <c r="X6" s="169"/>
      <c r="Y6" s="169"/>
      <c r="Z6" s="169"/>
      <c r="AA6" s="169"/>
      <c r="AB6" s="169"/>
      <c r="AC6" s="169"/>
      <c r="AD6" s="169"/>
      <c r="AE6" s="169"/>
      <c r="AF6" s="169"/>
      <c r="AG6" s="169"/>
      <c r="AH6" s="263"/>
      <c r="AI6" s="263"/>
      <c r="AJ6" s="263"/>
      <c r="AK6" s="263"/>
      <c r="AL6" s="24"/>
      <c r="AM6" s="24"/>
      <c r="AN6" s="24"/>
      <c r="AO6" s="24"/>
      <c r="AP6" s="24"/>
      <c r="AQ6" s="24"/>
      <c r="AR6" s="24"/>
      <c r="AS6" s="24"/>
      <c r="AT6" s="24"/>
      <c r="AU6" s="24"/>
      <c r="AV6" s="24"/>
      <c r="AW6" s="24"/>
      <c r="AX6" s="24"/>
      <c r="AY6" s="24"/>
      <c r="AZ6" s="24"/>
      <c r="BA6" s="24"/>
      <c r="BB6" s="24"/>
      <c r="BC6" s="24"/>
      <c r="BD6" s="24"/>
      <c r="BE6" s="24"/>
      <c r="BF6" s="24"/>
      <c r="BG6" s="24"/>
      <c r="BH6" s="24"/>
      <c r="BI6" s="24"/>
      <c r="BJ6" s="24"/>
      <c r="BK6" s="24"/>
      <c r="BL6" s="24"/>
      <c r="BM6" s="24"/>
      <c r="BN6" s="24"/>
      <c r="BO6" s="24"/>
      <c r="BP6" s="24"/>
      <c r="BQ6" s="24"/>
      <c r="BR6" s="24"/>
      <c r="BS6" s="24"/>
      <c r="BT6" s="24"/>
      <c r="BU6" s="24"/>
      <c r="BV6" s="24"/>
      <c r="BW6" s="24"/>
      <c r="BX6" s="24"/>
      <c r="BY6" s="24"/>
      <c r="BZ6" s="24"/>
      <c r="CA6" s="24"/>
      <c r="CB6" s="24"/>
      <c r="CC6" s="24"/>
      <c r="CD6" s="24"/>
      <c r="CE6" s="24"/>
      <c r="CF6" s="24"/>
      <c r="CG6" s="24"/>
      <c r="CH6" s="24"/>
      <c r="CI6" s="24"/>
      <c r="CJ6" s="24"/>
      <c r="CK6" s="24"/>
      <c r="CL6" s="24"/>
      <c r="CM6"/>
      <c r="CN6"/>
      <c r="CO6"/>
    </row>
    <row r="7" spans="1:93" ht="22.5" customHeight="1" thickBot="1" x14ac:dyDescent="0.3">
      <c r="A7" s="30">
        <v>1000</v>
      </c>
      <c r="B7" s="102" t="s">
        <v>29</v>
      </c>
      <c r="C7" s="103" t="s">
        <v>50</v>
      </c>
      <c r="D7" s="116" t="s">
        <v>33</v>
      </c>
      <c r="E7" s="103" t="s">
        <v>50</v>
      </c>
      <c r="F7" s="116" t="s">
        <v>33</v>
      </c>
      <c r="G7" s="30">
        <v>0</v>
      </c>
      <c r="H7" s="168" t="s">
        <v>120</v>
      </c>
      <c r="I7" s="38">
        <f>MJ_Initialisation!AF6</f>
        <v>300</v>
      </c>
      <c r="J7" s="293">
        <f>I7+J6-J5</f>
        <v>290</v>
      </c>
      <c r="K7" s="169"/>
      <c r="L7" s="169"/>
      <c r="M7" s="169"/>
      <c r="N7" s="169"/>
      <c r="O7" s="169"/>
      <c r="P7" s="169"/>
      <c r="Q7" s="169"/>
      <c r="R7" s="169"/>
      <c r="S7" s="169"/>
      <c r="T7" s="169"/>
      <c r="U7" s="169"/>
      <c r="V7" s="169"/>
      <c r="W7" s="169"/>
      <c r="X7" s="169"/>
      <c r="Y7" s="169"/>
      <c r="Z7" s="169"/>
      <c r="AA7" s="169"/>
      <c r="AB7" s="169"/>
      <c r="AC7" s="169"/>
      <c r="AD7" s="169"/>
      <c r="AE7" s="169"/>
      <c r="AF7" s="169"/>
      <c r="AG7" s="169"/>
      <c r="AH7" s="263"/>
      <c r="AI7" s="263"/>
      <c r="AJ7" s="263"/>
      <c r="AK7" s="263"/>
      <c r="AL7" s="24"/>
      <c r="AM7" s="24"/>
      <c r="AN7" s="24"/>
      <c r="AO7" s="24"/>
      <c r="AP7" s="24"/>
      <c r="AQ7" s="24"/>
      <c r="AR7" s="24"/>
      <c r="AS7" s="24"/>
      <c r="AT7" s="24"/>
      <c r="AU7" s="24"/>
      <c r="AV7" s="24"/>
      <c r="AW7" s="24"/>
      <c r="AX7" s="24"/>
      <c r="AY7" s="24"/>
      <c r="AZ7" s="24"/>
      <c r="BA7" s="24"/>
      <c r="BB7" s="24"/>
      <c r="BC7" s="24"/>
      <c r="BD7" s="24"/>
      <c r="BE7" s="24"/>
      <c r="BF7" s="24"/>
      <c r="BG7" s="24"/>
      <c r="BH7" s="24"/>
      <c r="BI7" s="24"/>
      <c r="BJ7" s="24"/>
      <c r="BK7" s="24"/>
      <c r="BL7" s="24"/>
      <c r="BM7" s="24"/>
      <c r="BN7" s="24"/>
      <c r="BO7" s="24"/>
      <c r="BP7" s="24"/>
      <c r="BQ7" s="24"/>
      <c r="BR7" s="24"/>
      <c r="BS7" s="24"/>
      <c r="BT7" s="24"/>
      <c r="BU7" s="24"/>
      <c r="BV7" s="24"/>
      <c r="BW7" s="24"/>
      <c r="BX7" s="24"/>
      <c r="BY7" s="24"/>
      <c r="BZ7" s="24"/>
      <c r="CA7" s="24"/>
      <c r="CB7" s="24"/>
      <c r="CC7" s="24"/>
      <c r="CD7" s="24"/>
      <c r="CE7" s="24"/>
      <c r="CF7" s="24"/>
      <c r="CG7" s="24"/>
      <c r="CH7" s="24"/>
      <c r="CI7" s="24"/>
      <c r="CJ7" s="24"/>
      <c r="CK7" s="24"/>
      <c r="CL7" s="24"/>
      <c r="CM7"/>
      <c r="CN7"/>
      <c r="CO7"/>
    </row>
    <row r="8" spans="1:93" ht="19.5" customHeight="1" x14ac:dyDescent="0.25">
      <c r="A8" s="30">
        <v>1000</v>
      </c>
      <c r="B8" s="102" t="s">
        <v>29</v>
      </c>
      <c r="C8" s="103" t="s">
        <v>50</v>
      </c>
      <c r="D8" s="116" t="s">
        <v>33</v>
      </c>
      <c r="E8" s="103" t="s">
        <v>50</v>
      </c>
      <c r="F8" s="116" t="s">
        <v>33</v>
      </c>
      <c r="G8" s="30">
        <v>0</v>
      </c>
      <c r="H8" s="27" t="s">
        <v>26</v>
      </c>
      <c r="I8" s="28"/>
      <c r="J8" s="29">
        <f>MJ_Initialisation!D6</f>
        <v>10</v>
      </c>
      <c r="K8" s="29">
        <f>MJ_Initialisation!E6</f>
        <v>60</v>
      </c>
      <c r="L8" s="29">
        <f>MJ_Initialisation!F6</f>
        <v>200</v>
      </c>
      <c r="M8" s="29">
        <f>MJ_Initialisation!G6</f>
        <v>80</v>
      </c>
      <c r="N8" s="29">
        <f>MJ_Initialisation!H6</f>
        <v>70</v>
      </c>
      <c r="O8" s="29">
        <f>MJ_Initialisation!I6</f>
        <v>150</v>
      </c>
      <c r="P8" s="29">
        <f>MJ_Initialisation!J6</f>
        <v>130</v>
      </c>
      <c r="Q8" s="29">
        <f>MJ_Initialisation!K6</f>
        <v>200</v>
      </c>
      <c r="R8" s="29">
        <f>MJ_Initialisation!L6</f>
        <v>70</v>
      </c>
      <c r="S8" s="29">
        <f>MJ_Initialisation!M6</f>
        <v>160</v>
      </c>
      <c r="T8" s="29">
        <f>MJ_Initialisation!N6</f>
        <v>170</v>
      </c>
      <c r="U8" s="29">
        <f>MJ_Initialisation!O6</f>
        <v>130</v>
      </c>
      <c r="V8" s="29">
        <f>MJ_Initialisation!P6</f>
        <v>30</v>
      </c>
      <c r="W8" s="29">
        <f>MJ_Initialisation!Q6</f>
        <v>120</v>
      </c>
      <c r="X8" s="29">
        <f>MJ_Initialisation!R6</f>
        <v>40</v>
      </c>
      <c r="Y8" s="29">
        <f>MJ_Initialisation!S6</f>
        <v>150</v>
      </c>
      <c r="Z8" s="29">
        <f>MJ_Initialisation!T6</f>
        <v>150</v>
      </c>
      <c r="AA8" s="29">
        <f>MJ_Initialisation!U6</f>
        <v>20</v>
      </c>
      <c r="AB8" s="29">
        <f>MJ_Initialisation!V6</f>
        <v>170</v>
      </c>
      <c r="AC8" s="29">
        <f>MJ_Initialisation!W6</f>
        <v>40</v>
      </c>
      <c r="AD8" s="29">
        <f>MJ_Initialisation!X6</f>
        <v>130</v>
      </c>
      <c r="AE8" s="29">
        <f>MJ_Initialisation!Y6</f>
        <v>100</v>
      </c>
      <c r="AF8" s="29">
        <f>MJ_Initialisation!Z6</f>
        <v>190</v>
      </c>
      <c r="AG8" s="29">
        <f>MJ_Initialisation!AA6</f>
        <v>40</v>
      </c>
      <c r="AH8" s="235"/>
      <c r="AI8" s="235"/>
      <c r="AJ8" s="235"/>
      <c r="AK8" s="235"/>
      <c r="CL8"/>
      <c r="CM8"/>
      <c r="CN8"/>
      <c r="CO8"/>
    </row>
    <row r="9" spans="1:93" ht="19.5" customHeight="1" x14ac:dyDescent="0.25">
      <c r="A9" s="30">
        <v>1000</v>
      </c>
      <c r="B9" s="102" t="s">
        <v>29</v>
      </c>
      <c r="C9" s="103" t="s">
        <v>50</v>
      </c>
      <c r="D9" s="116" t="s">
        <v>33</v>
      </c>
      <c r="E9" s="103" t="s">
        <v>50</v>
      </c>
      <c r="F9" s="116" t="s">
        <v>33</v>
      </c>
      <c r="G9" s="30">
        <v>0</v>
      </c>
      <c r="H9" s="125" t="s">
        <v>24</v>
      </c>
      <c r="I9" s="31"/>
      <c r="J9" s="6">
        <v>200</v>
      </c>
      <c r="K9" s="223">
        <v>200</v>
      </c>
      <c r="L9" s="223">
        <v>200</v>
      </c>
      <c r="M9" s="223">
        <v>200</v>
      </c>
      <c r="N9" s="223">
        <v>200</v>
      </c>
      <c r="O9" s="223">
        <v>200</v>
      </c>
      <c r="P9" s="223">
        <v>200</v>
      </c>
      <c r="Q9" s="223">
        <v>200</v>
      </c>
      <c r="R9" s="223">
        <v>200</v>
      </c>
      <c r="S9" s="223">
        <v>200</v>
      </c>
      <c r="T9" s="223">
        <v>200</v>
      </c>
      <c r="U9" s="223">
        <v>200</v>
      </c>
      <c r="V9" s="223">
        <v>200</v>
      </c>
      <c r="W9" s="223">
        <v>200</v>
      </c>
      <c r="X9" s="223">
        <v>200</v>
      </c>
      <c r="Y9" s="223">
        <v>200</v>
      </c>
      <c r="Z9" s="223">
        <v>200</v>
      </c>
      <c r="AA9" s="223">
        <v>200</v>
      </c>
      <c r="AB9" s="223">
        <v>200</v>
      </c>
      <c r="AC9" s="223">
        <v>200</v>
      </c>
      <c r="AD9" s="223">
        <v>200</v>
      </c>
      <c r="AE9" s="223">
        <v>200</v>
      </c>
      <c r="AF9" s="223">
        <v>200</v>
      </c>
      <c r="AG9" s="223">
        <v>200</v>
      </c>
      <c r="AH9" s="223"/>
      <c r="AI9" s="223"/>
      <c r="AJ9" s="223"/>
      <c r="AK9" s="223"/>
      <c r="CL9"/>
      <c r="CM9"/>
      <c r="CN9"/>
      <c r="CO9"/>
    </row>
    <row r="10" spans="1:93" s="10" customFormat="1" ht="19.5" customHeight="1" thickBot="1" x14ac:dyDescent="0.3">
      <c r="A10" s="30">
        <v>1000</v>
      </c>
      <c r="B10" s="102" t="s">
        <v>29</v>
      </c>
      <c r="C10" s="103" t="s">
        <v>49</v>
      </c>
      <c r="D10" s="42" t="s">
        <v>48</v>
      </c>
      <c r="E10" s="103" t="s">
        <v>50</v>
      </c>
      <c r="F10" s="116" t="s">
        <v>33</v>
      </c>
      <c r="G10" s="30">
        <v>0</v>
      </c>
      <c r="H10" s="32" t="s">
        <v>41</v>
      </c>
      <c r="I10" s="33"/>
      <c r="J10" s="34">
        <f>MJ_Initialisation!D20</f>
        <v>0</v>
      </c>
      <c r="K10" s="34">
        <f>MJ_Initialisation!E20</f>
        <v>0</v>
      </c>
      <c r="L10" s="34">
        <f>MJ_Initialisation!F20</f>
        <v>170</v>
      </c>
      <c r="M10" s="34">
        <f>MJ_Initialisation!G20</f>
        <v>80</v>
      </c>
      <c r="N10" s="34">
        <f>MJ_Initialisation!H20</f>
        <v>70</v>
      </c>
      <c r="O10" s="34">
        <f>MJ_Initialisation!I20</f>
        <v>150</v>
      </c>
      <c r="P10" s="34">
        <f>MJ_Initialisation!J20</f>
        <v>130</v>
      </c>
      <c r="Q10" s="34">
        <f>MJ_Initialisation!K20</f>
        <v>200</v>
      </c>
      <c r="R10" s="34">
        <f>MJ_Initialisation!L20</f>
        <v>70</v>
      </c>
      <c r="S10" s="34">
        <f>MJ_Initialisation!M20</f>
        <v>160</v>
      </c>
      <c r="T10" s="34">
        <f>MJ_Initialisation!N20</f>
        <v>170</v>
      </c>
      <c r="U10" s="34">
        <f>MJ_Initialisation!O20</f>
        <v>130</v>
      </c>
      <c r="V10" s="34">
        <f>MJ_Initialisation!P20</f>
        <v>30</v>
      </c>
      <c r="W10" s="34">
        <f>MJ_Initialisation!Q20</f>
        <v>120</v>
      </c>
      <c r="X10" s="34">
        <f>MJ_Initialisation!R20</f>
        <v>40</v>
      </c>
      <c r="Y10" s="34">
        <f>MJ_Initialisation!S20</f>
        <v>150</v>
      </c>
      <c r="Z10" s="34">
        <f>MJ_Initialisation!T20</f>
        <v>150</v>
      </c>
      <c r="AA10" s="34">
        <f>MJ_Initialisation!U20</f>
        <v>20</v>
      </c>
      <c r="AB10" s="34">
        <f>MJ_Initialisation!V20</f>
        <v>170</v>
      </c>
      <c r="AC10" s="34">
        <f>MJ_Initialisation!W20</f>
        <v>40</v>
      </c>
      <c r="AD10" s="34">
        <f>MJ_Initialisation!X20</f>
        <v>130</v>
      </c>
      <c r="AE10" s="34">
        <f>MJ_Initialisation!Y20</f>
        <v>100</v>
      </c>
      <c r="AF10" s="34">
        <f>MJ_Initialisation!Z20</f>
        <v>190</v>
      </c>
      <c r="AG10" s="34">
        <f>MJ_Initialisation!AA20</f>
        <v>40</v>
      </c>
      <c r="AH10" s="236"/>
      <c r="AI10" s="236"/>
      <c r="AJ10" s="236"/>
      <c r="AK10" s="236"/>
      <c r="AL10" s="23"/>
      <c r="AM10" s="23"/>
      <c r="AN10" s="23"/>
      <c r="AO10" s="23"/>
      <c r="AP10" s="23"/>
      <c r="AQ10" s="23"/>
      <c r="AR10" s="23"/>
      <c r="AS10" s="23"/>
      <c r="AT10" s="23"/>
      <c r="AU10" s="23"/>
      <c r="AV10" s="23"/>
      <c r="AW10" s="23"/>
      <c r="AX10" s="23"/>
      <c r="AY10" s="23"/>
      <c r="AZ10" s="23"/>
      <c r="BA10" s="23"/>
      <c r="BB10" s="23"/>
      <c r="BC10" s="23"/>
      <c r="BD10" s="23"/>
      <c r="BE10" s="23"/>
      <c r="BF10" s="23"/>
      <c r="BG10" s="23"/>
      <c r="BH10" s="23"/>
      <c r="BI10" s="23"/>
      <c r="BJ10" s="23"/>
      <c r="BK10" s="23"/>
      <c r="BL10" s="23"/>
      <c r="BM10" s="23"/>
      <c r="BN10" s="23"/>
      <c r="BO10" s="23"/>
      <c r="BP10" s="23"/>
      <c r="BQ10" s="23"/>
      <c r="BR10" s="23"/>
      <c r="BS10" s="23"/>
      <c r="BT10" s="23"/>
      <c r="BU10" s="23"/>
      <c r="BV10" s="23"/>
      <c r="BW10" s="23"/>
      <c r="BX10" s="23"/>
      <c r="BY10" s="23"/>
      <c r="BZ10" s="23"/>
      <c r="CA10" s="23"/>
      <c r="CB10" s="23"/>
      <c r="CC10" s="23"/>
      <c r="CD10" s="23"/>
      <c r="CE10" s="23"/>
      <c r="CF10" s="23"/>
      <c r="CG10" s="23"/>
      <c r="CH10" s="23"/>
      <c r="CI10" s="23"/>
      <c r="CJ10" s="23"/>
      <c r="CK10" s="23"/>
    </row>
    <row r="11" spans="1:93" s="11" customFormat="1" ht="19.5" customHeight="1" x14ac:dyDescent="0.25">
      <c r="A11" s="30">
        <v>1000</v>
      </c>
      <c r="B11" s="102" t="s">
        <v>29</v>
      </c>
      <c r="C11" s="103" t="s">
        <v>49</v>
      </c>
      <c r="D11" s="42" t="s">
        <v>48</v>
      </c>
      <c r="E11" s="103" t="s">
        <v>50</v>
      </c>
      <c r="F11" s="116" t="s">
        <v>33</v>
      </c>
      <c r="G11" s="30">
        <v>0</v>
      </c>
      <c r="H11" s="35" t="s">
        <v>27</v>
      </c>
      <c r="I11" s="31"/>
      <c r="J11" s="93"/>
      <c r="K11" s="93"/>
      <c r="L11" s="5"/>
      <c r="M11" s="5"/>
      <c r="N11" s="2"/>
      <c r="O11" s="2"/>
      <c r="P11" s="2"/>
      <c r="Q11" s="2"/>
      <c r="R11" s="2"/>
      <c r="S11" s="2"/>
      <c r="T11" s="5"/>
      <c r="U11" s="5"/>
      <c r="V11" s="5"/>
      <c r="W11" s="5"/>
      <c r="X11" s="5"/>
      <c r="Y11" s="5"/>
      <c r="Z11" s="5"/>
      <c r="AA11" s="5"/>
      <c r="AB11" s="5"/>
      <c r="AC11" s="5"/>
      <c r="AD11" s="5"/>
      <c r="AE11" s="5"/>
      <c r="AF11" s="148"/>
      <c r="AG11" s="5"/>
      <c r="AH11" s="222"/>
      <c r="AI11" s="222"/>
      <c r="AJ11" s="222"/>
      <c r="AK11" s="222"/>
      <c r="AL11" s="23"/>
      <c r="AM11" s="23"/>
      <c r="AN11" s="23"/>
      <c r="AO11" s="23"/>
      <c r="AP11" s="23"/>
      <c r="AQ11" s="23"/>
      <c r="AR11" s="23"/>
      <c r="AS11" s="23"/>
      <c r="AT11" s="23"/>
      <c r="AU11" s="23"/>
      <c r="AV11" s="23"/>
      <c r="AW11" s="23"/>
      <c r="AX11" s="23"/>
      <c r="AY11" s="23"/>
      <c r="AZ11" s="23"/>
      <c r="BA11" s="23"/>
      <c r="BB11" s="23"/>
      <c r="BC11" s="23"/>
      <c r="BD11" s="23"/>
      <c r="BE11" s="23"/>
      <c r="BF11" s="23"/>
      <c r="BG11" s="23"/>
      <c r="BH11" s="23"/>
      <c r="BI11" s="23"/>
      <c r="BJ11" s="23"/>
      <c r="BK11" s="23"/>
      <c r="BL11" s="23"/>
      <c r="BM11" s="23"/>
      <c r="BN11" s="23"/>
      <c r="BO11" s="23"/>
      <c r="BP11" s="23"/>
      <c r="BQ11" s="23"/>
      <c r="BR11" s="23"/>
      <c r="BS11" s="23"/>
      <c r="BT11" s="23"/>
      <c r="BU11" s="23"/>
      <c r="BV11" s="23"/>
      <c r="BW11" s="23"/>
      <c r="BX11" s="23"/>
      <c r="BY11" s="23"/>
      <c r="BZ11" s="23"/>
      <c r="CA11" s="23"/>
      <c r="CB11" s="23"/>
      <c r="CC11" s="23"/>
      <c r="CD11" s="23"/>
      <c r="CE11" s="23"/>
      <c r="CF11" s="23"/>
      <c r="CG11" s="23"/>
      <c r="CH11" s="23"/>
      <c r="CI11" s="23"/>
      <c r="CJ11" s="23"/>
      <c r="CK11" s="23"/>
    </row>
    <row r="12" spans="1:93" s="24" customFormat="1" ht="19.5" customHeight="1" x14ac:dyDescent="0.25">
      <c r="A12" s="30">
        <v>1000</v>
      </c>
      <c r="B12" s="102" t="s">
        <v>29</v>
      </c>
      <c r="C12" s="103" t="s">
        <v>50</v>
      </c>
      <c r="D12" s="116" t="s">
        <v>33</v>
      </c>
      <c r="E12" s="103" t="s">
        <v>49</v>
      </c>
      <c r="F12" s="42" t="s">
        <v>48</v>
      </c>
      <c r="G12" s="30">
        <v>0</v>
      </c>
      <c r="H12" s="126" t="s">
        <v>57</v>
      </c>
      <c r="I12" s="93"/>
      <c r="J12" s="39">
        <f>MAX(J8+J9-J11-I7,0)</f>
        <v>0</v>
      </c>
      <c r="K12" s="238">
        <f>MAX(K8+K9-K11-J13,0)</f>
        <v>0</v>
      </c>
      <c r="L12" s="238">
        <f t="shared" ref="L12:AG12" si="0">MAX(L8+L9-L11-K13,0)</f>
        <v>170</v>
      </c>
      <c r="M12" s="238">
        <f t="shared" si="0"/>
        <v>80</v>
      </c>
      <c r="N12" s="238">
        <f t="shared" si="0"/>
        <v>70</v>
      </c>
      <c r="O12" s="238">
        <f t="shared" si="0"/>
        <v>150</v>
      </c>
      <c r="P12" s="238">
        <f t="shared" si="0"/>
        <v>130</v>
      </c>
      <c r="Q12" s="238">
        <f t="shared" si="0"/>
        <v>200</v>
      </c>
      <c r="R12" s="238">
        <f t="shared" si="0"/>
        <v>70</v>
      </c>
      <c r="S12" s="238">
        <f t="shared" si="0"/>
        <v>160</v>
      </c>
      <c r="T12" s="238">
        <f t="shared" si="0"/>
        <v>170</v>
      </c>
      <c r="U12" s="238">
        <f t="shared" si="0"/>
        <v>130</v>
      </c>
      <c r="V12" s="238">
        <f t="shared" si="0"/>
        <v>30</v>
      </c>
      <c r="W12" s="238">
        <f t="shared" si="0"/>
        <v>120</v>
      </c>
      <c r="X12" s="238">
        <f t="shared" si="0"/>
        <v>40</v>
      </c>
      <c r="Y12" s="238">
        <f t="shared" si="0"/>
        <v>150</v>
      </c>
      <c r="Z12" s="238">
        <f t="shared" si="0"/>
        <v>150</v>
      </c>
      <c r="AA12" s="238">
        <f t="shared" si="0"/>
        <v>20</v>
      </c>
      <c r="AB12" s="238">
        <f t="shared" si="0"/>
        <v>170</v>
      </c>
      <c r="AC12" s="238">
        <f t="shared" si="0"/>
        <v>40</v>
      </c>
      <c r="AD12" s="238">
        <f t="shared" si="0"/>
        <v>130</v>
      </c>
      <c r="AE12" s="238">
        <f t="shared" si="0"/>
        <v>100</v>
      </c>
      <c r="AF12" s="238">
        <f t="shared" si="0"/>
        <v>190</v>
      </c>
      <c r="AG12" s="238">
        <f t="shared" si="0"/>
        <v>40</v>
      </c>
      <c r="AH12" s="238"/>
      <c r="AI12" s="238"/>
      <c r="AJ12" s="238"/>
      <c r="AK12" s="238"/>
      <c r="AL12" s="23"/>
      <c r="AM12" s="23"/>
      <c r="AN12" s="23"/>
      <c r="AO12" s="23"/>
      <c r="AP12" s="23"/>
      <c r="AQ12" s="23"/>
      <c r="AR12" s="23"/>
      <c r="AS12" s="23"/>
      <c r="AT12" s="23"/>
      <c r="AU12" s="23"/>
      <c r="AV12" s="23"/>
      <c r="AW12" s="23"/>
      <c r="AX12" s="23"/>
      <c r="AY12" s="23"/>
      <c r="AZ12" s="23"/>
      <c r="BA12" s="23"/>
      <c r="BB12" s="23"/>
      <c r="BC12" s="23"/>
      <c r="BD12" s="23"/>
      <c r="BE12" s="23"/>
      <c r="BF12" s="23"/>
      <c r="BG12" s="23"/>
      <c r="BH12" s="23"/>
      <c r="BI12" s="23"/>
      <c r="BJ12" s="23"/>
      <c r="BK12" s="23"/>
      <c r="BL12" s="23"/>
      <c r="BM12" s="23"/>
      <c r="BN12" s="23"/>
      <c r="BO12" s="23"/>
      <c r="BP12" s="23"/>
      <c r="BQ12" s="23"/>
      <c r="BR12" s="23"/>
      <c r="BS12" s="23"/>
      <c r="BT12" s="23"/>
      <c r="BU12" s="23"/>
      <c r="BV12" s="23"/>
      <c r="BW12" s="23"/>
      <c r="BX12" s="23"/>
      <c r="BY12" s="23"/>
      <c r="BZ12" s="23"/>
      <c r="CA12" s="23"/>
      <c r="CB12" s="23"/>
      <c r="CC12" s="23"/>
      <c r="CD12" s="23"/>
      <c r="CE12" s="23"/>
      <c r="CF12" s="23"/>
      <c r="CG12" s="23"/>
      <c r="CH12" s="23"/>
      <c r="CI12" s="23"/>
      <c r="CJ12" s="23"/>
      <c r="CK12" s="23"/>
    </row>
    <row r="13" spans="1:93" s="24" customFormat="1" ht="19.5" customHeight="1" x14ac:dyDescent="0.25">
      <c r="A13" s="30">
        <v>1000</v>
      </c>
      <c r="B13" s="102" t="s">
        <v>29</v>
      </c>
      <c r="C13" s="103" t="s">
        <v>50</v>
      </c>
      <c r="D13" s="116" t="s">
        <v>33</v>
      </c>
      <c r="E13" s="103" t="s">
        <v>50</v>
      </c>
      <c r="F13" s="116" t="s">
        <v>33</v>
      </c>
      <c r="G13" s="30">
        <v>0</v>
      </c>
      <c r="H13" s="125" t="s">
        <v>37</v>
      </c>
      <c r="J13" s="39">
        <f>I7+J12+J11-J8</f>
        <v>290</v>
      </c>
      <c r="K13" s="39">
        <f t="shared" ref="K13:AG13" si="1">J13+K12+K11-K8</f>
        <v>230</v>
      </c>
      <c r="L13" s="39">
        <f t="shared" si="1"/>
        <v>200</v>
      </c>
      <c r="M13" s="39">
        <f t="shared" si="1"/>
        <v>200</v>
      </c>
      <c r="N13" s="39">
        <f t="shared" si="1"/>
        <v>200</v>
      </c>
      <c r="O13" s="69">
        <f t="shared" si="1"/>
        <v>200</v>
      </c>
      <c r="P13" s="69">
        <f t="shared" si="1"/>
        <v>200</v>
      </c>
      <c r="Q13" s="69">
        <f t="shared" si="1"/>
        <v>200</v>
      </c>
      <c r="R13" s="69">
        <f t="shared" si="1"/>
        <v>200</v>
      </c>
      <c r="S13" s="69">
        <f t="shared" si="1"/>
        <v>200</v>
      </c>
      <c r="T13" s="69">
        <f t="shared" si="1"/>
        <v>200</v>
      </c>
      <c r="U13" s="69">
        <f t="shared" si="1"/>
        <v>200</v>
      </c>
      <c r="V13" s="69">
        <f t="shared" si="1"/>
        <v>200</v>
      </c>
      <c r="W13" s="69">
        <f t="shared" si="1"/>
        <v>200</v>
      </c>
      <c r="X13" s="69">
        <f t="shared" si="1"/>
        <v>200</v>
      </c>
      <c r="Y13" s="69">
        <f t="shared" si="1"/>
        <v>200</v>
      </c>
      <c r="Z13" s="69">
        <f t="shared" si="1"/>
        <v>200</v>
      </c>
      <c r="AA13" s="69">
        <f t="shared" si="1"/>
        <v>200</v>
      </c>
      <c r="AB13" s="69">
        <f t="shared" si="1"/>
        <v>200</v>
      </c>
      <c r="AC13" s="69">
        <f t="shared" si="1"/>
        <v>200</v>
      </c>
      <c r="AD13" s="69">
        <f t="shared" si="1"/>
        <v>200</v>
      </c>
      <c r="AE13" s="69">
        <f t="shared" si="1"/>
        <v>200</v>
      </c>
      <c r="AF13" s="150">
        <f t="shared" si="1"/>
        <v>200</v>
      </c>
      <c r="AG13" s="39">
        <f t="shared" si="1"/>
        <v>200</v>
      </c>
      <c r="AH13" s="238"/>
      <c r="AI13" s="238"/>
      <c r="AJ13" s="238"/>
      <c r="AK13" s="238"/>
      <c r="AL13" s="23"/>
      <c r="AM13" s="23"/>
      <c r="AN13" s="23"/>
      <c r="AO13" s="23"/>
      <c r="AP13" s="23"/>
      <c r="AQ13" s="23"/>
      <c r="AR13" s="23"/>
      <c r="AS13" s="23"/>
      <c r="AT13" s="23"/>
      <c r="AU13" s="23"/>
      <c r="AV13" s="23"/>
      <c r="AW13" s="23"/>
      <c r="AX13" s="23"/>
      <c r="AY13" s="23"/>
      <c r="AZ13" s="23"/>
      <c r="BA13" s="23"/>
      <c r="BB13" s="23"/>
      <c r="BC13" s="23"/>
      <c r="BD13" s="23"/>
      <c r="BE13" s="23"/>
      <c r="BF13" s="23"/>
      <c r="BG13" s="23"/>
      <c r="BH13" s="23"/>
      <c r="BI13" s="23"/>
      <c r="BJ13" s="23"/>
      <c r="BK13" s="23"/>
      <c r="BL13" s="23"/>
      <c r="BM13" s="23"/>
      <c r="BN13" s="23"/>
      <c r="BO13" s="23"/>
      <c r="BP13" s="23"/>
      <c r="BQ13" s="23"/>
      <c r="BR13" s="23"/>
      <c r="BS13" s="23"/>
      <c r="BT13" s="23"/>
      <c r="BU13" s="23"/>
      <c r="BV13" s="23"/>
      <c r="BW13" s="23"/>
      <c r="BX13" s="23"/>
      <c r="BY13" s="23"/>
      <c r="BZ13" s="23"/>
      <c r="CA13" s="23"/>
      <c r="CB13" s="23"/>
      <c r="CC13" s="23"/>
      <c r="CD13" s="23"/>
      <c r="CE13" s="23"/>
      <c r="CF13" s="23"/>
      <c r="CG13" s="23"/>
      <c r="CH13" s="23"/>
      <c r="CI13" s="23"/>
      <c r="CJ13" s="23"/>
      <c r="CK13" s="23"/>
    </row>
    <row r="14" spans="1:93" s="24" customFormat="1" ht="4.5" customHeight="1" x14ac:dyDescent="0.25">
      <c r="A14" s="79"/>
      <c r="B14" s="79"/>
      <c r="C14" s="79"/>
      <c r="D14" s="79"/>
      <c r="E14" s="79"/>
      <c r="F14" s="79"/>
      <c r="G14" s="11"/>
      <c r="H14" s="11"/>
      <c r="I14" s="11"/>
      <c r="J14" s="11"/>
      <c r="K14" s="11"/>
      <c r="L14" s="11"/>
      <c r="M14" s="11"/>
      <c r="N14" s="11"/>
      <c r="O14" s="11"/>
      <c r="P14" s="11"/>
      <c r="Q14" s="11"/>
      <c r="R14" s="11"/>
      <c r="S14" s="11"/>
      <c r="T14" s="11"/>
      <c r="U14" s="11"/>
      <c r="V14" s="11"/>
      <c r="W14" s="11"/>
      <c r="X14" s="11"/>
      <c r="Y14" s="11"/>
      <c r="Z14" s="11"/>
      <c r="AA14" s="11"/>
      <c r="AB14" s="11"/>
      <c r="AC14" s="11"/>
      <c r="AD14" s="11"/>
      <c r="AE14" s="11"/>
      <c r="AF14" s="11"/>
      <c r="AG14" s="77"/>
      <c r="AH14" s="244"/>
      <c r="AI14" s="244"/>
      <c r="AJ14" s="244"/>
      <c r="AK14" s="244"/>
      <c r="AL14" s="23"/>
      <c r="AM14" s="23"/>
      <c r="AN14" s="23"/>
      <c r="AO14" s="23"/>
      <c r="AP14" s="23"/>
      <c r="AQ14" s="23"/>
      <c r="AR14" s="23"/>
      <c r="AS14" s="23"/>
      <c r="AT14" s="23"/>
      <c r="AU14" s="23"/>
      <c r="AV14" s="23"/>
      <c r="AW14" s="23"/>
      <c r="AX14" s="23"/>
      <c r="AY14" s="23"/>
      <c r="AZ14" s="23"/>
      <c r="BA14" s="23"/>
      <c r="BB14" s="23"/>
      <c r="BC14" s="23"/>
      <c r="BD14" s="23"/>
      <c r="BE14" s="23"/>
      <c r="BF14" s="23"/>
      <c r="BG14" s="23"/>
      <c r="BH14" s="23"/>
      <c r="BI14" s="23"/>
      <c r="BJ14" s="23"/>
      <c r="BK14" s="23"/>
      <c r="BL14" s="23"/>
      <c r="BM14" s="23"/>
      <c r="BN14" s="23"/>
      <c r="BO14" s="23"/>
      <c r="BP14" s="23"/>
      <c r="BQ14" s="23"/>
      <c r="BR14" s="23"/>
      <c r="BS14" s="23"/>
      <c r="BT14" s="23"/>
      <c r="BU14" s="23"/>
      <c r="BV14" s="23"/>
      <c r="BW14" s="23"/>
      <c r="BX14" s="23"/>
      <c r="BY14" s="23"/>
      <c r="BZ14" s="23"/>
      <c r="CA14" s="23"/>
      <c r="CB14" s="23"/>
      <c r="CC14" s="23"/>
      <c r="CD14" s="23"/>
      <c r="CE14" s="23"/>
      <c r="CF14" s="23"/>
      <c r="CG14" s="23"/>
      <c r="CH14" s="23"/>
      <c r="CI14" s="23"/>
      <c r="CJ14" s="23"/>
      <c r="CK14" s="23"/>
    </row>
    <row r="15" spans="1:93" ht="22.5" customHeight="1" x14ac:dyDescent="0.25">
      <c r="A15" s="30">
        <v>2000</v>
      </c>
      <c r="B15" s="121" t="s">
        <v>30</v>
      </c>
      <c r="C15" s="103" t="s">
        <v>50</v>
      </c>
      <c r="D15" s="116" t="s">
        <v>33</v>
      </c>
      <c r="E15" s="103" t="s">
        <v>50</v>
      </c>
      <c r="F15" s="116" t="s">
        <v>33</v>
      </c>
      <c r="G15" s="30">
        <v>0</v>
      </c>
      <c r="H15" s="168" t="s">
        <v>115</v>
      </c>
      <c r="I15" s="169"/>
      <c r="J15" s="263">
        <f>J18</f>
        <v>110</v>
      </c>
      <c r="K15" s="169"/>
      <c r="L15" s="169"/>
      <c r="M15" s="169"/>
      <c r="N15" s="169"/>
      <c r="O15" s="169"/>
      <c r="P15" s="169"/>
      <c r="Q15" s="169"/>
      <c r="R15" s="169"/>
      <c r="S15" s="169"/>
      <c r="T15" s="169"/>
      <c r="U15" s="169"/>
      <c r="V15" s="169"/>
      <c r="W15" s="169"/>
      <c r="X15" s="169"/>
      <c r="Y15" s="169"/>
      <c r="Z15" s="169"/>
      <c r="AA15" s="169"/>
      <c r="AB15" s="169"/>
      <c r="AC15" s="169"/>
      <c r="AD15" s="169"/>
      <c r="AE15" s="169"/>
      <c r="AF15" s="169"/>
      <c r="AG15" s="169"/>
      <c r="AH15" s="263"/>
      <c r="AI15" s="263"/>
      <c r="AJ15" s="263"/>
      <c r="AK15" s="263"/>
      <c r="AL15" s="24"/>
      <c r="AM15" s="24"/>
      <c r="AN15" s="24"/>
      <c r="AO15" s="24"/>
      <c r="AP15" s="24"/>
      <c r="AQ15" s="24"/>
      <c r="AR15" s="24"/>
      <c r="AS15" s="24"/>
      <c r="AT15" s="24"/>
      <c r="AU15" s="24"/>
      <c r="AV15" s="24"/>
      <c r="AW15" s="24"/>
      <c r="AX15" s="24"/>
      <c r="AY15" s="24"/>
      <c r="AZ15" s="24"/>
      <c r="BA15" s="24"/>
      <c r="BB15" s="24"/>
      <c r="BC15" s="24"/>
      <c r="BD15" s="24"/>
      <c r="BE15" s="24"/>
      <c r="BF15" s="24"/>
      <c r="BG15" s="24"/>
      <c r="BH15" s="24"/>
      <c r="BI15" s="24"/>
      <c r="BJ15" s="24"/>
      <c r="BK15" s="24"/>
      <c r="BL15" s="24"/>
      <c r="BM15" s="24"/>
      <c r="BN15" s="24"/>
      <c r="BO15" s="24"/>
      <c r="BP15" s="24"/>
      <c r="BQ15" s="24"/>
      <c r="BR15" s="24"/>
      <c r="BS15" s="24"/>
      <c r="BT15" s="24"/>
      <c r="BU15" s="24"/>
      <c r="BV15" s="24"/>
      <c r="BW15" s="24"/>
      <c r="BX15" s="24"/>
      <c r="BY15" s="24"/>
      <c r="BZ15" s="24"/>
      <c r="CA15" s="24"/>
      <c r="CB15" s="24"/>
      <c r="CC15" s="24"/>
      <c r="CD15" s="24"/>
      <c r="CE15" s="24"/>
      <c r="CF15" s="24"/>
      <c r="CG15" s="24"/>
      <c r="CH15" s="24"/>
      <c r="CI15" s="24"/>
      <c r="CJ15" s="24"/>
      <c r="CK15" s="24"/>
      <c r="CL15" s="24"/>
      <c r="CM15"/>
      <c r="CN15"/>
      <c r="CO15"/>
    </row>
    <row r="16" spans="1:93" ht="22.5" customHeight="1" x14ac:dyDescent="0.25">
      <c r="A16" s="30">
        <v>2000</v>
      </c>
      <c r="B16" s="121" t="s">
        <v>30</v>
      </c>
      <c r="C16" s="103" t="s">
        <v>49</v>
      </c>
      <c r="D16" s="42" t="s">
        <v>48</v>
      </c>
      <c r="E16" s="103" t="s">
        <v>50</v>
      </c>
      <c r="F16" s="116" t="s">
        <v>33</v>
      </c>
      <c r="G16" s="30">
        <v>0</v>
      </c>
      <c r="H16" s="168" t="s">
        <v>116</v>
      </c>
      <c r="I16" s="169"/>
      <c r="J16" s="263">
        <f>J20</f>
        <v>10</v>
      </c>
      <c r="K16" s="169"/>
      <c r="L16" s="169"/>
      <c r="M16" s="169"/>
      <c r="N16" s="169"/>
      <c r="O16" s="169"/>
      <c r="P16" s="169"/>
      <c r="Q16" s="169"/>
      <c r="R16" s="169"/>
      <c r="S16" s="169"/>
      <c r="T16" s="169"/>
      <c r="U16" s="169"/>
      <c r="V16" s="169"/>
      <c r="W16" s="169"/>
      <c r="X16" s="169"/>
      <c r="Y16" s="169"/>
      <c r="Z16" s="169"/>
      <c r="AA16" s="169"/>
      <c r="AB16" s="169"/>
      <c r="AC16" s="169"/>
      <c r="AD16" s="169"/>
      <c r="AE16" s="169"/>
      <c r="AF16" s="169"/>
      <c r="AG16" s="169"/>
      <c r="AH16" s="263"/>
      <c r="AI16" s="263"/>
      <c r="AJ16" s="263"/>
      <c r="AK16" s="263"/>
      <c r="AL16" s="24"/>
      <c r="AM16" s="24"/>
      <c r="AN16" s="24"/>
      <c r="AO16" s="24"/>
      <c r="AP16" s="24"/>
      <c r="AQ16" s="24"/>
      <c r="AR16" s="24"/>
      <c r="AS16" s="24"/>
      <c r="AT16" s="24"/>
      <c r="AU16" s="24"/>
      <c r="AV16" s="24"/>
      <c r="AW16" s="24"/>
      <c r="AX16" s="24"/>
      <c r="AY16" s="24"/>
      <c r="AZ16" s="24"/>
      <c r="BA16" s="24"/>
      <c r="BB16" s="24"/>
      <c r="BC16" s="24"/>
      <c r="BD16" s="24"/>
      <c r="BE16" s="24"/>
      <c r="BF16" s="24"/>
      <c r="BG16" s="24"/>
      <c r="BH16" s="24"/>
      <c r="BI16" s="24"/>
      <c r="BJ16" s="24"/>
      <c r="BK16" s="24"/>
      <c r="BL16" s="24"/>
      <c r="BM16" s="24"/>
      <c r="BN16" s="24"/>
      <c r="BO16" s="24"/>
      <c r="BP16" s="24"/>
      <c r="BQ16" s="24"/>
      <c r="BR16" s="24"/>
      <c r="BS16" s="24"/>
      <c r="BT16" s="24"/>
      <c r="BU16" s="24"/>
      <c r="BV16" s="24"/>
      <c r="BW16" s="24"/>
      <c r="BX16" s="24"/>
      <c r="BY16" s="24"/>
      <c r="BZ16" s="24"/>
      <c r="CA16" s="24"/>
      <c r="CB16" s="24"/>
      <c r="CC16" s="24"/>
      <c r="CD16" s="24"/>
      <c r="CE16" s="24"/>
      <c r="CF16" s="24"/>
      <c r="CG16" s="24"/>
      <c r="CH16" s="24"/>
      <c r="CI16" s="24"/>
      <c r="CJ16" s="24"/>
      <c r="CK16" s="24"/>
      <c r="CL16" s="24"/>
      <c r="CM16"/>
      <c r="CN16"/>
      <c r="CO16"/>
    </row>
    <row r="17" spans="1:93" ht="22.5" customHeight="1" thickBot="1" x14ac:dyDescent="0.3">
      <c r="A17" s="30">
        <v>2000</v>
      </c>
      <c r="B17" s="121" t="s">
        <v>30</v>
      </c>
      <c r="C17" s="103" t="s">
        <v>50</v>
      </c>
      <c r="D17" s="116" t="s">
        <v>33</v>
      </c>
      <c r="E17" s="103" t="s">
        <v>50</v>
      </c>
      <c r="F17" s="116" t="s">
        <v>33</v>
      </c>
      <c r="G17" s="30">
        <v>0</v>
      </c>
      <c r="H17" s="168" t="s">
        <v>120</v>
      </c>
      <c r="I17" s="38">
        <f>MJ_Initialisation!AF7</f>
        <v>300</v>
      </c>
      <c r="J17" s="293">
        <f>I17+J16-J15</f>
        <v>200</v>
      </c>
      <c r="K17" s="169"/>
      <c r="L17" s="169"/>
      <c r="M17" s="169"/>
      <c r="N17" s="169"/>
      <c r="O17" s="169"/>
      <c r="P17" s="169"/>
      <c r="Q17" s="169"/>
      <c r="R17" s="169"/>
      <c r="S17" s="169"/>
      <c r="T17" s="169"/>
      <c r="U17" s="169"/>
      <c r="V17" s="169"/>
      <c r="W17" s="169"/>
      <c r="X17" s="169"/>
      <c r="Y17" s="169"/>
      <c r="Z17" s="169"/>
      <c r="AA17" s="169"/>
      <c r="AB17" s="169"/>
      <c r="AC17" s="169"/>
      <c r="AD17" s="169"/>
      <c r="AE17" s="169"/>
      <c r="AF17" s="169"/>
      <c r="AG17" s="169"/>
      <c r="AH17" s="263"/>
      <c r="AI17" s="263"/>
      <c r="AJ17" s="263"/>
      <c r="AK17" s="263"/>
      <c r="AL17" s="24"/>
      <c r="AM17" s="24"/>
      <c r="AN17" s="24"/>
      <c r="AO17" s="24"/>
      <c r="AP17" s="24"/>
      <c r="AQ17" s="24"/>
      <c r="AR17" s="24"/>
      <c r="AS17" s="24"/>
      <c r="AT17" s="24"/>
      <c r="AU17" s="24"/>
      <c r="AV17" s="24"/>
      <c r="AW17" s="24"/>
      <c r="AX17" s="24"/>
      <c r="AY17" s="24"/>
      <c r="AZ17" s="24"/>
      <c r="BA17" s="24"/>
      <c r="BB17" s="24"/>
      <c r="BC17" s="24"/>
      <c r="BD17" s="24"/>
      <c r="BE17" s="24"/>
      <c r="BF17" s="24"/>
      <c r="BG17" s="24"/>
      <c r="BH17" s="24"/>
      <c r="BI17" s="24"/>
      <c r="BJ17" s="24"/>
      <c r="BK17" s="24"/>
      <c r="BL17" s="24"/>
      <c r="BM17" s="24"/>
      <c r="BN17" s="24"/>
      <c r="BO17" s="24"/>
      <c r="BP17" s="24"/>
      <c r="BQ17" s="24"/>
      <c r="BR17" s="24"/>
      <c r="BS17" s="24"/>
      <c r="BT17" s="24"/>
      <c r="BU17" s="24"/>
      <c r="BV17" s="24"/>
      <c r="BW17" s="24"/>
      <c r="BX17" s="24"/>
      <c r="BY17" s="24"/>
      <c r="BZ17" s="24"/>
      <c r="CA17" s="24"/>
      <c r="CB17" s="24"/>
      <c r="CC17" s="24"/>
      <c r="CD17" s="24"/>
      <c r="CE17" s="24"/>
      <c r="CF17" s="24"/>
      <c r="CG17" s="24"/>
      <c r="CH17" s="24"/>
      <c r="CI17" s="24"/>
      <c r="CJ17" s="24"/>
      <c r="CK17" s="24"/>
      <c r="CL17" s="24"/>
      <c r="CM17"/>
      <c r="CN17"/>
      <c r="CO17"/>
    </row>
    <row r="18" spans="1:93" s="24" customFormat="1" ht="19.5" customHeight="1" x14ac:dyDescent="0.25">
      <c r="A18" s="30">
        <v>2000</v>
      </c>
      <c r="B18" s="121" t="s">
        <v>30</v>
      </c>
      <c r="C18" s="103" t="s">
        <v>50</v>
      </c>
      <c r="D18" s="116" t="s">
        <v>33</v>
      </c>
      <c r="E18" s="103" t="s">
        <v>50</v>
      </c>
      <c r="F18" s="116" t="s">
        <v>33</v>
      </c>
      <c r="G18" s="30">
        <v>0</v>
      </c>
      <c r="H18" s="27" t="s">
        <v>26</v>
      </c>
      <c r="I18" s="28"/>
      <c r="J18" s="29">
        <f>MJ_Initialisation!D7</f>
        <v>110</v>
      </c>
      <c r="K18" s="29">
        <f>MJ_Initialisation!E7</f>
        <v>50</v>
      </c>
      <c r="L18" s="29">
        <f>MJ_Initialisation!F7</f>
        <v>110</v>
      </c>
      <c r="M18" s="29">
        <f>MJ_Initialisation!G7</f>
        <v>50</v>
      </c>
      <c r="N18" s="29">
        <f>MJ_Initialisation!H7</f>
        <v>20</v>
      </c>
      <c r="O18" s="29">
        <f>MJ_Initialisation!I7</f>
        <v>130</v>
      </c>
      <c r="P18" s="29">
        <f>MJ_Initialisation!J7</f>
        <v>170</v>
      </c>
      <c r="Q18" s="29">
        <f>MJ_Initialisation!K7</f>
        <v>180</v>
      </c>
      <c r="R18" s="29">
        <f>MJ_Initialisation!L7</f>
        <v>180</v>
      </c>
      <c r="S18" s="29">
        <f>MJ_Initialisation!M7</f>
        <v>10</v>
      </c>
      <c r="T18" s="29">
        <f>MJ_Initialisation!N7</f>
        <v>100</v>
      </c>
      <c r="U18" s="29">
        <f>MJ_Initialisation!O7</f>
        <v>200</v>
      </c>
      <c r="V18" s="29">
        <f>MJ_Initialisation!P7</f>
        <v>30</v>
      </c>
      <c r="W18" s="29">
        <f>MJ_Initialisation!Q7</f>
        <v>200</v>
      </c>
      <c r="X18" s="29">
        <f>MJ_Initialisation!R7</f>
        <v>50</v>
      </c>
      <c r="Y18" s="29">
        <f>MJ_Initialisation!S7</f>
        <v>40</v>
      </c>
      <c r="Z18" s="29">
        <f>MJ_Initialisation!T7</f>
        <v>40</v>
      </c>
      <c r="AA18" s="29">
        <f>MJ_Initialisation!U7</f>
        <v>10</v>
      </c>
      <c r="AB18" s="29">
        <f>MJ_Initialisation!V7</f>
        <v>40</v>
      </c>
      <c r="AC18" s="29">
        <f>MJ_Initialisation!W7</f>
        <v>100</v>
      </c>
      <c r="AD18" s="29">
        <f>MJ_Initialisation!X7</f>
        <v>150</v>
      </c>
      <c r="AE18" s="29">
        <f>MJ_Initialisation!Y7</f>
        <v>100</v>
      </c>
      <c r="AF18" s="29">
        <f>MJ_Initialisation!Z7</f>
        <v>110</v>
      </c>
      <c r="AG18" s="29">
        <f>MJ_Initialisation!AA7</f>
        <v>40</v>
      </c>
      <c r="AH18" s="235"/>
      <c r="AI18" s="235"/>
      <c r="AJ18" s="235"/>
      <c r="AK18" s="235"/>
      <c r="AL18" s="23"/>
      <c r="AM18" s="23"/>
      <c r="AN18" s="23"/>
      <c r="AO18" s="23"/>
      <c r="AP18" s="23"/>
      <c r="AQ18" s="23"/>
      <c r="AR18" s="23"/>
      <c r="AS18" s="23"/>
      <c r="AT18" s="23"/>
      <c r="AU18" s="23"/>
      <c r="AV18" s="23"/>
      <c r="AW18" s="23"/>
      <c r="AX18" s="23"/>
      <c r="AY18" s="23"/>
      <c r="AZ18" s="23"/>
      <c r="BA18" s="23"/>
      <c r="BB18" s="23"/>
      <c r="BC18" s="23"/>
      <c r="BD18" s="23"/>
      <c r="BE18" s="23"/>
      <c r="BF18" s="23"/>
      <c r="BG18" s="23"/>
      <c r="BH18" s="23"/>
      <c r="BI18" s="23"/>
      <c r="BJ18" s="23"/>
      <c r="BK18" s="23"/>
      <c r="BL18" s="23"/>
      <c r="BM18" s="23"/>
      <c r="BN18" s="23"/>
      <c r="BO18" s="23"/>
      <c r="BP18" s="23"/>
      <c r="BQ18" s="23"/>
      <c r="BR18" s="23"/>
      <c r="BS18" s="23"/>
      <c r="BT18" s="23"/>
      <c r="BU18" s="23"/>
      <c r="BV18" s="23"/>
      <c r="BW18" s="23"/>
      <c r="BX18" s="23"/>
      <c r="BY18" s="23"/>
      <c r="BZ18" s="23"/>
      <c r="CA18" s="23"/>
      <c r="CB18" s="23"/>
      <c r="CC18" s="23"/>
      <c r="CD18" s="23"/>
      <c r="CE18" s="23"/>
      <c r="CF18" s="23"/>
      <c r="CG18" s="23"/>
      <c r="CH18" s="23"/>
      <c r="CI18" s="23"/>
      <c r="CJ18" s="23"/>
      <c r="CK18" s="23"/>
    </row>
    <row r="19" spans="1:93" s="24" customFormat="1" ht="19.5" customHeight="1" x14ac:dyDescent="0.25">
      <c r="A19" s="30">
        <v>2000</v>
      </c>
      <c r="B19" s="121" t="s">
        <v>30</v>
      </c>
      <c r="C19" s="103" t="s">
        <v>50</v>
      </c>
      <c r="D19" s="116" t="s">
        <v>33</v>
      </c>
      <c r="E19" s="103" t="s">
        <v>50</v>
      </c>
      <c r="F19" s="116" t="s">
        <v>33</v>
      </c>
      <c r="G19" s="30">
        <v>0</v>
      </c>
      <c r="H19" s="299" t="s">
        <v>24</v>
      </c>
      <c r="I19" s="300"/>
      <c r="J19" s="223">
        <v>200</v>
      </c>
      <c r="K19" s="223">
        <v>200</v>
      </c>
      <c r="L19" s="223">
        <v>200</v>
      </c>
      <c r="M19" s="223">
        <v>200</v>
      </c>
      <c r="N19" s="223">
        <v>200</v>
      </c>
      <c r="O19" s="223">
        <v>200</v>
      </c>
      <c r="P19" s="223">
        <v>200</v>
      </c>
      <c r="Q19" s="223">
        <v>200</v>
      </c>
      <c r="R19" s="223">
        <v>200</v>
      </c>
      <c r="S19" s="223">
        <v>200</v>
      </c>
      <c r="T19" s="223">
        <v>200</v>
      </c>
      <c r="U19" s="223">
        <v>200</v>
      </c>
      <c r="V19" s="223">
        <v>200</v>
      </c>
      <c r="W19" s="223">
        <v>200</v>
      </c>
      <c r="X19" s="223">
        <v>200</v>
      </c>
      <c r="Y19" s="223">
        <v>200</v>
      </c>
      <c r="Z19" s="223">
        <v>200</v>
      </c>
      <c r="AA19" s="223">
        <v>200</v>
      </c>
      <c r="AB19" s="223">
        <v>200</v>
      </c>
      <c r="AC19" s="223">
        <v>200</v>
      </c>
      <c r="AD19" s="223">
        <v>200</v>
      </c>
      <c r="AE19" s="223">
        <v>200</v>
      </c>
      <c r="AF19" s="223">
        <v>200</v>
      </c>
      <c r="AG19" s="223">
        <v>200</v>
      </c>
      <c r="AH19" s="223"/>
      <c r="AI19" s="223"/>
      <c r="AJ19" s="223"/>
      <c r="AK19" s="223"/>
      <c r="AL19" s="23"/>
      <c r="AM19" s="23"/>
      <c r="AN19" s="23"/>
      <c r="AO19" s="23"/>
      <c r="AP19" s="23"/>
      <c r="AQ19" s="23"/>
      <c r="AR19" s="23"/>
      <c r="AS19" s="23"/>
      <c r="AT19" s="23"/>
      <c r="AU19" s="23"/>
      <c r="AV19" s="23"/>
      <c r="AW19" s="23"/>
      <c r="AX19" s="23"/>
      <c r="AY19" s="23"/>
      <c r="AZ19" s="23"/>
      <c r="BA19" s="23"/>
      <c r="BB19" s="23"/>
      <c r="BC19" s="23"/>
      <c r="BD19" s="23"/>
      <c r="BE19" s="23"/>
      <c r="BF19" s="23"/>
      <c r="BG19" s="23"/>
      <c r="BH19" s="23"/>
      <c r="BI19" s="23"/>
      <c r="BJ19" s="23"/>
      <c r="BK19" s="23"/>
      <c r="BL19" s="23"/>
      <c r="BM19" s="23"/>
      <c r="BN19" s="23"/>
      <c r="BO19" s="23"/>
      <c r="BP19" s="23"/>
      <c r="BQ19" s="23"/>
      <c r="BR19" s="23"/>
      <c r="BS19" s="23"/>
      <c r="BT19" s="23"/>
      <c r="BU19" s="23"/>
      <c r="BV19" s="23"/>
      <c r="BW19" s="23"/>
      <c r="BX19" s="23"/>
      <c r="BY19" s="23"/>
      <c r="BZ19" s="23"/>
      <c r="CA19" s="23"/>
      <c r="CB19" s="23"/>
      <c r="CC19" s="23"/>
      <c r="CD19" s="23"/>
      <c r="CE19" s="23"/>
      <c r="CF19" s="23"/>
      <c r="CG19" s="23"/>
      <c r="CH19" s="23"/>
      <c r="CI19" s="23"/>
      <c r="CJ19" s="23"/>
      <c r="CK19" s="23"/>
    </row>
    <row r="20" spans="1:93" s="24" customFormat="1" ht="19.5" customHeight="1" x14ac:dyDescent="0.25">
      <c r="A20" s="30">
        <v>2000</v>
      </c>
      <c r="B20" s="121" t="s">
        <v>30</v>
      </c>
      <c r="C20" s="103" t="s">
        <v>49</v>
      </c>
      <c r="D20" s="42" t="s">
        <v>48</v>
      </c>
      <c r="E20" s="103" t="s">
        <v>50</v>
      </c>
      <c r="F20" s="116" t="s">
        <v>33</v>
      </c>
      <c r="G20" s="30">
        <v>0</v>
      </c>
      <c r="H20" s="32" t="s">
        <v>41</v>
      </c>
      <c r="I20" s="33"/>
      <c r="J20" s="34">
        <f>MJ_Initialisation!D22</f>
        <v>10</v>
      </c>
      <c r="K20" s="34">
        <f>MJ_Initialisation!E22</f>
        <v>50</v>
      </c>
      <c r="L20" s="34">
        <f>MJ_Initialisation!F22</f>
        <v>110</v>
      </c>
      <c r="M20" s="34">
        <f>MJ_Initialisation!G22</f>
        <v>50</v>
      </c>
      <c r="N20" s="34">
        <f>MJ_Initialisation!H22</f>
        <v>20</v>
      </c>
      <c r="O20" s="34">
        <f>MJ_Initialisation!I22</f>
        <v>130</v>
      </c>
      <c r="P20" s="34">
        <f>MJ_Initialisation!J22</f>
        <v>170</v>
      </c>
      <c r="Q20" s="34">
        <f>MJ_Initialisation!K22</f>
        <v>180</v>
      </c>
      <c r="R20" s="34">
        <f>MJ_Initialisation!L22</f>
        <v>180</v>
      </c>
      <c r="S20" s="34">
        <f>MJ_Initialisation!M22</f>
        <v>10</v>
      </c>
      <c r="T20" s="34">
        <f>MJ_Initialisation!N22</f>
        <v>100</v>
      </c>
      <c r="U20" s="34">
        <f>MJ_Initialisation!O22</f>
        <v>200</v>
      </c>
      <c r="V20" s="34">
        <f>MJ_Initialisation!P22</f>
        <v>30</v>
      </c>
      <c r="W20" s="34">
        <f>MJ_Initialisation!Q22</f>
        <v>200</v>
      </c>
      <c r="X20" s="34">
        <f>MJ_Initialisation!R22</f>
        <v>50</v>
      </c>
      <c r="Y20" s="34">
        <f>MJ_Initialisation!S22</f>
        <v>40</v>
      </c>
      <c r="Z20" s="34">
        <f>MJ_Initialisation!T22</f>
        <v>40</v>
      </c>
      <c r="AA20" s="34">
        <f>MJ_Initialisation!U22</f>
        <v>10</v>
      </c>
      <c r="AB20" s="34">
        <f>MJ_Initialisation!V22</f>
        <v>40</v>
      </c>
      <c r="AC20" s="34">
        <f>MJ_Initialisation!W22</f>
        <v>100</v>
      </c>
      <c r="AD20" s="34">
        <f>MJ_Initialisation!X22</f>
        <v>150</v>
      </c>
      <c r="AE20" s="34">
        <f>MJ_Initialisation!Y22</f>
        <v>100</v>
      </c>
      <c r="AF20" s="34">
        <f>MJ_Initialisation!Z22</f>
        <v>110</v>
      </c>
      <c r="AG20" s="34">
        <f>MJ_Initialisation!AA22</f>
        <v>40</v>
      </c>
      <c r="AH20" s="236"/>
      <c r="AI20" s="236"/>
      <c r="AJ20" s="236"/>
      <c r="AK20" s="236"/>
      <c r="AL20" s="23"/>
      <c r="AM20" s="23"/>
      <c r="AN20" s="23"/>
      <c r="AO20" s="23"/>
      <c r="AP20" s="23"/>
      <c r="AQ20" s="23"/>
      <c r="AR20" s="23"/>
      <c r="AS20" s="23"/>
      <c r="AT20" s="23"/>
      <c r="AU20" s="23"/>
      <c r="AV20" s="23"/>
      <c r="AW20" s="23"/>
      <c r="AX20" s="23"/>
      <c r="AY20" s="23"/>
      <c r="AZ20" s="23"/>
      <c r="BA20" s="23"/>
      <c r="BB20" s="23"/>
      <c r="BC20" s="23"/>
      <c r="BD20" s="23"/>
      <c r="BE20" s="23"/>
      <c r="BF20" s="23"/>
      <c r="BG20" s="23"/>
      <c r="BH20" s="23"/>
      <c r="BI20" s="23"/>
      <c r="BJ20" s="23"/>
      <c r="BK20" s="23"/>
      <c r="BL20" s="23"/>
      <c r="BM20" s="23"/>
      <c r="BN20" s="23"/>
      <c r="BO20" s="23"/>
      <c r="BP20" s="23"/>
      <c r="BQ20" s="23"/>
      <c r="BR20" s="23"/>
      <c r="BS20" s="23"/>
      <c r="BT20" s="23"/>
      <c r="BU20" s="23"/>
      <c r="BV20" s="23"/>
      <c r="BW20" s="23"/>
      <c r="BX20" s="23"/>
      <c r="BY20" s="23"/>
      <c r="BZ20" s="23"/>
      <c r="CA20" s="23"/>
      <c r="CB20" s="23"/>
      <c r="CC20" s="23"/>
      <c r="CD20" s="23"/>
      <c r="CE20" s="23"/>
      <c r="CF20" s="23"/>
      <c r="CG20" s="23"/>
      <c r="CH20" s="23"/>
      <c r="CI20" s="23"/>
      <c r="CJ20" s="23"/>
      <c r="CK20" s="23"/>
    </row>
    <row r="21" spans="1:93" s="24" customFormat="1" ht="19.5" customHeight="1" x14ac:dyDescent="0.25">
      <c r="A21" s="30">
        <v>2000</v>
      </c>
      <c r="B21" s="121" t="s">
        <v>30</v>
      </c>
      <c r="C21" s="103" t="s">
        <v>49</v>
      </c>
      <c r="D21" s="42" t="s">
        <v>48</v>
      </c>
      <c r="E21" s="103" t="s">
        <v>50</v>
      </c>
      <c r="F21" s="116" t="s">
        <v>33</v>
      </c>
      <c r="G21" s="30">
        <v>0</v>
      </c>
      <c r="H21" s="35" t="s">
        <v>27</v>
      </c>
      <c r="I21" s="31"/>
      <c r="J21" s="93"/>
      <c r="K21" s="93"/>
      <c r="L21" s="5"/>
      <c r="M21" s="5"/>
      <c r="N21" s="2"/>
      <c r="O21" s="2"/>
      <c r="P21" s="2"/>
      <c r="Q21" s="2"/>
      <c r="R21" s="2"/>
      <c r="S21" s="2"/>
      <c r="T21" s="5"/>
      <c r="U21" s="5"/>
      <c r="V21" s="5"/>
      <c r="W21" s="5"/>
      <c r="X21" s="5"/>
      <c r="Y21" s="5"/>
      <c r="Z21" s="5"/>
      <c r="AA21" s="5"/>
      <c r="AB21" s="5"/>
      <c r="AC21" s="5"/>
      <c r="AD21" s="5"/>
      <c r="AE21" s="5"/>
      <c r="AF21" s="148"/>
      <c r="AG21" s="5"/>
      <c r="AH21" s="222"/>
      <c r="AI21" s="222"/>
      <c r="AJ21" s="222"/>
      <c r="AK21" s="222"/>
      <c r="AL21" s="23"/>
      <c r="AM21" s="23"/>
      <c r="AN21" s="23"/>
      <c r="AO21" s="23"/>
      <c r="AP21" s="23"/>
      <c r="AQ21" s="23"/>
      <c r="AR21" s="23"/>
      <c r="AS21" s="23"/>
      <c r="AT21" s="23"/>
      <c r="AU21" s="23"/>
      <c r="AV21" s="23"/>
      <c r="AW21" s="23"/>
      <c r="AX21" s="23"/>
      <c r="AY21" s="23"/>
      <c r="AZ21" s="23"/>
      <c r="BA21" s="23"/>
      <c r="BB21" s="23"/>
      <c r="BC21" s="23"/>
      <c r="BD21" s="23"/>
      <c r="BE21" s="23"/>
      <c r="BF21" s="23"/>
      <c r="BG21" s="23"/>
      <c r="BH21" s="23"/>
      <c r="BI21" s="23"/>
      <c r="BJ21" s="23"/>
      <c r="BK21" s="23"/>
      <c r="BL21" s="23"/>
      <c r="BM21" s="23"/>
      <c r="BN21" s="23"/>
      <c r="BO21" s="23"/>
      <c r="BP21" s="23"/>
      <c r="BQ21" s="23"/>
      <c r="BR21" s="23"/>
      <c r="BS21" s="23"/>
      <c r="BT21" s="23"/>
      <c r="BU21" s="23"/>
      <c r="BV21" s="23"/>
      <c r="BW21" s="23"/>
      <c r="BX21" s="23"/>
      <c r="BY21" s="23"/>
      <c r="BZ21" s="23"/>
      <c r="CA21" s="23"/>
      <c r="CB21" s="23"/>
      <c r="CC21" s="23"/>
      <c r="CD21" s="23"/>
      <c r="CE21" s="23"/>
      <c r="CF21" s="23"/>
      <c r="CG21" s="23"/>
      <c r="CH21" s="23"/>
      <c r="CI21" s="23"/>
      <c r="CJ21" s="23"/>
      <c r="CK21" s="23"/>
    </row>
    <row r="22" spans="1:93" s="24" customFormat="1" ht="19.5" customHeight="1" x14ac:dyDescent="0.25">
      <c r="A22" s="30">
        <v>2000</v>
      </c>
      <c r="B22" s="121" t="s">
        <v>30</v>
      </c>
      <c r="C22" s="103" t="s">
        <v>50</v>
      </c>
      <c r="D22" s="116" t="s">
        <v>33</v>
      </c>
      <c r="E22" s="103" t="s">
        <v>50</v>
      </c>
      <c r="F22" s="116" t="s">
        <v>33</v>
      </c>
      <c r="G22" s="30">
        <v>0</v>
      </c>
      <c r="H22" s="126" t="s">
        <v>57</v>
      </c>
      <c r="I22" s="93"/>
      <c r="J22" s="238">
        <f>MAX(J18+J19-J21-I17,0)</f>
        <v>10</v>
      </c>
      <c r="K22" s="238">
        <f>MAX(K18+K19-K21-J23,0)</f>
        <v>50</v>
      </c>
      <c r="L22" s="238">
        <f t="shared" ref="L22" si="2">MAX(L18+L19-L21-K23,0)</f>
        <v>110</v>
      </c>
      <c r="M22" s="238">
        <f t="shared" ref="M22" si="3">MAX(M18+M19-M21-L23,0)</f>
        <v>50</v>
      </c>
      <c r="N22" s="238">
        <f t="shared" ref="N22" si="4">MAX(N18+N19-N21-M23,0)</f>
        <v>20</v>
      </c>
      <c r="O22" s="238">
        <f t="shared" ref="O22" si="5">MAX(O18+O19-O21-N23,0)</f>
        <v>130</v>
      </c>
      <c r="P22" s="238">
        <f t="shared" ref="P22" si="6">MAX(P18+P19-P21-O23,0)</f>
        <v>170</v>
      </c>
      <c r="Q22" s="238">
        <f t="shared" ref="Q22" si="7">MAX(Q18+Q19-Q21-P23,0)</f>
        <v>180</v>
      </c>
      <c r="R22" s="238">
        <f t="shared" ref="R22" si="8">MAX(R18+R19-R21-Q23,0)</f>
        <v>180</v>
      </c>
      <c r="S22" s="238">
        <f t="shared" ref="S22" si="9">MAX(S18+S19-S21-R23,0)</f>
        <v>10</v>
      </c>
      <c r="T22" s="238">
        <f t="shared" ref="T22" si="10">MAX(T18+T19-T21-S23,0)</f>
        <v>100</v>
      </c>
      <c r="U22" s="238">
        <f t="shared" ref="U22" si="11">MAX(U18+U19-U21-T23,0)</f>
        <v>200</v>
      </c>
      <c r="V22" s="238">
        <f t="shared" ref="V22" si="12">MAX(V18+V19-V21-U23,0)</f>
        <v>30</v>
      </c>
      <c r="W22" s="238">
        <f t="shared" ref="W22" si="13">MAX(W18+W19-W21-V23,0)</f>
        <v>200</v>
      </c>
      <c r="X22" s="238">
        <f t="shared" ref="X22" si="14">MAX(X18+X19-X21-W23,0)</f>
        <v>50</v>
      </c>
      <c r="Y22" s="238">
        <f t="shared" ref="Y22" si="15">MAX(Y18+Y19-Y21-X23,0)</f>
        <v>40</v>
      </c>
      <c r="Z22" s="238">
        <f t="shared" ref="Z22" si="16">MAX(Z18+Z19-Z21-Y23,0)</f>
        <v>40</v>
      </c>
      <c r="AA22" s="238">
        <f t="shared" ref="AA22" si="17">MAX(AA18+AA19-AA21-Z23,0)</f>
        <v>10</v>
      </c>
      <c r="AB22" s="238">
        <f t="shared" ref="AB22" si="18">MAX(AB18+AB19-AB21-AA23,0)</f>
        <v>40</v>
      </c>
      <c r="AC22" s="238">
        <f t="shared" ref="AC22" si="19">MAX(AC18+AC19-AC21-AB23,0)</f>
        <v>100</v>
      </c>
      <c r="AD22" s="238">
        <f t="shared" ref="AD22" si="20">MAX(AD18+AD19-AD21-AC23,0)</f>
        <v>150</v>
      </c>
      <c r="AE22" s="238">
        <f t="shared" ref="AE22" si="21">MAX(AE18+AE19-AE21-AD23,0)</f>
        <v>100</v>
      </c>
      <c r="AF22" s="238">
        <f t="shared" ref="AF22" si="22">MAX(AF18+AF19-AF21-AE23,0)</f>
        <v>110</v>
      </c>
      <c r="AG22" s="238">
        <f t="shared" ref="AG22" si="23">MAX(AG18+AG19-AG21-AF23,0)</f>
        <v>40</v>
      </c>
      <c r="AH22" s="238"/>
      <c r="AI22" s="238"/>
      <c r="AJ22" s="238"/>
      <c r="AK22" s="238"/>
      <c r="AL22" s="23"/>
      <c r="AM22" s="23"/>
      <c r="AN22" s="23"/>
      <c r="AO22" s="23"/>
      <c r="AP22" s="23"/>
      <c r="AQ22" s="23"/>
      <c r="AR22" s="23"/>
      <c r="AS22" s="23"/>
      <c r="AT22" s="23"/>
      <c r="AU22" s="23"/>
      <c r="AV22" s="23"/>
      <c r="AW22" s="23"/>
      <c r="AX22" s="23"/>
      <c r="AY22" s="23"/>
      <c r="AZ22" s="23"/>
      <c r="BA22" s="23"/>
      <c r="BB22" s="23"/>
      <c r="BC22" s="23"/>
      <c r="BD22" s="23"/>
      <c r="BE22" s="23"/>
      <c r="BF22" s="23"/>
      <c r="BG22" s="23"/>
      <c r="BH22" s="23"/>
      <c r="BI22" s="23"/>
      <c r="BJ22" s="23"/>
      <c r="BK22" s="23"/>
      <c r="BL22" s="23"/>
      <c r="BM22" s="23"/>
      <c r="BN22" s="23"/>
      <c r="BO22" s="23"/>
      <c r="BP22" s="23"/>
      <c r="BQ22" s="23"/>
      <c r="BR22" s="23"/>
      <c r="BS22" s="23"/>
      <c r="BT22" s="23"/>
      <c r="BU22" s="23"/>
      <c r="BV22" s="23"/>
      <c r="BW22" s="23"/>
      <c r="BX22" s="23"/>
      <c r="BY22" s="23"/>
      <c r="BZ22" s="23"/>
      <c r="CA22" s="23"/>
      <c r="CB22" s="23"/>
      <c r="CC22" s="23"/>
      <c r="CD22" s="23"/>
      <c r="CE22" s="23"/>
      <c r="CF22" s="23"/>
      <c r="CG22" s="23"/>
      <c r="CH22" s="23"/>
      <c r="CI22" s="23"/>
      <c r="CJ22" s="23"/>
      <c r="CK22" s="23"/>
    </row>
    <row r="23" spans="1:93" s="24" customFormat="1" ht="18.75" customHeight="1" x14ac:dyDescent="0.25">
      <c r="A23" s="30">
        <v>2000</v>
      </c>
      <c r="B23" s="121" t="s">
        <v>30</v>
      </c>
      <c r="C23" s="103" t="s">
        <v>50</v>
      </c>
      <c r="D23" s="116" t="s">
        <v>33</v>
      </c>
      <c r="E23" s="103" t="s">
        <v>50</v>
      </c>
      <c r="F23" s="116" t="s">
        <v>33</v>
      </c>
      <c r="G23" s="30">
        <v>0</v>
      </c>
      <c r="H23" s="125" t="s">
        <v>37</v>
      </c>
      <c r="J23" s="39">
        <f>I17+J22+J21-J18</f>
        <v>200</v>
      </c>
      <c r="K23" s="39">
        <f t="shared" ref="K23" si="24">J23+K22+K21-K18</f>
        <v>200</v>
      </c>
      <c r="L23" s="39">
        <f t="shared" ref="L23" si="25">K23+L22+L21-L18</f>
        <v>200</v>
      </c>
      <c r="M23" s="39">
        <f t="shared" ref="M23" si="26">L23+M22+M21-M18</f>
        <v>200</v>
      </c>
      <c r="N23" s="39">
        <f t="shared" ref="N23" si="27">M23+N22+N21-N18</f>
        <v>200</v>
      </c>
      <c r="O23" s="69">
        <f t="shared" ref="O23" si="28">N23+O22+O21-O18</f>
        <v>200</v>
      </c>
      <c r="P23" s="69">
        <f t="shared" ref="P23" si="29">O23+P22+P21-P18</f>
        <v>200</v>
      </c>
      <c r="Q23" s="69">
        <f t="shared" ref="Q23" si="30">P23+Q22+Q21-Q18</f>
        <v>200</v>
      </c>
      <c r="R23" s="69">
        <f t="shared" ref="R23" si="31">Q23+R22+R21-R18</f>
        <v>200</v>
      </c>
      <c r="S23" s="69">
        <f t="shared" ref="S23" si="32">R23+S22+S21-S18</f>
        <v>200</v>
      </c>
      <c r="T23" s="69">
        <f t="shared" ref="T23" si="33">S23+T22+T21-T18</f>
        <v>200</v>
      </c>
      <c r="U23" s="69">
        <f t="shared" ref="U23" si="34">T23+U22+U21-U18</f>
        <v>200</v>
      </c>
      <c r="V23" s="69">
        <f t="shared" ref="V23" si="35">U23+V22+V21-V18</f>
        <v>200</v>
      </c>
      <c r="W23" s="69">
        <f t="shared" ref="W23" si="36">V23+W22+W21-W18</f>
        <v>200</v>
      </c>
      <c r="X23" s="69">
        <f t="shared" ref="X23" si="37">W23+X22+X21-X18</f>
        <v>200</v>
      </c>
      <c r="Y23" s="69">
        <f t="shared" ref="Y23" si="38">X23+Y22+Y21-Y18</f>
        <v>200</v>
      </c>
      <c r="Z23" s="69">
        <f t="shared" ref="Z23" si="39">Y23+Z22+Z21-Z18</f>
        <v>200</v>
      </c>
      <c r="AA23" s="69">
        <f t="shared" ref="AA23" si="40">Z23+AA22+AA21-AA18</f>
        <v>200</v>
      </c>
      <c r="AB23" s="69">
        <f t="shared" ref="AB23" si="41">AA23+AB22+AB21-AB18</f>
        <v>200</v>
      </c>
      <c r="AC23" s="69">
        <f t="shared" ref="AC23" si="42">AB23+AC22+AC21-AC18</f>
        <v>200</v>
      </c>
      <c r="AD23" s="69">
        <f t="shared" ref="AD23" si="43">AC23+AD22+AD21-AD18</f>
        <v>200</v>
      </c>
      <c r="AE23" s="69">
        <f t="shared" ref="AE23" si="44">AD23+AE22+AE21-AE18</f>
        <v>200</v>
      </c>
      <c r="AF23" s="150">
        <f t="shared" ref="AF23" si="45">AE23+AF22+AF21-AF18</f>
        <v>200</v>
      </c>
      <c r="AG23" s="39">
        <f t="shared" ref="AG23" si="46">AF23+AG22+AG21-AG18</f>
        <v>200</v>
      </c>
      <c r="AH23" s="238"/>
      <c r="AI23" s="238"/>
      <c r="AJ23" s="238"/>
      <c r="AK23" s="238"/>
      <c r="AL23" s="23"/>
      <c r="AM23" s="23"/>
      <c r="AN23" s="23"/>
      <c r="AO23" s="23"/>
      <c r="AP23" s="23"/>
      <c r="AQ23" s="23"/>
      <c r="AR23" s="23"/>
      <c r="AS23" s="23"/>
      <c r="AT23" s="23"/>
      <c r="AU23" s="23"/>
      <c r="AV23" s="23"/>
      <c r="AW23" s="23"/>
      <c r="AX23" s="23"/>
      <c r="AY23" s="23"/>
      <c r="AZ23" s="23"/>
      <c r="BA23" s="23"/>
      <c r="BB23" s="23"/>
      <c r="BC23" s="23"/>
      <c r="BD23" s="23"/>
      <c r="BE23" s="23"/>
      <c r="BF23" s="23"/>
      <c r="BG23" s="23"/>
      <c r="BH23" s="23"/>
      <c r="BI23" s="23"/>
      <c r="BJ23" s="23"/>
      <c r="BK23" s="23"/>
      <c r="BL23" s="23"/>
      <c r="BM23" s="23"/>
      <c r="BN23" s="23"/>
      <c r="BO23" s="23"/>
      <c r="BP23" s="23"/>
      <c r="BQ23" s="23"/>
      <c r="BR23" s="23"/>
      <c r="BS23" s="23"/>
      <c r="BT23" s="23"/>
      <c r="BU23" s="23"/>
      <c r="BV23" s="23"/>
      <c r="BW23" s="23"/>
      <c r="BX23" s="23"/>
      <c r="BY23" s="23"/>
      <c r="BZ23" s="23"/>
      <c r="CA23" s="23"/>
      <c r="CB23" s="23"/>
      <c r="CC23" s="23"/>
      <c r="CD23" s="23"/>
      <c r="CE23" s="23"/>
      <c r="CF23" s="23"/>
      <c r="CG23" s="23"/>
      <c r="CH23" s="23"/>
      <c r="CI23" s="23"/>
      <c r="CJ23" s="23"/>
      <c r="CK23" s="23"/>
    </row>
    <row r="24" spans="1:93" s="24" customFormat="1" ht="4.5" customHeight="1" x14ac:dyDescent="0.25">
      <c r="A24" s="77"/>
      <c r="B24" s="77"/>
      <c r="C24" s="77"/>
      <c r="D24" s="74"/>
      <c r="E24" s="77"/>
      <c r="F24" s="74"/>
      <c r="G24" s="74"/>
      <c r="H24" s="74"/>
      <c r="I24" s="74"/>
      <c r="J24" s="74"/>
      <c r="K24" s="74"/>
      <c r="L24" s="74"/>
      <c r="M24" s="74"/>
      <c r="N24" s="74"/>
      <c r="O24" s="74"/>
      <c r="P24" s="74"/>
      <c r="Q24" s="74"/>
      <c r="R24" s="74"/>
      <c r="S24" s="74"/>
      <c r="T24" s="74"/>
      <c r="U24" s="74"/>
      <c r="V24" s="74"/>
      <c r="W24" s="74"/>
      <c r="X24" s="74"/>
      <c r="Y24" s="74"/>
      <c r="Z24" s="74"/>
      <c r="AA24" s="74"/>
      <c r="AB24" s="74"/>
      <c r="AC24" s="74"/>
      <c r="AD24" s="74"/>
      <c r="AE24" s="74"/>
      <c r="AF24" s="74"/>
      <c r="AG24" s="151"/>
      <c r="AH24" s="258"/>
      <c r="AI24" s="258"/>
      <c r="AJ24" s="258"/>
      <c r="AK24" s="258"/>
      <c r="AL24" s="23"/>
      <c r="AM24" s="23"/>
      <c r="AN24" s="23"/>
      <c r="AO24" s="23"/>
      <c r="AP24" s="23"/>
      <c r="AQ24" s="23"/>
      <c r="AR24" s="23"/>
      <c r="AS24" s="23"/>
      <c r="AT24" s="23"/>
      <c r="AU24" s="23"/>
      <c r="AV24" s="23"/>
      <c r="AW24" s="23"/>
      <c r="AX24" s="23"/>
      <c r="AY24" s="23"/>
      <c r="AZ24" s="23"/>
      <c r="BA24" s="23"/>
      <c r="BB24" s="23"/>
      <c r="BC24" s="23"/>
      <c r="BD24" s="23"/>
      <c r="BE24" s="23"/>
      <c r="BF24" s="23"/>
      <c r="BG24" s="23"/>
      <c r="BH24" s="23"/>
      <c r="BI24" s="23"/>
      <c r="BJ24" s="23"/>
      <c r="BK24" s="23"/>
      <c r="BL24" s="23"/>
      <c r="BM24" s="23"/>
      <c r="BN24" s="23"/>
      <c r="BO24" s="23"/>
      <c r="BP24" s="23"/>
      <c r="BQ24" s="23"/>
      <c r="BR24" s="23"/>
      <c r="BS24" s="23"/>
      <c r="BT24" s="23"/>
      <c r="BU24" s="23"/>
      <c r="BV24" s="23"/>
      <c r="BW24" s="23"/>
      <c r="BX24" s="23"/>
      <c r="BY24" s="23"/>
      <c r="BZ24" s="23"/>
      <c r="CA24" s="23"/>
      <c r="CB24" s="23"/>
      <c r="CC24" s="23"/>
      <c r="CD24" s="23"/>
      <c r="CE24" s="23"/>
      <c r="CF24" s="23"/>
      <c r="CG24" s="23"/>
      <c r="CH24" s="23"/>
      <c r="CI24" s="23"/>
      <c r="CJ24" s="23"/>
      <c r="CK24" s="23"/>
      <c r="CL24" s="23"/>
      <c r="CM24" s="23"/>
      <c r="CN24" s="23"/>
    </row>
    <row r="25" spans="1:93" ht="22.5" customHeight="1" x14ac:dyDescent="0.25">
      <c r="A25" s="108">
        <v>3000</v>
      </c>
      <c r="B25" s="122" t="s">
        <v>31</v>
      </c>
      <c r="C25" s="103" t="s">
        <v>50</v>
      </c>
      <c r="D25" s="116" t="s">
        <v>33</v>
      </c>
      <c r="E25" s="103" t="s">
        <v>50</v>
      </c>
      <c r="F25" s="116" t="s">
        <v>33</v>
      </c>
      <c r="G25" s="30">
        <v>0</v>
      </c>
      <c r="H25" s="168" t="s">
        <v>115</v>
      </c>
      <c r="I25" s="169"/>
      <c r="J25" s="263">
        <f>J28</f>
        <v>170</v>
      </c>
      <c r="K25" s="169"/>
      <c r="L25" s="169"/>
      <c r="M25" s="169"/>
      <c r="N25" s="169"/>
      <c r="O25" s="169"/>
      <c r="P25" s="169"/>
      <c r="Q25" s="169"/>
      <c r="R25" s="169"/>
      <c r="S25" s="169"/>
      <c r="T25" s="169"/>
      <c r="U25" s="169"/>
      <c r="V25" s="169"/>
      <c r="W25" s="169"/>
      <c r="X25" s="169"/>
      <c r="Y25" s="169"/>
      <c r="Z25" s="169"/>
      <c r="AA25" s="169"/>
      <c r="AB25" s="169"/>
      <c r="AC25" s="169"/>
      <c r="AD25" s="169"/>
      <c r="AE25" s="169"/>
      <c r="AF25" s="169"/>
      <c r="AG25" s="169"/>
      <c r="AH25" s="263"/>
      <c r="AI25" s="263"/>
      <c r="AJ25" s="263"/>
      <c r="AK25" s="263"/>
      <c r="AL25" s="24"/>
      <c r="AM25" s="24"/>
      <c r="AN25" s="24"/>
      <c r="AO25" s="24"/>
      <c r="AP25" s="24"/>
      <c r="AQ25" s="24"/>
      <c r="AR25" s="24"/>
      <c r="AS25" s="24"/>
      <c r="AT25" s="24"/>
      <c r="AU25" s="24"/>
      <c r="AV25" s="24"/>
      <c r="AW25" s="24"/>
      <c r="AX25" s="24"/>
      <c r="AY25" s="24"/>
      <c r="AZ25" s="24"/>
      <c r="BA25" s="24"/>
      <c r="BB25" s="24"/>
      <c r="BC25" s="24"/>
      <c r="BD25" s="24"/>
      <c r="BE25" s="24"/>
      <c r="BF25" s="24"/>
      <c r="BG25" s="24"/>
      <c r="BH25" s="24"/>
      <c r="BI25" s="24"/>
      <c r="BJ25" s="24"/>
      <c r="BK25" s="24"/>
      <c r="BL25" s="24"/>
      <c r="BM25" s="24"/>
      <c r="BN25" s="24"/>
      <c r="BO25" s="24"/>
      <c r="BP25" s="24"/>
      <c r="BQ25" s="24"/>
      <c r="BR25" s="24"/>
      <c r="BS25" s="24"/>
      <c r="BT25" s="24"/>
      <c r="BU25" s="24"/>
      <c r="BV25" s="24"/>
      <c r="BW25" s="24"/>
      <c r="BX25" s="24"/>
      <c r="BY25" s="24"/>
      <c r="BZ25" s="24"/>
      <c r="CA25" s="24"/>
      <c r="CB25" s="24"/>
      <c r="CC25" s="24"/>
      <c r="CD25" s="24"/>
      <c r="CE25" s="24"/>
      <c r="CF25" s="24"/>
      <c r="CG25" s="24"/>
      <c r="CH25" s="24"/>
      <c r="CI25" s="24"/>
      <c r="CJ25" s="24"/>
      <c r="CK25" s="24"/>
      <c r="CL25"/>
      <c r="CM25"/>
      <c r="CN25"/>
      <c r="CO25"/>
    </row>
    <row r="26" spans="1:93" ht="19.5" customHeight="1" x14ac:dyDescent="0.25">
      <c r="A26" s="108">
        <v>3000</v>
      </c>
      <c r="B26" s="122" t="s">
        <v>31</v>
      </c>
      <c r="C26" s="103" t="s">
        <v>49</v>
      </c>
      <c r="D26" s="42" t="s">
        <v>48</v>
      </c>
      <c r="E26" s="103" t="s">
        <v>50</v>
      </c>
      <c r="F26" s="116" t="s">
        <v>33</v>
      </c>
      <c r="G26" s="30">
        <v>0</v>
      </c>
      <c r="H26" s="168" t="s">
        <v>116</v>
      </c>
      <c r="I26" s="169"/>
      <c r="J26" s="263">
        <f>J30</f>
        <v>70</v>
      </c>
      <c r="K26" s="169"/>
      <c r="L26" s="169"/>
      <c r="M26" s="169"/>
      <c r="N26" s="169"/>
      <c r="O26" s="169"/>
      <c r="P26" s="169"/>
      <c r="Q26" s="169"/>
      <c r="R26" s="169"/>
      <c r="S26" s="169"/>
      <c r="T26" s="169"/>
      <c r="U26" s="169"/>
      <c r="V26" s="169"/>
      <c r="W26" s="169"/>
      <c r="X26" s="169"/>
      <c r="Y26" s="169"/>
      <c r="Z26" s="169"/>
      <c r="AA26" s="169"/>
      <c r="AB26" s="169"/>
      <c r="AC26" s="169"/>
      <c r="AD26" s="169"/>
      <c r="AE26" s="169"/>
      <c r="AF26" s="169"/>
      <c r="AG26" s="169"/>
      <c r="AH26" s="263"/>
      <c r="AI26" s="263"/>
      <c r="AJ26" s="263"/>
      <c r="AK26" s="263"/>
      <c r="AL26" s="24"/>
      <c r="AM26" s="24"/>
      <c r="AN26" s="24"/>
      <c r="AO26" s="24"/>
      <c r="AP26" s="24"/>
      <c r="AQ26" s="24"/>
      <c r="AR26" s="24"/>
      <c r="AS26" s="24"/>
      <c r="AT26" s="24"/>
      <c r="AU26" s="24"/>
      <c r="AV26" s="24"/>
      <c r="AW26" s="24"/>
      <c r="AX26" s="24"/>
      <c r="AY26" s="24"/>
      <c r="AZ26" s="24"/>
      <c r="BA26" s="24"/>
      <c r="BB26" s="24"/>
      <c r="BC26" s="24"/>
      <c r="BD26" s="24"/>
      <c r="BE26" s="24"/>
      <c r="BF26" s="24"/>
      <c r="BG26" s="24"/>
      <c r="BH26" s="24"/>
      <c r="BI26" s="24"/>
      <c r="BJ26" s="24"/>
      <c r="BK26" s="24"/>
      <c r="BL26" s="24"/>
      <c r="BM26" s="24"/>
      <c r="BN26" s="24"/>
      <c r="BO26" s="24"/>
      <c r="BP26" s="24"/>
      <c r="BQ26" s="24"/>
      <c r="BR26" s="24"/>
      <c r="BS26" s="24"/>
      <c r="BT26" s="24"/>
      <c r="BU26" s="24"/>
      <c r="BV26" s="24"/>
      <c r="BW26" s="24"/>
      <c r="BX26" s="24"/>
      <c r="BY26" s="24"/>
      <c r="BZ26" s="24"/>
      <c r="CA26" s="24"/>
      <c r="CB26" s="24"/>
      <c r="CC26" s="24"/>
      <c r="CD26" s="24"/>
      <c r="CE26" s="24"/>
      <c r="CF26" s="24"/>
      <c r="CG26" s="24"/>
      <c r="CH26" s="24"/>
      <c r="CI26" s="24"/>
      <c r="CJ26" s="24"/>
      <c r="CK26" s="24"/>
      <c r="CL26"/>
      <c r="CM26"/>
      <c r="CN26"/>
      <c r="CO26"/>
    </row>
    <row r="27" spans="1:93" ht="19.5" customHeight="1" thickBot="1" x14ac:dyDescent="0.3">
      <c r="A27" s="108">
        <v>3000</v>
      </c>
      <c r="B27" s="122" t="s">
        <v>31</v>
      </c>
      <c r="C27" s="103" t="s">
        <v>50</v>
      </c>
      <c r="D27" s="116" t="s">
        <v>33</v>
      </c>
      <c r="E27" s="103" t="s">
        <v>50</v>
      </c>
      <c r="F27" s="116" t="s">
        <v>33</v>
      </c>
      <c r="G27" s="30">
        <v>0</v>
      </c>
      <c r="H27" s="168" t="s">
        <v>120</v>
      </c>
      <c r="I27" s="38">
        <f>MJ_Initialisation!AF8</f>
        <v>300</v>
      </c>
      <c r="J27" s="293">
        <f>I27+J26-J25</f>
        <v>200</v>
      </c>
      <c r="K27" s="169"/>
      <c r="L27" s="169"/>
      <c r="M27" s="169"/>
      <c r="N27" s="169"/>
      <c r="O27" s="169"/>
      <c r="P27" s="169"/>
      <c r="Q27" s="169"/>
      <c r="R27" s="169"/>
      <c r="S27" s="169"/>
      <c r="T27" s="169"/>
      <c r="U27" s="169"/>
      <c r="V27" s="169"/>
      <c r="W27" s="169"/>
      <c r="X27" s="169"/>
      <c r="Y27" s="169"/>
      <c r="Z27" s="169"/>
      <c r="AA27" s="169"/>
      <c r="AB27" s="169"/>
      <c r="AC27" s="169"/>
      <c r="AD27" s="169"/>
      <c r="AE27" s="169"/>
      <c r="AF27" s="169"/>
      <c r="AG27" s="169"/>
      <c r="AH27" s="263"/>
      <c r="AI27" s="263"/>
      <c r="AJ27" s="263"/>
      <c r="AK27" s="263"/>
      <c r="AL27" s="24"/>
      <c r="AM27" s="24"/>
      <c r="AN27" s="24"/>
      <c r="AO27" s="24"/>
      <c r="AP27" s="24"/>
      <c r="AQ27" s="24"/>
      <c r="AR27" s="24"/>
      <c r="AS27" s="24"/>
      <c r="AT27" s="24"/>
      <c r="AU27" s="24"/>
      <c r="AV27" s="24"/>
      <c r="AW27" s="24"/>
      <c r="AX27" s="24"/>
      <c r="AY27" s="24"/>
      <c r="AZ27" s="24"/>
      <c r="BA27" s="24"/>
      <c r="BB27" s="24"/>
      <c r="BC27" s="24"/>
      <c r="BD27" s="24"/>
      <c r="BE27" s="24"/>
      <c r="BF27" s="24"/>
      <c r="BG27" s="24"/>
      <c r="BH27" s="24"/>
      <c r="BI27" s="24"/>
      <c r="BJ27" s="24"/>
      <c r="BK27" s="24"/>
      <c r="BL27" s="24"/>
      <c r="BM27" s="24"/>
      <c r="BN27" s="24"/>
      <c r="BO27" s="24"/>
      <c r="BP27" s="24"/>
      <c r="BQ27" s="24"/>
      <c r="BR27" s="24"/>
      <c r="BS27" s="24"/>
      <c r="BT27" s="24"/>
      <c r="BU27" s="24"/>
      <c r="BV27" s="24"/>
      <c r="BW27" s="24"/>
      <c r="BX27" s="24"/>
      <c r="BY27" s="24"/>
      <c r="BZ27" s="24"/>
      <c r="CA27" s="24"/>
      <c r="CB27" s="24"/>
      <c r="CC27" s="24"/>
      <c r="CD27" s="24"/>
      <c r="CE27" s="24"/>
      <c r="CF27" s="24"/>
      <c r="CG27" s="24"/>
      <c r="CH27" s="24"/>
      <c r="CI27" s="24"/>
      <c r="CJ27" s="24"/>
      <c r="CK27" s="24"/>
      <c r="CL27"/>
      <c r="CM27"/>
      <c r="CN27"/>
      <c r="CO27"/>
    </row>
    <row r="28" spans="1:93" s="24" customFormat="1" ht="19.5" customHeight="1" x14ac:dyDescent="0.25">
      <c r="A28" s="108">
        <v>3000</v>
      </c>
      <c r="B28" s="122" t="s">
        <v>31</v>
      </c>
      <c r="C28" s="103" t="s">
        <v>50</v>
      </c>
      <c r="D28" s="116" t="s">
        <v>33</v>
      </c>
      <c r="E28" s="103" t="s">
        <v>50</v>
      </c>
      <c r="F28" s="116" t="s">
        <v>33</v>
      </c>
      <c r="G28" s="30">
        <v>0</v>
      </c>
      <c r="H28" s="27" t="s">
        <v>26</v>
      </c>
      <c r="I28" s="28"/>
      <c r="J28" s="29">
        <f>MJ_Initialisation!D8</f>
        <v>170</v>
      </c>
      <c r="K28" s="29">
        <f>MJ_Initialisation!E8</f>
        <v>170</v>
      </c>
      <c r="L28" s="29">
        <f>MJ_Initialisation!F8</f>
        <v>110</v>
      </c>
      <c r="M28" s="29">
        <f>MJ_Initialisation!G8</f>
        <v>110</v>
      </c>
      <c r="N28" s="29">
        <f>MJ_Initialisation!H8</f>
        <v>150</v>
      </c>
      <c r="O28" s="29">
        <f>MJ_Initialisation!I8</f>
        <v>180</v>
      </c>
      <c r="P28" s="29">
        <f>MJ_Initialisation!J8</f>
        <v>80</v>
      </c>
      <c r="Q28" s="29">
        <f>MJ_Initialisation!K8</f>
        <v>120</v>
      </c>
      <c r="R28" s="29">
        <f>MJ_Initialisation!L8</f>
        <v>20</v>
      </c>
      <c r="S28" s="29">
        <f>MJ_Initialisation!M8</f>
        <v>20</v>
      </c>
      <c r="T28" s="29">
        <f>MJ_Initialisation!N8</f>
        <v>50</v>
      </c>
      <c r="U28" s="29">
        <f>MJ_Initialisation!O8</f>
        <v>120</v>
      </c>
      <c r="V28" s="29">
        <f>MJ_Initialisation!P8</f>
        <v>150</v>
      </c>
      <c r="W28" s="29">
        <f>MJ_Initialisation!Q8</f>
        <v>140</v>
      </c>
      <c r="X28" s="29">
        <f>MJ_Initialisation!R8</f>
        <v>160</v>
      </c>
      <c r="Y28" s="29">
        <f>MJ_Initialisation!S8</f>
        <v>30</v>
      </c>
      <c r="Z28" s="29">
        <f>MJ_Initialisation!T8</f>
        <v>30</v>
      </c>
      <c r="AA28" s="29">
        <f>MJ_Initialisation!U8</f>
        <v>0</v>
      </c>
      <c r="AB28" s="29">
        <f>MJ_Initialisation!V8</f>
        <v>110</v>
      </c>
      <c r="AC28" s="29">
        <f>MJ_Initialisation!W8</f>
        <v>80</v>
      </c>
      <c r="AD28" s="29">
        <f>MJ_Initialisation!X8</f>
        <v>180</v>
      </c>
      <c r="AE28" s="29">
        <f>MJ_Initialisation!Y8</f>
        <v>170</v>
      </c>
      <c r="AF28" s="29">
        <f>MJ_Initialisation!Z8</f>
        <v>20</v>
      </c>
      <c r="AG28" s="29">
        <f>MJ_Initialisation!AA8</f>
        <v>30</v>
      </c>
      <c r="AH28" s="235"/>
      <c r="AI28" s="235"/>
      <c r="AJ28" s="235"/>
      <c r="AK28" s="235"/>
      <c r="AL28" s="23"/>
      <c r="AM28" s="23"/>
      <c r="AN28" s="23"/>
      <c r="AO28" s="23"/>
      <c r="AP28" s="23"/>
      <c r="AQ28" s="23"/>
      <c r="AR28" s="23"/>
      <c r="AS28" s="23"/>
      <c r="AT28" s="23"/>
      <c r="AU28" s="23"/>
      <c r="AV28" s="23"/>
      <c r="AW28" s="23"/>
      <c r="AX28" s="23"/>
      <c r="AY28" s="23"/>
      <c r="AZ28" s="23"/>
      <c r="BA28" s="23"/>
      <c r="BB28" s="23"/>
      <c r="BC28" s="23"/>
      <c r="BD28" s="23"/>
      <c r="BE28" s="23"/>
      <c r="BF28" s="23"/>
      <c r="BG28" s="23"/>
      <c r="BH28" s="23"/>
      <c r="BI28" s="23"/>
      <c r="BJ28" s="23"/>
      <c r="BK28" s="23"/>
      <c r="BL28" s="23"/>
      <c r="BM28" s="23"/>
      <c r="BN28" s="23"/>
      <c r="BO28" s="23"/>
      <c r="BP28" s="23"/>
      <c r="BQ28" s="23"/>
      <c r="BR28" s="23"/>
      <c r="BS28" s="23"/>
      <c r="BT28" s="23"/>
      <c r="BU28" s="23"/>
      <c r="BV28" s="23"/>
      <c r="BW28" s="23"/>
      <c r="BX28" s="23"/>
      <c r="BY28" s="23"/>
      <c r="BZ28" s="23"/>
      <c r="CA28" s="23"/>
      <c r="CB28" s="23"/>
      <c r="CC28" s="23"/>
      <c r="CD28" s="23"/>
      <c r="CE28" s="23"/>
      <c r="CF28" s="23"/>
      <c r="CG28" s="23"/>
      <c r="CH28" s="23"/>
      <c r="CI28" s="23"/>
      <c r="CJ28" s="23"/>
      <c r="CK28" s="23"/>
    </row>
    <row r="29" spans="1:93" s="24" customFormat="1" ht="19.5" customHeight="1" x14ac:dyDescent="0.25">
      <c r="A29" s="108">
        <v>3000</v>
      </c>
      <c r="B29" s="122" t="s">
        <v>31</v>
      </c>
      <c r="C29" s="103" t="s">
        <v>50</v>
      </c>
      <c r="D29" s="116" t="s">
        <v>33</v>
      </c>
      <c r="E29" s="103" t="s">
        <v>50</v>
      </c>
      <c r="F29" s="116" t="s">
        <v>33</v>
      </c>
      <c r="G29" s="30">
        <v>0</v>
      </c>
      <c r="H29" s="125" t="s">
        <v>24</v>
      </c>
      <c r="I29" s="31"/>
      <c r="J29" s="223">
        <v>200</v>
      </c>
      <c r="K29" s="223">
        <v>200</v>
      </c>
      <c r="L29" s="223">
        <v>200</v>
      </c>
      <c r="M29" s="223">
        <v>200</v>
      </c>
      <c r="N29" s="223">
        <v>200</v>
      </c>
      <c r="O29" s="223">
        <v>200</v>
      </c>
      <c r="P29" s="223">
        <v>200</v>
      </c>
      <c r="Q29" s="223">
        <v>200</v>
      </c>
      <c r="R29" s="223">
        <v>200</v>
      </c>
      <c r="S29" s="223">
        <v>200</v>
      </c>
      <c r="T29" s="223">
        <v>200</v>
      </c>
      <c r="U29" s="223">
        <v>200</v>
      </c>
      <c r="V29" s="223">
        <v>200</v>
      </c>
      <c r="W29" s="223">
        <v>200</v>
      </c>
      <c r="X29" s="223">
        <v>200</v>
      </c>
      <c r="Y29" s="223">
        <v>200</v>
      </c>
      <c r="Z29" s="223">
        <v>200</v>
      </c>
      <c r="AA29" s="223">
        <v>200</v>
      </c>
      <c r="AB29" s="223">
        <v>200</v>
      </c>
      <c r="AC29" s="223">
        <v>200</v>
      </c>
      <c r="AD29" s="223">
        <v>200</v>
      </c>
      <c r="AE29" s="223">
        <v>200</v>
      </c>
      <c r="AF29" s="223">
        <v>200</v>
      </c>
      <c r="AG29" s="223">
        <v>200</v>
      </c>
      <c r="AH29" s="223"/>
      <c r="AI29" s="223"/>
      <c r="AJ29" s="223"/>
      <c r="AK29" s="223"/>
      <c r="AL29" s="23"/>
      <c r="AM29" s="23"/>
      <c r="AN29" s="23"/>
      <c r="AO29" s="23"/>
      <c r="AP29" s="23"/>
      <c r="AQ29" s="23"/>
      <c r="AR29" s="23"/>
      <c r="AS29" s="23"/>
      <c r="AT29" s="23"/>
      <c r="AU29" s="23"/>
      <c r="AV29" s="23"/>
      <c r="AW29" s="23"/>
      <c r="AX29" s="23"/>
      <c r="AY29" s="23"/>
      <c r="AZ29" s="23"/>
      <c r="BA29" s="23"/>
      <c r="BB29" s="23"/>
      <c r="BC29" s="23"/>
      <c r="BD29" s="23"/>
      <c r="BE29" s="23"/>
      <c r="BF29" s="23"/>
      <c r="BG29" s="23"/>
      <c r="BH29" s="23"/>
      <c r="BI29" s="23"/>
      <c r="BJ29" s="23"/>
      <c r="BK29" s="23"/>
      <c r="BL29" s="23"/>
      <c r="BM29" s="23"/>
      <c r="BN29" s="23"/>
      <c r="BO29" s="23"/>
      <c r="BP29" s="23"/>
      <c r="BQ29" s="23"/>
      <c r="BR29" s="23"/>
      <c r="BS29" s="23"/>
      <c r="BT29" s="23"/>
      <c r="BU29" s="23"/>
      <c r="BV29" s="23"/>
      <c r="BW29" s="23"/>
      <c r="BX29" s="23"/>
      <c r="BY29" s="23"/>
      <c r="BZ29" s="23"/>
      <c r="CA29" s="23"/>
      <c r="CB29" s="23"/>
      <c r="CC29" s="23"/>
      <c r="CD29" s="23"/>
      <c r="CE29" s="23"/>
      <c r="CF29" s="23"/>
      <c r="CG29" s="23"/>
      <c r="CH29" s="23"/>
      <c r="CI29" s="23"/>
      <c r="CJ29" s="23"/>
      <c r="CK29" s="23"/>
    </row>
    <row r="30" spans="1:93" s="24" customFormat="1" ht="19.5" customHeight="1" x14ac:dyDescent="0.25">
      <c r="A30" s="108">
        <v>3000</v>
      </c>
      <c r="B30" s="122" t="s">
        <v>31</v>
      </c>
      <c r="C30" s="103" t="s">
        <v>49</v>
      </c>
      <c r="D30" s="42" t="s">
        <v>48</v>
      </c>
      <c r="E30" s="103" t="s">
        <v>50</v>
      </c>
      <c r="F30" s="116" t="s">
        <v>33</v>
      </c>
      <c r="G30" s="30">
        <v>0</v>
      </c>
      <c r="H30" s="32" t="s">
        <v>41</v>
      </c>
      <c r="I30" s="33"/>
      <c r="J30" s="34">
        <f>MJ_Initialisation!D24</f>
        <v>70</v>
      </c>
      <c r="K30" s="34">
        <f>MJ_Initialisation!E24</f>
        <v>170</v>
      </c>
      <c r="L30" s="34">
        <f>MJ_Initialisation!F24</f>
        <v>110</v>
      </c>
      <c r="M30" s="34">
        <f>MJ_Initialisation!G24</f>
        <v>110</v>
      </c>
      <c r="N30" s="34">
        <f>MJ_Initialisation!H24</f>
        <v>150</v>
      </c>
      <c r="O30" s="34">
        <f>MJ_Initialisation!I24</f>
        <v>180</v>
      </c>
      <c r="P30" s="34">
        <f>MJ_Initialisation!J24</f>
        <v>80</v>
      </c>
      <c r="Q30" s="34">
        <f>MJ_Initialisation!K24</f>
        <v>120</v>
      </c>
      <c r="R30" s="34">
        <f>MJ_Initialisation!L24</f>
        <v>20</v>
      </c>
      <c r="S30" s="34">
        <f>MJ_Initialisation!M24</f>
        <v>20</v>
      </c>
      <c r="T30" s="34">
        <f>MJ_Initialisation!N24</f>
        <v>50</v>
      </c>
      <c r="U30" s="34">
        <f>MJ_Initialisation!O24</f>
        <v>120</v>
      </c>
      <c r="V30" s="34">
        <f>MJ_Initialisation!P24</f>
        <v>150</v>
      </c>
      <c r="W30" s="34">
        <f>MJ_Initialisation!Q24</f>
        <v>140</v>
      </c>
      <c r="X30" s="34">
        <f>MJ_Initialisation!R24</f>
        <v>160</v>
      </c>
      <c r="Y30" s="34">
        <f>MJ_Initialisation!S24</f>
        <v>30</v>
      </c>
      <c r="Z30" s="34">
        <f>MJ_Initialisation!T24</f>
        <v>30</v>
      </c>
      <c r="AA30" s="34">
        <f>MJ_Initialisation!U24</f>
        <v>0</v>
      </c>
      <c r="AB30" s="34">
        <f>MJ_Initialisation!V24</f>
        <v>110</v>
      </c>
      <c r="AC30" s="34">
        <f>MJ_Initialisation!W24</f>
        <v>80</v>
      </c>
      <c r="AD30" s="34">
        <f>MJ_Initialisation!X24</f>
        <v>180</v>
      </c>
      <c r="AE30" s="34">
        <f>MJ_Initialisation!Y24</f>
        <v>170</v>
      </c>
      <c r="AF30" s="34">
        <f>MJ_Initialisation!Z24</f>
        <v>20</v>
      </c>
      <c r="AG30" s="34">
        <f>MJ_Initialisation!AA24</f>
        <v>30</v>
      </c>
      <c r="AH30" s="236"/>
      <c r="AI30" s="236"/>
      <c r="AJ30" s="236"/>
      <c r="AK30" s="236"/>
      <c r="AL30" s="23"/>
      <c r="AM30" s="23"/>
      <c r="AN30" s="23"/>
      <c r="AO30" s="23"/>
      <c r="AP30" s="23"/>
      <c r="AQ30" s="23"/>
      <c r="AR30" s="23"/>
      <c r="AS30" s="23"/>
      <c r="AT30" s="23"/>
      <c r="AU30" s="23"/>
      <c r="AV30" s="23"/>
      <c r="AW30" s="23"/>
      <c r="AX30" s="23"/>
      <c r="AY30" s="23"/>
      <c r="AZ30" s="23"/>
      <c r="BA30" s="23"/>
      <c r="BB30" s="23"/>
      <c r="BC30" s="23"/>
      <c r="BD30" s="23"/>
      <c r="BE30" s="23"/>
      <c r="BF30" s="23"/>
      <c r="BG30" s="23"/>
      <c r="BH30" s="23"/>
      <c r="BI30" s="23"/>
      <c r="BJ30" s="23"/>
      <c r="BK30" s="23"/>
      <c r="BL30" s="23"/>
      <c r="BM30" s="23"/>
      <c r="BN30" s="23"/>
      <c r="BO30" s="23"/>
      <c r="BP30" s="23"/>
      <c r="BQ30" s="23"/>
      <c r="BR30" s="23"/>
      <c r="BS30" s="23"/>
      <c r="BT30" s="23"/>
      <c r="BU30" s="23"/>
      <c r="BV30" s="23"/>
      <c r="BW30" s="23"/>
      <c r="BX30" s="23"/>
      <c r="BY30" s="23"/>
      <c r="BZ30" s="23"/>
      <c r="CA30" s="23"/>
      <c r="CB30" s="23"/>
      <c r="CC30" s="23"/>
      <c r="CD30" s="23"/>
      <c r="CE30" s="23"/>
      <c r="CF30" s="23"/>
      <c r="CG30" s="23"/>
      <c r="CH30" s="23"/>
      <c r="CI30" s="23"/>
      <c r="CJ30" s="23"/>
      <c r="CK30" s="23"/>
    </row>
    <row r="31" spans="1:93" s="24" customFormat="1" ht="19.5" customHeight="1" x14ac:dyDescent="0.25">
      <c r="A31" s="108">
        <v>3000</v>
      </c>
      <c r="B31" s="122" t="s">
        <v>31</v>
      </c>
      <c r="C31" s="103" t="s">
        <v>49</v>
      </c>
      <c r="D31" s="42" t="s">
        <v>48</v>
      </c>
      <c r="E31" s="103" t="s">
        <v>50</v>
      </c>
      <c r="F31" s="116" t="s">
        <v>33</v>
      </c>
      <c r="G31" s="30">
        <v>0</v>
      </c>
      <c r="H31" s="35" t="s">
        <v>27</v>
      </c>
      <c r="I31" s="31"/>
      <c r="J31" s="93"/>
      <c r="K31" s="93"/>
      <c r="L31" s="5"/>
      <c r="M31" s="5"/>
      <c r="N31" s="2"/>
      <c r="O31" s="2"/>
      <c r="P31" s="2"/>
      <c r="Q31" s="2"/>
      <c r="R31" s="2"/>
      <c r="S31" s="2"/>
      <c r="T31" s="5"/>
      <c r="U31" s="5"/>
      <c r="V31" s="5"/>
      <c r="W31" s="5"/>
      <c r="X31" s="5"/>
      <c r="Y31" s="5"/>
      <c r="Z31" s="5"/>
      <c r="AA31" s="5"/>
      <c r="AB31" s="5"/>
      <c r="AC31" s="5"/>
      <c r="AD31" s="5"/>
      <c r="AE31" s="5"/>
      <c r="AF31" s="148"/>
      <c r="AG31" s="5"/>
      <c r="AH31" s="222"/>
      <c r="AI31" s="222"/>
      <c r="AJ31" s="222"/>
      <c r="AK31" s="222"/>
      <c r="AL31" s="23"/>
      <c r="AM31" s="23"/>
      <c r="AN31" s="23"/>
      <c r="AO31" s="23"/>
      <c r="AP31" s="23"/>
      <c r="AQ31" s="23"/>
      <c r="AR31" s="23"/>
      <c r="AS31" s="23"/>
      <c r="AT31" s="23"/>
      <c r="AU31" s="23"/>
      <c r="AV31" s="23"/>
      <c r="AW31" s="23"/>
      <c r="AX31" s="23"/>
      <c r="AY31" s="23"/>
      <c r="AZ31" s="23"/>
      <c r="BA31" s="23"/>
      <c r="BB31" s="23"/>
      <c r="BC31" s="23"/>
      <c r="BD31" s="23"/>
      <c r="BE31" s="23"/>
      <c r="BF31" s="23"/>
      <c r="BG31" s="23"/>
      <c r="BH31" s="23"/>
      <c r="BI31" s="23"/>
      <c r="BJ31" s="23"/>
      <c r="BK31" s="23"/>
      <c r="BL31" s="23"/>
      <c r="BM31" s="23"/>
      <c r="BN31" s="23"/>
      <c r="BO31" s="23"/>
      <c r="BP31" s="23"/>
      <c r="BQ31" s="23"/>
      <c r="BR31" s="23"/>
      <c r="BS31" s="23"/>
      <c r="BT31" s="23"/>
      <c r="BU31" s="23"/>
      <c r="BV31" s="23"/>
      <c r="BW31" s="23"/>
      <c r="BX31" s="23"/>
      <c r="BY31" s="23"/>
      <c r="BZ31" s="23"/>
      <c r="CA31" s="23"/>
      <c r="CB31" s="23"/>
      <c r="CC31" s="23"/>
      <c r="CD31" s="23"/>
      <c r="CE31" s="23"/>
      <c r="CF31" s="23"/>
      <c r="CG31" s="23"/>
      <c r="CH31" s="23"/>
      <c r="CI31" s="23"/>
      <c r="CJ31" s="23"/>
      <c r="CK31" s="23"/>
    </row>
    <row r="32" spans="1:93" s="24" customFormat="1" ht="19.5" customHeight="1" x14ac:dyDescent="0.25">
      <c r="A32" s="108">
        <v>3000</v>
      </c>
      <c r="B32" s="122" t="s">
        <v>31</v>
      </c>
      <c r="C32" s="103" t="s">
        <v>50</v>
      </c>
      <c r="D32" s="116" t="s">
        <v>33</v>
      </c>
      <c r="E32" s="103" t="s">
        <v>50</v>
      </c>
      <c r="F32" s="116" t="s">
        <v>33</v>
      </c>
      <c r="G32" s="30">
        <v>0</v>
      </c>
      <c r="H32" s="126" t="s">
        <v>57</v>
      </c>
      <c r="I32" s="93"/>
      <c r="J32" s="238">
        <f>MAX(J28+J29-J31-I27,0)</f>
        <v>70</v>
      </c>
      <c r="K32" s="238">
        <f>MAX(K28+K29-K31-J33,0)</f>
        <v>170</v>
      </c>
      <c r="L32" s="238">
        <f t="shared" ref="L32" si="47">MAX(L28+L29-L31-K33,0)</f>
        <v>110</v>
      </c>
      <c r="M32" s="238">
        <f t="shared" ref="M32" si="48">MAX(M28+M29-M31-L33,0)</f>
        <v>110</v>
      </c>
      <c r="N32" s="238">
        <f t="shared" ref="N32" si="49">MAX(N28+N29-N31-M33,0)</f>
        <v>150</v>
      </c>
      <c r="O32" s="238">
        <f t="shared" ref="O32" si="50">MAX(O28+O29-O31-N33,0)</f>
        <v>180</v>
      </c>
      <c r="P32" s="238">
        <f t="shared" ref="P32" si="51">MAX(P28+P29-P31-O33,0)</f>
        <v>80</v>
      </c>
      <c r="Q32" s="238">
        <f t="shared" ref="Q32" si="52">MAX(Q28+Q29-Q31-P33,0)</f>
        <v>120</v>
      </c>
      <c r="R32" s="238">
        <f t="shared" ref="R32" si="53">MAX(R28+R29-R31-Q33,0)</f>
        <v>20</v>
      </c>
      <c r="S32" s="238">
        <f t="shared" ref="S32" si="54">MAX(S28+S29-S31-R33,0)</f>
        <v>20</v>
      </c>
      <c r="T32" s="238">
        <f t="shared" ref="T32" si="55">MAX(T28+T29-T31-S33,0)</f>
        <v>50</v>
      </c>
      <c r="U32" s="238">
        <f t="shared" ref="U32" si="56">MAX(U28+U29-U31-T33,0)</f>
        <v>120</v>
      </c>
      <c r="V32" s="238">
        <f t="shared" ref="V32" si="57">MAX(V28+V29-V31-U33,0)</f>
        <v>150</v>
      </c>
      <c r="W32" s="238">
        <f t="shared" ref="W32" si="58">MAX(W28+W29-W31-V33,0)</f>
        <v>140</v>
      </c>
      <c r="X32" s="238">
        <f t="shared" ref="X32" si="59">MAX(X28+X29-X31-W33,0)</f>
        <v>160</v>
      </c>
      <c r="Y32" s="238">
        <f t="shared" ref="Y32" si="60">MAX(Y28+Y29-Y31-X33,0)</f>
        <v>30</v>
      </c>
      <c r="Z32" s="238">
        <f t="shared" ref="Z32" si="61">MAX(Z28+Z29-Z31-Y33,0)</f>
        <v>30</v>
      </c>
      <c r="AA32" s="238">
        <f t="shared" ref="AA32" si="62">MAX(AA28+AA29-AA31-Z33,0)</f>
        <v>0</v>
      </c>
      <c r="AB32" s="238">
        <f t="shared" ref="AB32" si="63">MAX(AB28+AB29-AB31-AA33,0)</f>
        <v>110</v>
      </c>
      <c r="AC32" s="238">
        <f t="shared" ref="AC32" si="64">MAX(AC28+AC29-AC31-AB33,0)</f>
        <v>80</v>
      </c>
      <c r="AD32" s="238">
        <f t="shared" ref="AD32" si="65">MAX(AD28+AD29-AD31-AC33,0)</f>
        <v>180</v>
      </c>
      <c r="AE32" s="238">
        <f t="shared" ref="AE32" si="66">MAX(AE28+AE29-AE31-AD33,0)</f>
        <v>170</v>
      </c>
      <c r="AF32" s="238">
        <f t="shared" ref="AF32" si="67">MAX(AF28+AF29-AF31-AE33,0)</f>
        <v>20</v>
      </c>
      <c r="AG32" s="238">
        <f t="shared" ref="AG32" si="68">MAX(AG28+AG29-AG31-AF33,0)</f>
        <v>30</v>
      </c>
      <c r="AH32" s="238"/>
      <c r="AI32" s="238"/>
      <c r="AJ32" s="238"/>
      <c r="AK32" s="238"/>
      <c r="AL32" s="23"/>
      <c r="AM32" s="23"/>
      <c r="AN32" s="23"/>
      <c r="AO32" s="23"/>
      <c r="AP32" s="23"/>
      <c r="AQ32" s="23"/>
      <c r="AR32" s="23"/>
      <c r="AS32" s="23"/>
      <c r="AT32" s="23"/>
      <c r="AU32" s="23"/>
      <c r="AV32" s="23"/>
      <c r="AW32" s="23"/>
      <c r="AX32" s="23"/>
      <c r="AY32" s="23"/>
      <c r="AZ32" s="23"/>
      <c r="BA32" s="23"/>
      <c r="BB32" s="23"/>
      <c r="BC32" s="23"/>
      <c r="BD32" s="23"/>
      <c r="BE32" s="23"/>
      <c r="BF32" s="23"/>
      <c r="BG32" s="23"/>
      <c r="BH32" s="23"/>
      <c r="BI32" s="23"/>
      <c r="BJ32" s="23"/>
      <c r="BK32" s="23"/>
      <c r="BL32" s="23"/>
      <c r="BM32" s="23"/>
      <c r="BN32" s="23"/>
      <c r="BO32" s="23"/>
      <c r="BP32" s="23"/>
      <c r="BQ32" s="23"/>
      <c r="BR32" s="23"/>
      <c r="BS32" s="23"/>
      <c r="BT32" s="23"/>
      <c r="BU32" s="23"/>
      <c r="BV32" s="23"/>
      <c r="BW32" s="23"/>
      <c r="BX32" s="23"/>
      <c r="BY32" s="23"/>
      <c r="BZ32" s="23"/>
      <c r="CA32" s="23"/>
      <c r="CB32" s="23"/>
      <c r="CC32" s="23"/>
      <c r="CD32" s="23"/>
      <c r="CE32" s="23"/>
      <c r="CF32" s="23"/>
      <c r="CG32" s="23"/>
      <c r="CH32" s="23"/>
      <c r="CI32" s="23"/>
      <c r="CJ32" s="23"/>
      <c r="CK32" s="23"/>
    </row>
    <row r="33" spans="1:93" s="24" customFormat="1" ht="19.5" customHeight="1" x14ac:dyDescent="0.25">
      <c r="A33" s="108">
        <v>3000</v>
      </c>
      <c r="B33" s="122" t="s">
        <v>31</v>
      </c>
      <c r="C33" s="103" t="s">
        <v>50</v>
      </c>
      <c r="D33" s="116" t="s">
        <v>33</v>
      </c>
      <c r="E33" s="103" t="s">
        <v>50</v>
      </c>
      <c r="F33" s="116" t="s">
        <v>33</v>
      </c>
      <c r="G33" s="30">
        <v>0</v>
      </c>
      <c r="H33" s="125" t="s">
        <v>37</v>
      </c>
      <c r="J33" s="39">
        <f>I27+J32+J31-J28</f>
        <v>200</v>
      </c>
      <c r="K33" s="39">
        <f t="shared" ref="K33" si="69">J33+K32+K31-K28</f>
        <v>200</v>
      </c>
      <c r="L33" s="39">
        <f t="shared" ref="L33" si="70">K33+L32+L31-L28</f>
        <v>200</v>
      </c>
      <c r="M33" s="39">
        <f t="shared" ref="M33" si="71">L33+M32+M31-M28</f>
        <v>200</v>
      </c>
      <c r="N33" s="39">
        <f t="shared" ref="N33" si="72">M33+N32+N31-N28</f>
        <v>200</v>
      </c>
      <c r="O33" s="69">
        <f t="shared" ref="O33" si="73">N33+O32+O31-O28</f>
        <v>200</v>
      </c>
      <c r="P33" s="69">
        <f t="shared" ref="P33" si="74">O33+P32+P31-P28</f>
        <v>200</v>
      </c>
      <c r="Q33" s="69">
        <f t="shared" ref="Q33" si="75">P33+Q32+Q31-Q28</f>
        <v>200</v>
      </c>
      <c r="R33" s="69">
        <f t="shared" ref="R33" si="76">Q33+R32+R31-R28</f>
        <v>200</v>
      </c>
      <c r="S33" s="69">
        <f t="shared" ref="S33" si="77">R33+S32+S31-S28</f>
        <v>200</v>
      </c>
      <c r="T33" s="69">
        <f t="shared" ref="T33" si="78">S33+T32+T31-T28</f>
        <v>200</v>
      </c>
      <c r="U33" s="69">
        <f t="shared" ref="U33" si="79">T33+U32+U31-U28</f>
        <v>200</v>
      </c>
      <c r="V33" s="69">
        <f t="shared" ref="V33" si="80">U33+V32+V31-V28</f>
        <v>200</v>
      </c>
      <c r="W33" s="69">
        <f t="shared" ref="W33" si="81">V33+W32+W31-W28</f>
        <v>200</v>
      </c>
      <c r="X33" s="69">
        <f t="shared" ref="X33" si="82">W33+X32+X31-X28</f>
        <v>200</v>
      </c>
      <c r="Y33" s="69">
        <f t="shared" ref="Y33" si="83">X33+Y32+Y31-Y28</f>
        <v>200</v>
      </c>
      <c r="Z33" s="69">
        <f t="shared" ref="Z33" si="84">Y33+Z32+Z31-Z28</f>
        <v>200</v>
      </c>
      <c r="AA33" s="69">
        <f t="shared" ref="AA33" si="85">Z33+AA32+AA31-AA28</f>
        <v>200</v>
      </c>
      <c r="AB33" s="69">
        <f t="shared" ref="AB33" si="86">AA33+AB32+AB31-AB28</f>
        <v>200</v>
      </c>
      <c r="AC33" s="69">
        <f t="shared" ref="AC33" si="87">AB33+AC32+AC31-AC28</f>
        <v>200</v>
      </c>
      <c r="AD33" s="69">
        <f t="shared" ref="AD33" si="88">AC33+AD32+AD31-AD28</f>
        <v>200</v>
      </c>
      <c r="AE33" s="69">
        <f t="shared" ref="AE33" si="89">AD33+AE32+AE31-AE28</f>
        <v>200</v>
      </c>
      <c r="AF33" s="150">
        <f t="shared" ref="AF33" si="90">AE33+AF32+AF31-AF28</f>
        <v>200</v>
      </c>
      <c r="AG33" s="39">
        <f t="shared" ref="AG33" si="91">AF33+AG32+AG31-AG28</f>
        <v>200</v>
      </c>
      <c r="AH33" s="238"/>
      <c r="AI33" s="238"/>
      <c r="AJ33" s="238"/>
      <c r="AK33" s="238"/>
      <c r="AL33" s="23"/>
      <c r="AM33" s="23"/>
      <c r="AN33" s="23"/>
      <c r="AO33" s="23"/>
      <c r="AP33" s="23"/>
      <c r="AQ33" s="23"/>
      <c r="AR33" s="23"/>
      <c r="AS33" s="23"/>
      <c r="AT33" s="23"/>
      <c r="AU33" s="23"/>
      <c r="AV33" s="23"/>
      <c r="AW33" s="23"/>
      <c r="AX33" s="23"/>
      <c r="AY33" s="23"/>
      <c r="AZ33" s="23"/>
      <c r="BA33" s="23"/>
      <c r="BB33" s="23"/>
      <c r="BC33" s="23"/>
      <c r="BD33" s="23"/>
      <c r="BE33" s="23"/>
      <c r="BF33" s="23"/>
      <c r="BG33" s="23"/>
      <c r="BH33" s="23"/>
      <c r="BI33" s="23"/>
      <c r="BJ33" s="23"/>
      <c r="BK33" s="23"/>
      <c r="BL33" s="23"/>
      <c r="BM33" s="23"/>
      <c r="BN33" s="23"/>
      <c r="BO33" s="23"/>
      <c r="BP33" s="23"/>
      <c r="BQ33" s="23"/>
      <c r="BR33" s="23"/>
      <c r="BS33" s="23"/>
      <c r="BT33" s="23"/>
      <c r="BU33" s="23"/>
      <c r="BV33" s="23"/>
      <c r="BW33" s="23"/>
      <c r="BX33" s="23"/>
      <c r="BY33" s="23"/>
      <c r="BZ33" s="23"/>
      <c r="CA33" s="23"/>
      <c r="CB33" s="23"/>
      <c r="CC33" s="23"/>
      <c r="CD33" s="23"/>
      <c r="CE33" s="23"/>
      <c r="CF33" s="23"/>
      <c r="CG33" s="23"/>
      <c r="CH33" s="23"/>
      <c r="CI33" s="23"/>
      <c r="CJ33" s="23"/>
      <c r="CK33" s="23"/>
    </row>
    <row r="34" spans="1:93" s="24" customFormat="1" ht="14.25" customHeight="1" thickBot="1" x14ac:dyDescent="0.3">
      <c r="A34" s="77"/>
      <c r="B34" s="77"/>
      <c r="C34" s="77"/>
      <c r="D34" s="77"/>
      <c r="E34" s="77"/>
      <c r="F34" s="77"/>
      <c r="G34" s="74"/>
      <c r="H34" s="74"/>
      <c r="I34" s="74"/>
      <c r="J34" s="74"/>
      <c r="K34" s="74"/>
      <c r="L34" s="74"/>
      <c r="M34" s="74"/>
      <c r="N34" s="74"/>
      <c r="O34" s="74"/>
      <c r="P34" s="74"/>
      <c r="Q34" s="74"/>
      <c r="R34" s="74"/>
      <c r="S34" s="74"/>
      <c r="T34" s="74"/>
      <c r="U34" s="74"/>
      <c r="V34" s="74"/>
      <c r="W34" s="74"/>
      <c r="X34" s="74"/>
      <c r="Y34" s="74"/>
      <c r="Z34" s="74"/>
      <c r="AA34" s="74"/>
      <c r="AB34" s="74"/>
      <c r="AC34" s="74"/>
      <c r="AD34" s="74"/>
      <c r="AE34" s="74"/>
      <c r="AF34" s="74"/>
      <c r="AG34" s="151"/>
      <c r="AH34" s="258"/>
      <c r="AI34" s="258"/>
      <c r="AJ34" s="258"/>
      <c r="AK34" s="258"/>
      <c r="AL34" s="23"/>
      <c r="AM34" s="23"/>
      <c r="AN34" s="23"/>
      <c r="AO34" s="23"/>
      <c r="AP34" s="23"/>
      <c r="AQ34" s="23"/>
      <c r="AR34" s="23"/>
      <c r="AS34" s="23"/>
      <c r="AT34" s="23"/>
      <c r="AU34" s="23"/>
      <c r="AV34" s="23"/>
      <c r="AW34" s="23"/>
      <c r="AX34" s="23"/>
      <c r="AY34" s="23"/>
      <c r="AZ34" s="23"/>
      <c r="BA34" s="23"/>
      <c r="BB34" s="23"/>
      <c r="BC34" s="23"/>
      <c r="BD34" s="23"/>
      <c r="BE34" s="23"/>
      <c r="BF34" s="23"/>
      <c r="BG34" s="23"/>
      <c r="BH34" s="23"/>
      <c r="BI34" s="23"/>
      <c r="BJ34" s="23"/>
      <c r="BK34" s="23"/>
      <c r="BL34" s="23"/>
      <c r="BM34" s="23"/>
      <c r="BN34" s="23"/>
      <c r="BO34" s="23"/>
      <c r="BP34" s="23"/>
      <c r="BQ34" s="23"/>
      <c r="BR34" s="23"/>
      <c r="BS34" s="23"/>
      <c r="BT34" s="23"/>
      <c r="BU34" s="23"/>
      <c r="BV34" s="23"/>
      <c r="BW34" s="23"/>
      <c r="BX34" s="23"/>
      <c r="BY34" s="23"/>
      <c r="BZ34" s="23"/>
      <c r="CA34" s="23"/>
      <c r="CB34" s="23"/>
      <c r="CC34" s="23"/>
      <c r="CD34" s="23"/>
      <c r="CE34" s="23"/>
      <c r="CF34" s="23"/>
      <c r="CG34" s="23"/>
      <c r="CH34" s="23"/>
      <c r="CI34" s="23"/>
      <c r="CJ34" s="23"/>
      <c r="CK34" s="23"/>
    </row>
    <row r="35" spans="1:93" ht="22.5" customHeight="1" thickBot="1" x14ac:dyDescent="0.3">
      <c r="A35" s="26">
        <v>4000</v>
      </c>
      <c r="B35" s="123" t="s">
        <v>44</v>
      </c>
      <c r="C35" s="103" t="s">
        <v>50</v>
      </c>
      <c r="D35" s="116" t="s">
        <v>33</v>
      </c>
      <c r="E35" s="103" t="s">
        <v>50</v>
      </c>
      <c r="F35" s="116" t="s">
        <v>33</v>
      </c>
      <c r="G35" s="30">
        <v>0</v>
      </c>
      <c r="H35" s="168" t="s">
        <v>115</v>
      </c>
      <c r="I35" s="169"/>
      <c r="J35" s="263">
        <f>J38</f>
        <v>160</v>
      </c>
      <c r="K35" s="169"/>
      <c r="L35" s="169"/>
      <c r="M35" s="169"/>
      <c r="N35" s="169"/>
      <c r="O35" s="169"/>
      <c r="P35" s="169"/>
      <c r="Q35" s="169"/>
      <c r="R35" s="169"/>
      <c r="S35" s="169"/>
      <c r="T35" s="169"/>
      <c r="U35" s="169"/>
      <c r="V35" s="169"/>
      <c r="W35" s="169"/>
      <c r="X35" s="169"/>
      <c r="Y35" s="169"/>
      <c r="Z35" s="169"/>
      <c r="AA35" s="169"/>
      <c r="AB35" s="169"/>
      <c r="AC35" s="169"/>
      <c r="AD35" s="169"/>
      <c r="AE35" s="169"/>
      <c r="AF35" s="169"/>
      <c r="AG35" s="169"/>
      <c r="AH35" s="263"/>
      <c r="AI35" s="263"/>
      <c r="AJ35" s="263"/>
      <c r="AK35" s="263"/>
      <c r="AL35" s="24"/>
      <c r="AM35" s="24"/>
      <c r="AN35" s="24"/>
      <c r="AO35" s="24"/>
      <c r="AP35" s="24"/>
      <c r="AQ35" s="24"/>
      <c r="AR35" s="24"/>
      <c r="AS35" s="24"/>
      <c r="AT35" s="24"/>
      <c r="AU35" s="24"/>
      <c r="AV35" s="24"/>
      <c r="AW35" s="24"/>
      <c r="AX35" s="24"/>
      <c r="AY35" s="24"/>
      <c r="AZ35" s="24"/>
      <c r="BA35" s="24"/>
      <c r="BB35" s="24"/>
      <c r="BC35" s="24"/>
      <c r="BD35" s="24"/>
      <c r="BE35" s="24"/>
      <c r="BF35" s="24"/>
      <c r="BG35" s="24"/>
      <c r="BH35" s="24"/>
      <c r="BI35" s="24"/>
      <c r="BJ35" s="24"/>
      <c r="BK35" s="24"/>
      <c r="BL35" s="24"/>
      <c r="BM35" s="24"/>
      <c r="BN35" s="24"/>
      <c r="BO35" s="24"/>
      <c r="BP35" s="24"/>
      <c r="BQ35" s="24"/>
      <c r="BR35" s="24"/>
      <c r="BS35" s="24"/>
      <c r="BT35" s="24"/>
      <c r="BU35" s="24"/>
      <c r="BV35" s="24"/>
      <c r="BW35" s="24"/>
      <c r="BX35" s="24"/>
      <c r="BY35" s="24"/>
      <c r="BZ35" s="24"/>
      <c r="CA35" s="24"/>
      <c r="CB35" s="24"/>
      <c r="CC35" s="24"/>
      <c r="CD35" s="24"/>
      <c r="CE35" s="24"/>
      <c r="CF35" s="24"/>
      <c r="CG35" s="24"/>
      <c r="CH35" s="24"/>
      <c r="CI35" s="24"/>
      <c r="CJ35" s="24"/>
      <c r="CK35" s="24"/>
      <c r="CL35"/>
      <c r="CM35"/>
      <c r="CN35"/>
      <c r="CO35"/>
    </row>
    <row r="36" spans="1:93" ht="19.5" customHeight="1" thickBot="1" x14ac:dyDescent="0.3">
      <c r="A36" s="26">
        <v>4000</v>
      </c>
      <c r="B36" s="123" t="s">
        <v>44</v>
      </c>
      <c r="C36" s="103" t="s">
        <v>49</v>
      </c>
      <c r="D36" s="42" t="s">
        <v>48</v>
      </c>
      <c r="E36" s="103" t="s">
        <v>50</v>
      </c>
      <c r="F36" s="116" t="s">
        <v>33</v>
      </c>
      <c r="G36" s="30">
        <v>0</v>
      </c>
      <c r="H36" s="168" t="s">
        <v>116</v>
      </c>
      <c r="I36" s="169"/>
      <c r="J36" s="263">
        <f>J40</f>
        <v>60</v>
      </c>
      <c r="K36" s="169"/>
      <c r="L36" s="169"/>
      <c r="M36" s="169"/>
      <c r="N36" s="169"/>
      <c r="O36" s="169"/>
      <c r="P36" s="169"/>
      <c r="Q36" s="169"/>
      <c r="R36" s="169"/>
      <c r="S36" s="169"/>
      <c r="T36" s="169"/>
      <c r="U36" s="169"/>
      <c r="V36" s="169"/>
      <c r="W36" s="169"/>
      <c r="X36" s="169"/>
      <c r="Y36" s="169"/>
      <c r="Z36" s="169"/>
      <c r="AA36" s="169"/>
      <c r="AB36" s="169"/>
      <c r="AC36" s="169"/>
      <c r="AD36" s="169"/>
      <c r="AE36" s="169"/>
      <c r="AF36" s="169"/>
      <c r="AG36" s="169"/>
      <c r="AH36" s="263"/>
      <c r="AI36" s="263"/>
      <c r="AJ36" s="263"/>
      <c r="AK36" s="263"/>
      <c r="AL36" s="24"/>
      <c r="AM36" s="24"/>
      <c r="AN36" s="24"/>
      <c r="AO36" s="24"/>
      <c r="AP36" s="24"/>
      <c r="AQ36" s="24"/>
      <c r="AR36" s="24"/>
      <c r="AS36" s="24"/>
      <c r="AT36" s="24"/>
      <c r="AU36" s="24"/>
      <c r="AV36" s="24"/>
      <c r="AW36" s="24"/>
      <c r="AX36" s="24"/>
      <c r="AY36" s="24"/>
      <c r="AZ36" s="24"/>
      <c r="BA36" s="24"/>
      <c r="BB36" s="24"/>
      <c r="BC36" s="24"/>
      <c r="BD36" s="24"/>
      <c r="BE36" s="24"/>
      <c r="BF36" s="24"/>
      <c r="BG36" s="24"/>
      <c r="BH36" s="24"/>
      <c r="BI36" s="24"/>
      <c r="BJ36" s="24"/>
      <c r="BK36" s="24"/>
      <c r="BL36" s="24"/>
      <c r="BM36" s="24"/>
      <c r="BN36" s="24"/>
      <c r="BO36" s="24"/>
      <c r="BP36" s="24"/>
      <c r="BQ36" s="24"/>
      <c r="BR36" s="24"/>
      <c r="BS36" s="24"/>
      <c r="BT36" s="24"/>
      <c r="BU36" s="24"/>
      <c r="BV36" s="24"/>
      <c r="BW36" s="24"/>
      <c r="BX36" s="24"/>
      <c r="BY36" s="24"/>
      <c r="BZ36" s="24"/>
      <c r="CA36" s="24"/>
      <c r="CB36" s="24"/>
      <c r="CC36" s="24"/>
      <c r="CD36" s="24"/>
      <c r="CE36" s="24"/>
      <c r="CF36" s="24"/>
      <c r="CG36" s="24"/>
      <c r="CH36" s="24"/>
      <c r="CI36" s="24"/>
      <c r="CJ36" s="24"/>
      <c r="CK36" s="24"/>
      <c r="CL36"/>
      <c r="CM36"/>
      <c r="CN36"/>
      <c r="CO36"/>
    </row>
    <row r="37" spans="1:93" ht="19.5" customHeight="1" thickBot="1" x14ac:dyDescent="0.3">
      <c r="A37" s="26">
        <v>4000</v>
      </c>
      <c r="B37" s="123" t="s">
        <v>44</v>
      </c>
      <c r="C37" s="103" t="s">
        <v>50</v>
      </c>
      <c r="D37" s="116" t="s">
        <v>33</v>
      </c>
      <c r="E37" s="103" t="s">
        <v>50</v>
      </c>
      <c r="F37" s="116" t="s">
        <v>33</v>
      </c>
      <c r="G37" s="30">
        <v>0</v>
      </c>
      <c r="H37" s="168" t="s">
        <v>120</v>
      </c>
      <c r="I37" s="38">
        <f>MJ_Initialisation!AF9</f>
        <v>300</v>
      </c>
      <c r="J37" s="293">
        <f>I37+J36-J35</f>
        <v>200</v>
      </c>
      <c r="K37" s="169"/>
      <c r="L37" s="169"/>
      <c r="M37" s="169"/>
      <c r="N37" s="169"/>
      <c r="O37" s="169"/>
      <c r="P37" s="169"/>
      <c r="Q37" s="169"/>
      <c r="R37" s="169"/>
      <c r="S37" s="169"/>
      <c r="T37" s="169"/>
      <c r="U37" s="169"/>
      <c r="V37" s="169"/>
      <c r="W37" s="169"/>
      <c r="X37" s="169"/>
      <c r="Y37" s="169"/>
      <c r="Z37" s="169"/>
      <c r="AA37" s="169"/>
      <c r="AB37" s="169"/>
      <c r="AC37" s="169"/>
      <c r="AD37" s="169"/>
      <c r="AE37" s="169"/>
      <c r="AF37" s="169"/>
      <c r="AG37" s="169"/>
      <c r="AH37" s="263"/>
      <c r="AI37" s="263"/>
      <c r="AJ37" s="263"/>
      <c r="AK37" s="263"/>
      <c r="AL37" s="24"/>
      <c r="AM37" s="24"/>
      <c r="AN37" s="24"/>
      <c r="AO37" s="24"/>
      <c r="AP37" s="24"/>
      <c r="AQ37" s="24"/>
      <c r="AR37" s="24"/>
      <c r="AS37" s="24"/>
      <c r="AT37" s="24"/>
      <c r="AU37" s="24"/>
      <c r="AV37" s="24"/>
      <c r="AW37" s="24"/>
      <c r="AX37" s="24"/>
      <c r="AY37" s="24"/>
      <c r="AZ37" s="24"/>
      <c r="BA37" s="24"/>
      <c r="BB37" s="24"/>
      <c r="BC37" s="24"/>
      <c r="BD37" s="24"/>
      <c r="BE37" s="24"/>
      <c r="BF37" s="24"/>
      <c r="BG37" s="24"/>
      <c r="BH37" s="24"/>
      <c r="BI37" s="24"/>
      <c r="BJ37" s="24"/>
      <c r="BK37" s="24"/>
      <c r="BL37" s="24"/>
      <c r="BM37" s="24"/>
      <c r="BN37" s="24"/>
      <c r="BO37" s="24"/>
      <c r="BP37" s="24"/>
      <c r="BQ37" s="24"/>
      <c r="BR37" s="24"/>
      <c r="BS37" s="24"/>
      <c r="BT37" s="24"/>
      <c r="BU37" s="24"/>
      <c r="BV37" s="24"/>
      <c r="BW37" s="24"/>
      <c r="BX37" s="24"/>
      <c r="BY37" s="24"/>
      <c r="BZ37" s="24"/>
      <c r="CA37" s="24"/>
      <c r="CB37" s="24"/>
      <c r="CC37" s="24"/>
      <c r="CD37" s="24"/>
      <c r="CE37" s="24"/>
      <c r="CF37" s="24"/>
      <c r="CG37" s="24"/>
      <c r="CH37" s="24"/>
      <c r="CI37" s="24"/>
      <c r="CJ37" s="24"/>
      <c r="CK37" s="24"/>
      <c r="CL37"/>
      <c r="CM37"/>
      <c r="CN37"/>
      <c r="CO37"/>
    </row>
    <row r="38" spans="1:93" s="24" customFormat="1" ht="19.5" customHeight="1" thickBot="1" x14ac:dyDescent="0.3">
      <c r="A38" s="26">
        <v>4000</v>
      </c>
      <c r="B38" s="123" t="s">
        <v>44</v>
      </c>
      <c r="C38" s="103" t="s">
        <v>50</v>
      </c>
      <c r="D38" s="116" t="s">
        <v>33</v>
      </c>
      <c r="E38" s="103" t="s">
        <v>50</v>
      </c>
      <c r="F38" s="116" t="s">
        <v>33</v>
      </c>
      <c r="G38" s="30">
        <v>0</v>
      </c>
      <c r="H38" s="27" t="s">
        <v>26</v>
      </c>
      <c r="I38" s="28"/>
      <c r="J38" s="29">
        <f>MJ_Initialisation!D9</f>
        <v>160</v>
      </c>
      <c r="K38" s="29">
        <f>MJ_Initialisation!E9</f>
        <v>60</v>
      </c>
      <c r="L38" s="29">
        <f>MJ_Initialisation!F9</f>
        <v>80</v>
      </c>
      <c r="M38" s="29">
        <f>MJ_Initialisation!G9</f>
        <v>10</v>
      </c>
      <c r="N38" s="29">
        <f>MJ_Initialisation!H9</f>
        <v>160</v>
      </c>
      <c r="O38" s="29">
        <f>MJ_Initialisation!I9</f>
        <v>80</v>
      </c>
      <c r="P38" s="29">
        <f>MJ_Initialisation!J9</f>
        <v>40</v>
      </c>
      <c r="Q38" s="29">
        <f>MJ_Initialisation!K9</f>
        <v>120</v>
      </c>
      <c r="R38" s="29">
        <f>MJ_Initialisation!L9</f>
        <v>170</v>
      </c>
      <c r="S38" s="29">
        <f>MJ_Initialisation!M9</f>
        <v>80</v>
      </c>
      <c r="T38" s="29">
        <f>MJ_Initialisation!N9</f>
        <v>150</v>
      </c>
      <c r="U38" s="29">
        <f>MJ_Initialisation!O9</f>
        <v>40</v>
      </c>
      <c r="V38" s="29">
        <f>MJ_Initialisation!P9</f>
        <v>40</v>
      </c>
      <c r="W38" s="29">
        <f>MJ_Initialisation!Q9</f>
        <v>70</v>
      </c>
      <c r="X38" s="29">
        <f>MJ_Initialisation!R9</f>
        <v>120</v>
      </c>
      <c r="Y38" s="29">
        <f>MJ_Initialisation!S9</f>
        <v>170</v>
      </c>
      <c r="Z38" s="29">
        <f>MJ_Initialisation!T9</f>
        <v>170</v>
      </c>
      <c r="AA38" s="29">
        <f>MJ_Initialisation!U9</f>
        <v>180</v>
      </c>
      <c r="AB38" s="29">
        <f>MJ_Initialisation!V9</f>
        <v>10</v>
      </c>
      <c r="AC38" s="29">
        <f>MJ_Initialisation!W9</f>
        <v>130</v>
      </c>
      <c r="AD38" s="29">
        <f>MJ_Initialisation!X9</f>
        <v>10</v>
      </c>
      <c r="AE38" s="29">
        <f>MJ_Initialisation!Y9</f>
        <v>190</v>
      </c>
      <c r="AF38" s="29">
        <f>MJ_Initialisation!Z9</f>
        <v>110</v>
      </c>
      <c r="AG38" s="29">
        <f>MJ_Initialisation!AA9</f>
        <v>100</v>
      </c>
      <c r="AH38" s="235"/>
      <c r="AI38" s="235"/>
      <c r="AJ38" s="235"/>
      <c r="AK38" s="235"/>
      <c r="AL38" s="23"/>
      <c r="AM38" s="23"/>
      <c r="AN38" s="23"/>
      <c r="AO38" s="23"/>
      <c r="AP38" s="23"/>
      <c r="AQ38" s="23"/>
      <c r="AR38" s="23"/>
      <c r="AS38" s="23"/>
      <c r="AT38" s="23"/>
      <c r="AU38" s="23"/>
      <c r="AV38" s="23"/>
      <c r="AW38" s="23"/>
      <c r="AX38" s="23"/>
      <c r="AY38" s="23"/>
      <c r="AZ38" s="23"/>
      <c r="BA38" s="23"/>
      <c r="BB38" s="23"/>
      <c r="BC38" s="23"/>
      <c r="BD38" s="23"/>
      <c r="BE38" s="23"/>
      <c r="BF38" s="23"/>
      <c r="BG38" s="23"/>
      <c r="BH38" s="23"/>
      <c r="BI38" s="23"/>
      <c r="BJ38" s="23"/>
      <c r="BK38" s="23"/>
      <c r="BL38" s="23"/>
      <c r="BM38" s="23"/>
      <c r="BN38" s="23"/>
      <c r="BO38" s="23"/>
      <c r="BP38" s="23"/>
      <c r="BQ38" s="23"/>
      <c r="BR38" s="23"/>
      <c r="BS38" s="23"/>
      <c r="BT38" s="23"/>
      <c r="BU38" s="23"/>
      <c r="BV38" s="23"/>
      <c r="BW38" s="23"/>
      <c r="BX38" s="23"/>
      <c r="BY38" s="23"/>
      <c r="BZ38" s="23"/>
      <c r="CA38" s="23"/>
      <c r="CB38" s="23"/>
      <c r="CC38" s="23"/>
      <c r="CD38" s="23"/>
      <c r="CE38" s="23"/>
      <c r="CF38" s="23"/>
      <c r="CG38" s="23"/>
      <c r="CH38" s="23"/>
      <c r="CI38" s="23"/>
      <c r="CJ38" s="23"/>
      <c r="CK38" s="23"/>
    </row>
    <row r="39" spans="1:93" s="24" customFormat="1" ht="19.5" customHeight="1" thickBot="1" x14ac:dyDescent="0.3">
      <c r="A39" s="26">
        <v>4000</v>
      </c>
      <c r="B39" s="123" t="s">
        <v>44</v>
      </c>
      <c r="C39" s="103" t="s">
        <v>50</v>
      </c>
      <c r="D39" s="116" t="s">
        <v>33</v>
      </c>
      <c r="E39" s="103" t="s">
        <v>50</v>
      </c>
      <c r="F39" s="116" t="s">
        <v>33</v>
      </c>
      <c r="G39" s="30">
        <v>0</v>
      </c>
      <c r="H39" s="125" t="s">
        <v>24</v>
      </c>
      <c r="I39" s="31"/>
      <c r="J39" s="223">
        <v>200</v>
      </c>
      <c r="K39" s="223">
        <v>200</v>
      </c>
      <c r="L39" s="223">
        <v>200</v>
      </c>
      <c r="M39" s="223">
        <v>200</v>
      </c>
      <c r="N39" s="223">
        <v>200</v>
      </c>
      <c r="O39" s="223">
        <v>200</v>
      </c>
      <c r="P39" s="223">
        <v>200</v>
      </c>
      <c r="Q39" s="223">
        <v>200</v>
      </c>
      <c r="R39" s="223">
        <v>200</v>
      </c>
      <c r="S39" s="223">
        <v>200</v>
      </c>
      <c r="T39" s="223">
        <v>200</v>
      </c>
      <c r="U39" s="223">
        <v>200</v>
      </c>
      <c r="V39" s="223">
        <v>200</v>
      </c>
      <c r="W39" s="223">
        <v>200</v>
      </c>
      <c r="X39" s="223">
        <v>200</v>
      </c>
      <c r="Y39" s="223">
        <v>200</v>
      </c>
      <c r="Z39" s="223">
        <v>200</v>
      </c>
      <c r="AA39" s="223">
        <v>200</v>
      </c>
      <c r="AB39" s="223">
        <v>200</v>
      </c>
      <c r="AC39" s="223">
        <v>200</v>
      </c>
      <c r="AD39" s="223">
        <v>200</v>
      </c>
      <c r="AE39" s="223">
        <v>200</v>
      </c>
      <c r="AF39" s="223">
        <v>200</v>
      </c>
      <c r="AG39" s="223">
        <v>200</v>
      </c>
      <c r="AH39" s="223"/>
      <c r="AI39" s="223"/>
      <c r="AJ39" s="223"/>
      <c r="AK39" s="223"/>
      <c r="AL39" s="23"/>
      <c r="AM39" s="23"/>
      <c r="AN39" s="23"/>
      <c r="AO39" s="23"/>
      <c r="AP39" s="23"/>
      <c r="AQ39" s="23"/>
      <c r="AR39" s="23"/>
      <c r="AS39" s="23"/>
      <c r="AT39" s="23"/>
      <c r="AU39" s="23"/>
      <c r="AV39" s="23"/>
      <c r="AW39" s="23"/>
      <c r="AX39" s="23"/>
      <c r="AY39" s="23"/>
      <c r="AZ39" s="23"/>
      <c r="BA39" s="23"/>
      <c r="BB39" s="23"/>
      <c r="BC39" s="23"/>
      <c r="BD39" s="23"/>
      <c r="BE39" s="23"/>
      <c r="BF39" s="23"/>
      <c r="BG39" s="23"/>
      <c r="BH39" s="23"/>
      <c r="BI39" s="23"/>
      <c r="BJ39" s="23"/>
      <c r="BK39" s="23"/>
      <c r="BL39" s="23"/>
      <c r="BM39" s="23"/>
      <c r="BN39" s="23"/>
      <c r="BO39" s="23"/>
      <c r="BP39" s="23"/>
      <c r="BQ39" s="23"/>
      <c r="BR39" s="23"/>
      <c r="BS39" s="23"/>
      <c r="BT39" s="23"/>
      <c r="BU39" s="23"/>
      <c r="BV39" s="23"/>
      <c r="BW39" s="23"/>
      <c r="BX39" s="23"/>
      <c r="BY39" s="23"/>
      <c r="BZ39" s="23"/>
      <c r="CA39" s="23"/>
      <c r="CB39" s="23"/>
      <c r="CC39" s="23"/>
      <c r="CD39" s="23"/>
      <c r="CE39" s="23"/>
      <c r="CF39" s="23"/>
      <c r="CG39" s="23"/>
      <c r="CH39" s="23"/>
      <c r="CI39" s="23"/>
      <c r="CJ39" s="23"/>
      <c r="CK39" s="23"/>
    </row>
    <row r="40" spans="1:93" s="24" customFormat="1" ht="19.5" customHeight="1" thickBot="1" x14ac:dyDescent="0.3">
      <c r="A40" s="26">
        <v>4000</v>
      </c>
      <c r="B40" s="123" t="s">
        <v>44</v>
      </c>
      <c r="C40" s="103" t="s">
        <v>49</v>
      </c>
      <c r="D40" s="42" t="s">
        <v>48</v>
      </c>
      <c r="E40" s="103" t="s">
        <v>50</v>
      </c>
      <c r="F40" s="116" t="s">
        <v>33</v>
      </c>
      <c r="G40" s="30">
        <v>0</v>
      </c>
      <c r="H40" s="32" t="s">
        <v>41</v>
      </c>
      <c r="I40" s="33"/>
      <c r="J40" s="34">
        <f>MJ_Initialisation!D26</f>
        <v>60</v>
      </c>
      <c r="K40" s="34">
        <f>MJ_Initialisation!E26</f>
        <v>60</v>
      </c>
      <c r="L40" s="34">
        <f>MJ_Initialisation!F26</f>
        <v>80</v>
      </c>
      <c r="M40" s="34">
        <f>MJ_Initialisation!G26</f>
        <v>10</v>
      </c>
      <c r="N40" s="34">
        <f>MJ_Initialisation!H26</f>
        <v>160</v>
      </c>
      <c r="O40" s="34">
        <f>MJ_Initialisation!I26</f>
        <v>80</v>
      </c>
      <c r="P40" s="34">
        <f>MJ_Initialisation!J26</f>
        <v>40</v>
      </c>
      <c r="Q40" s="34">
        <f>MJ_Initialisation!K26</f>
        <v>120</v>
      </c>
      <c r="R40" s="34">
        <f>MJ_Initialisation!L26</f>
        <v>170</v>
      </c>
      <c r="S40" s="34">
        <f>MJ_Initialisation!M26</f>
        <v>80</v>
      </c>
      <c r="T40" s="34">
        <f>MJ_Initialisation!N26</f>
        <v>150</v>
      </c>
      <c r="U40" s="34">
        <f>MJ_Initialisation!O26</f>
        <v>40</v>
      </c>
      <c r="V40" s="34">
        <f>MJ_Initialisation!P26</f>
        <v>40</v>
      </c>
      <c r="W40" s="34">
        <f>MJ_Initialisation!Q26</f>
        <v>70</v>
      </c>
      <c r="X40" s="34">
        <f>MJ_Initialisation!R26</f>
        <v>120</v>
      </c>
      <c r="Y40" s="34">
        <f>MJ_Initialisation!S26</f>
        <v>170</v>
      </c>
      <c r="Z40" s="34">
        <f>MJ_Initialisation!T26</f>
        <v>170</v>
      </c>
      <c r="AA40" s="34">
        <f>MJ_Initialisation!U26</f>
        <v>180</v>
      </c>
      <c r="AB40" s="34">
        <f>MJ_Initialisation!V26</f>
        <v>10</v>
      </c>
      <c r="AC40" s="34">
        <f>MJ_Initialisation!W26</f>
        <v>130</v>
      </c>
      <c r="AD40" s="34">
        <f>MJ_Initialisation!X26</f>
        <v>10</v>
      </c>
      <c r="AE40" s="34">
        <f>MJ_Initialisation!Y26</f>
        <v>190</v>
      </c>
      <c r="AF40" s="34">
        <f>MJ_Initialisation!Z26</f>
        <v>110</v>
      </c>
      <c r="AG40" s="34">
        <f>MJ_Initialisation!AA26</f>
        <v>100</v>
      </c>
      <c r="AH40" s="236"/>
      <c r="AI40" s="236"/>
      <c r="AJ40" s="236"/>
      <c r="AK40" s="236"/>
      <c r="AL40" s="23"/>
      <c r="AM40" s="23"/>
      <c r="AN40" s="23"/>
      <c r="AO40" s="23"/>
      <c r="AP40" s="23"/>
      <c r="AQ40" s="23"/>
      <c r="AR40" s="23"/>
      <c r="AS40" s="23"/>
      <c r="AT40" s="23"/>
      <c r="AU40" s="23"/>
      <c r="AV40" s="23"/>
      <c r="AW40" s="23"/>
      <c r="AX40" s="23"/>
      <c r="AY40" s="23"/>
      <c r="AZ40" s="23"/>
      <c r="BA40" s="23"/>
      <c r="BB40" s="23"/>
      <c r="BC40" s="23"/>
      <c r="BD40" s="23"/>
      <c r="BE40" s="23"/>
      <c r="BF40" s="23"/>
      <c r="BG40" s="23"/>
      <c r="BH40" s="23"/>
      <c r="BI40" s="23"/>
      <c r="BJ40" s="23"/>
      <c r="BK40" s="23"/>
      <c r="BL40" s="23"/>
      <c r="BM40" s="23"/>
      <c r="BN40" s="23"/>
      <c r="BO40" s="23"/>
      <c r="BP40" s="23"/>
      <c r="BQ40" s="23"/>
      <c r="BR40" s="23"/>
      <c r="BS40" s="23"/>
      <c r="BT40" s="23"/>
      <c r="BU40" s="23"/>
      <c r="BV40" s="23"/>
      <c r="BW40" s="23"/>
      <c r="BX40" s="23"/>
      <c r="BY40" s="23"/>
      <c r="BZ40" s="23"/>
      <c r="CA40" s="23"/>
      <c r="CB40" s="23"/>
      <c r="CC40" s="23"/>
      <c r="CD40" s="23"/>
      <c r="CE40" s="23"/>
      <c r="CF40" s="23"/>
      <c r="CG40" s="23"/>
      <c r="CH40" s="23"/>
      <c r="CI40" s="23"/>
      <c r="CJ40" s="23"/>
      <c r="CK40" s="23"/>
    </row>
    <row r="41" spans="1:93" s="24" customFormat="1" ht="19.5" customHeight="1" thickBot="1" x14ac:dyDescent="0.3">
      <c r="A41" s="26">
        <v>4000</v>
      </c>
      <c r="B41" s="123" t="s">
        <v>44</v>
      </c>
      <c r="C41" s="103" t="s">
        <v>49</v>
      </c>
      <c r="D41" s="42" t="s">
        <v>48</v>
      </c>
      <c r="E41" s="103" t="s">
        <v>50</v>
      </c>
      <c r="F41" s="116" t="s">
        <v>33</v>
      </c>
      <c r="G41" s="30">
        <v>0</v>
      </c>
      <c r="H41" s="35" t="s">
        <v>27</v>
      </c>
      <c r="I41" s="31"/>
      <c r="J41" s="93"/>
      <c r="K41" s="93"/>
      <c r="L41" s="5"/>
      <c r="M41" s="5"/>
      <c r="N41" s="2"/>
      <c r="O41" s="2"/>
      <c r="P41" s="2"/>
      <c r="Q41" s="2"/>
      <c r="R41" s="2"/>
      <c r="S41" s="2"/>
      <c r="T41" s="5"/>
      <c r="U41" s="5"/>
      <c r="V41" s="5"/>
      <c r="W41" s="5"/>
      <c r="X41" s="5"/>
      <c r="Y41" s="5"/>
      <c r="Z41" s="5"/>
      <c r="AA41" s="5"/>
      <c r="AB41" s="5"/>
      <c r="AC41" s="5"/>
      <c r="AD41" s="5"/>
      <c r="AE41" s="5"/>
      <c r="AF41" s="148"/>
      <c r="AG41" s="5"/>
      <c r="AH41" s="222"/>
      <c r="AI41" s="222"/>
      <c r="AJ41" s="222"/>
      <c r="AK41" s="222"/>
      <c r="AL41" s="23"/>
      <c r="AM41" s="23"/>
      <c r="AN41" s="23"/>
      <c r="AO41" s="23"/>
      <c r="AP41" s="23"/>
      <c r="AQ41" s="23"/>
      <c r="AR41" s="23"/>
      <c r="AS41" s="23"/>
      <c r="AT41" s="23"/>
      <c r="AU41" s="23"/>
      <c r="AV41" s="23"/>
      <c r="AW41" s="23"/>
      <c r="AX41" s="23"/>
      <c r="AY41" s="23"/>
      <c r="AZ41" s="23"/>
      <c r="BA41" s="23"/>
      <c r="BB41" s="23"/>
      <c r="BC41" s="23"/>
      <c r="BD41" s="23"/>
      <c r="BE41" s="23"/>
      <c r="BF41" s="23"/>
      <c r="BG41" s="23"/>
      <c r="BH41" s="23"/>
      <c r="BI41" s="23"/>
      <c r="BJ41" s="23"/>
      <c r="BK41" s="23"/>
      <c r="BL41" s="23"/>
      <c r="BM41" s="23"/>
      <c r="BN41" s="23"/>
      <c r="BO41" s="23"/>
      <c r="BP41" s="23"/>
      <c r="BQ41" s="23"/>
      <c r="BR41" s="23"/>
      <c r="BS41" s="23"/>
      <c r="BT41" s="23"/>
      <c r="BU41" s="23"/>
      <c r="BV41" s="23"/>
      <c r="BW41" s="23"/>
      <c r="BX41" s="23"/>
      <c r="BY41" s="23"/>
      <c r="BZ41" s="23"/>
      <c r="CA41" s="23"/>
      <c r="CB41" s="23"/>
      <c r="CC41" s="23"/>
      <c r="CD41" s="23"/>
      <c r="CE41" s="23"/>
      <c r="CF41" s="23"/>
      <c r="CG41" s="23"/>
      <c r="CH41" s="23"/>
      <c r="CI41" s="23"/>
      <c r="CJ41" s="23"/>
      <c r="CK41" s="23"/>
    </row>
    <row r="42" spans="1:93" s="24" customFormat="1" ht="19.5" customHeight="1" thickBot="1" x14ac:dyDescent="0.3">
      <c r="A42" s="26">
        <v>4000</v>
      </c>
      <c r="B42" s="123" t="s">
        <v>44</v>
      </c>
      <c r="C42" s="103" t="s">
        <v>50</v>
      </c>
      <c r="D42" s="116" t="s">
        <v>33</v>
      </c>
      <c r="E42" s="103" t="s">
        <v>50</v>
      </c>
      <c r="F42" s="116" t="s">
        <v>33</v>
      </c>
      <c r="G42" s="30">
        <v>0</v>
      </c>
      <c r="H42" s="126" t="s">
        <v>57</v>
      </c>
      <c r="I42" s="93"/>
      <c r="J42" s="238">
        <f>MAX(J38+J39-J41-I37,0)</f>
        <v>60</v>
      </c>
      <c r="K42" s="238">
        <f>MAX(K38+K39-K41-J43,0)</f>
        <v>60</v>
      </c>
      <c r="L42" s="238">
        <f t="shared" ref="L42" si="92">MAX(L38+L39-L41-K43,0)</f>
        <v>80</v>
      </c>
      <c r="M42" s="238">
        <f t="shared" ref="M42" si="93">MAX(M38+M39-M41-L43,0)</f>
        <v>10</v>
      </c>
      <c r="N42" s="238">
        <f t="shared" ref="N42" si="94">MAX(N38+N39-N41-M43,0)</f>
        <v>160</v>
      </c>
      <c r="O42" s="238">
        <f t="shared" ref="O42" si="95">MAX(O38+O39-O41-N43,0)</f>
        <v>80</v>
      </c>
      <c r="P42" s="238">
        <f t="shared" ref="P42" si="96">MAX(P38+P39-P41-O43,0)</f>
        <v>40</v>
      </c>
      <c r="Q42" s="238">
        <f t="shared" ref="Q42" si="97">MAX(Q38+Q39-Q41-P43,0)</f>
        <v>120</v>
      </c>
      <c r="R42" s="238">
        <f t="shared" ref="R42" si="98">MAX(R38+R39-R41-Q43,0)</f>
        <v>170</v>
      </c>
      <c r="S42" s="238">
        <f t="shared" ref="S42" si="99">MAX(S38+S39-S41-R43,0)</f>
        <v>80</v>
      </c>
      <c r="T42" s="238">
        <f t="shared" ref="T42" si="100">MAX(T38+T39-T41-S43,0)</f>
        <v>150</v>
      </c>
      <c r="U42" s="238">
        <f t="shared" ref="U42" si="101">MAX(U38+U39-U41-T43,0)</f>
        <v>40</v>
      </c>
      <c r="V42" s="238">
        <f t="shared" ref="V42" si="102">MAX(V38+V39-V41-U43,0)</f>
        <v>40</v>
      </c>
      <c r="W42" s="238">
        <f t="shared" ref="W42" si="103">MAX(W38+W39-W41-V43,0)</f>
        <v>70</v>
      </c>
      <c r="X42" s="238">
        <f t="shared" ref="X42" si="104">MAX(X38+X39-X41-W43,0)</f>
        <v>120</v>
      </c>
      <c r="Y42" s="238">
        <f t="shared" ref="Y42" si="105">MAX(Y38+Y39-Y41-X43,0)</f>
        <v>170</v>
      </c>
      <c r="Z42" s="238">
        <f t="shared" ref="Z42" si="106">MAX(Z38+Z39-Z41-Y43,0)</f>
        <v>170</v>
      </c>
      <c r="AA42" s="238">
        <f t="shared" ref="AA42" si="107">MAX(AA38+AA39-AA41-Z43,0)</f>
        <v>180</v>
      </c>
      <c r="AB42" s="238">
        <f t="shared" ref="AB42" si="108">MAX(AB38+AB39-AB41-AA43,0)</f>
        <v>10</v>
      </c>
      <c r="AC42" s="238">
        <f t="shared" ref="AC42" si="109">MAX(AC38+AC39-AC41-AB43,0)</f>
        <v>130</v>
      </c>
      <c r="AD42" s="238">
        <f t="shared" ref="AD42" si="110">MAX(AD38+AD39-AD41-AC43,0)</f>
        <v>10</v>
      </c>
      <c r="AE42" s="238">
        <f t="shared" ref="AE42" si="111">MAX(AE38+AE39-AE41-AD43,0)</f>
        <v>190</v>
      </c>
      <c r="AF42" s="238">
        <f t="shared" ref="AF42" si="112">MAX(AF38+AF39-AF41-AE43,0)</f>
        <v>110</v>
      </c>
      <c r="AG42" s="238">
        <f t="shared" ref="AG42" si="113">MAX(AG38+AG39-AG41-AF43,0)</f>
        <v>100</v>
      </c>
      <c r="AH42" s="238"/>
      <c r="AI42" s="238"/>
      <c r="AJ42" s="238"/>
      <c r="AK42" s="238"/>
      <c r="AL42" s="23"/>
      <c r="AM42" s="23"/>
      <c r="AN42" s="23"/>
      <c r="AO42" s="23"/>
      <c r="AP42" s="23"/>
      <c r="AQ42" s="23"/>
      <c r="AR42" s="23"/>
      <c r="AS42" s="23"/>
      <c r="AT42" s="23"/>
      <c r="AU42" s="23"/>
      <c r="AV42" s="23"/>
      <c r="AW42" s="23"/>
      <c r="AX42" s="23"/>
      <c r="AY42" s="23"/>
      <c r="AZ42" s="23"/>
      <c r="BA42" s="23"/>
      <c r="BB42" s="23"/>
      <c r="BC42" s="23"/>
      <c r="BD42" s="23"/>
      <c r="BE42" s="23"/>
      <c r="BF42" s="23"/>
      <c r="BG42" s="23"/>
      <c r="BH42" s="23"/>
      <c r="BI42" s="23"/>
      <c r="BJ42" s="23"/>
      <c r="BK42" s="23"/>
      <c r="BL42" s="23"/>
      <c r="BM42" s="23"/>
      <c r="BN42" s="23"/>
      <c r="BO42" s="23"/>
      <c r="BP42" s="23"/>
      <c r="BQ42" s="23"/>
      <c r="BR42" s="23"/>
      <c r="BS42" s="23"/>
      <c r="BT42" s="23"/>
      <c r="BU42" s="23"/>
      <c r="BV42" s="23"/>
      <c r="BW42" s="23"/>
      <c r="BX42" s="23"/>
      <c r="BY42" s="23"/>
      <c r="BZ42" s="23"/>
      <c r="CA42" s="23"/>
      <c r="CB42" s="23"/>
      <c r="CC42" s="23"/>
      <c r="CD42" s="23"/>
      <c r="CE42" s="23"/>
      <c r="CF42" s="23"/>
      <c r="CG42" s="23"/>
      <c r="CH42" s="23"/>
      <c r="CI42" s="23"/>
      <c r="CJ42" s="23"/>
      <c r="CK42" s="23"/>
    </row>
    <row r="43" spans="1:93" s="24" customFormat="1" ht="19.5" customHeight="1" x14ac:dyDescent="0.25">
      <c r="A43" s="26">
        <v>4000</v>
      </c>
      <c r="B43" s="123" t="s">
        <v>44</v>
      </c>
      <c r="C43" s="103" t="s">
        <v>50</v>
      </c>
      <c r="D43" s="116" t="s">
        <v>33</v>
      </c>
      <c r="E43" s="103" t="s">
        <v>50</v>
      </c>
      <c r="F43" s="116" t="s">
        <v>33</v>
      </c>
      <c r="G43" s="30">
        <v>0</v>
      </c>
      <c r="H43" s="125" t="s">
        <v>37</v>
      </c>
      <c r="J43" s="39">
        <f>I37+J42+J41-J38</f>
        <v>200</v>
      </c>
      <c r="K43" s="39">
        <f t="shared" ref="K43" si="114">J43+K42+K41-K38</f>
        <v>200</v>
      </c>
      <c r="L43" s="39">
        <f t="shared" ref="L43" si="115">K43+L42+L41-L38</f>
        <v>200</v>
      </c>
      <c r="M43" s="39">
        <f t="shared" ref="M43" si="116">L43+M42+M41-M38</f>
        <v>200</v>
      </c>
      <c r="N43" s="39">
        <f t="shared" ref="N43" si="117">M43+N42+N41-N38</f>
        <v>200</v>
      </c>
      <c r="O43" s="69">
        <f t="shared" ref="O43" si="118">N43+O42+O41-O38</f>
        <v>200</v>
      </c>
      <c r="P43" s="69">
        <f t="shared" ref="P43" si="119">O43+P42+P41-P38</f>
        <v>200</v>
      </c>
      <c r="Q43" s="69">
        <f t="shared" ref="Q43" si="120">P43+Q42+Q41-Q38</f>
        <v>200</v>
      </c>
      <c r="R43" s="69">
        <f t="shared" ref="R43" si="121">Q43+R42+R41-R38</f>
        <v>200</v>
      </c>
      <c r="S43" s="69">
        <f t="shared" ref="S43" si="122">R43+S42+S41-S38</f>
        <v>200</v>
      </c>
      <c r="T43" s="69">
        <f t="shared" ref="T43" si="123">S43+T42+T41-T38</f>
        <v>200</v>
      </c>
      <c r="U43" s="69">
        <f t="shared" ref="U43" si="124">T43+U42+U41-U38</f>
        <v>200</v>
      </c>
      <c r="V43" s="69">
        <f t="shared" ref="V43" si="125">U43+V42+V41-V38</f>
        <v>200</v>
      </c>
      <c r="W43" s="69">
        <f t="shared" ref="W43" si="126">V43+W42+W41-W38</f>
        <v>200</v>
      </c>
      <c r="X43" s="69">
        <f t="shared" ref="X43" si="127">W43+X42+X41-X38</f>
        <v>200</v>
      </c>
      <c r="Y43" s="69">
        <f t="shared" ref="Y43" si="128">X43+Y42+Y41-Y38</f>
        <v>200</v>
      </c>
      <c r="Z43" s="69">
        <f t="shared" ref="Z43" si="129">Y43+Z42+Z41-Z38</f>
        <v>200</v>
      </c>
      <c r="AA43" s="69">
        <f t="shared" ref="AA43" si="130">Z43+AA42+AA41-AA38</f>
        <v>200</v>
      </c>
      <c r="AB43" s="69">
        <f t="shared" ref="AB43" si="131">AA43+AB42+AB41-AB38</f>
        <v>200</v>
      </c>
      <c r="AC43" s="69">
        <f t="shared" ref="AC43" si="132">AB43+AC42+AC41-AC38</f>
        <v>200</v>
      </c>
      <c r="AD43" s="69">
        <f t="shared" ref="AD43" si="133">AC43+AD42+AD41-AD38</f>
        <v>200</v>
      </c>
      <c r="AE43" s="69">
        <f t="shared" ref="AE43" si="134">AD43+AE42+AE41-AE38</f>
        <v>200</v>
      </c>
      <c r="AF43" s="150">
        <f t="shared" ref="AF43" si="135">AE43+AF42+AF41-AF38</f>
        <v>200</v>
      </c>
      <c r="AG43" s="39">
        <f t="shared" ref="AG43" si="136">AF43+AG42+AG41-AG38</f>
        <v>200</v>
      </c>
      <c r="AH43" s="238"/>
      <c r="AI43" s="238"/>
      <c r="AJ43" s="238"/>
      <c r="AK43" s="238"/>
      <c r="AL43" s="23"/>
      <c r="AM43" s="23"/>
      <c r="AN43" s="23"/>
      <c r="AO43" s="23"/>
      <c r="AP43" s="23"/>
      <c r="AQ43" s="23"/>
      <c r="AR43" s="23"/>
      <c r="AS43" s="23"/>
      <c r="AT43" s="23"/>
      <c r="AU43" s="23"/>
      <c r="AV43" s="23"/>
      <c r="AW43" s="23"/>
      <c r="AX43" s="23"/>
      <c r="AY43" s="23"/>
      <c r="AZ43" s="23"/>
      <c r="BA43" s="23"/>
      <c r="BB43" s="23"/>
      <c r="BC43" s="23"/>
      <c r="BD43" s="23"/>
      <c r="BE43" s="23"/>
      <c r="BF43" s="23"/>
      <c r="BG43" s="23"/>
      <c r="BH43" s="23"/>
      <c r="BI43" s="23"/>
      <c r="BJ43" s="23"/>
      <c r="BK43" s="23"/>
      <c r="BL43" s="23"/>
      <c r="BM43" s="23"/>
      <c r="BN43" s="23"/>
      <c r="BO43" s="23"/>
      <c r="BP43" s="23"/>
      <c r="BQ43" s="23"/>
      <c r="BR43" s="23"/>
      <c r="BS43" s="23"/>
      <c r="BT43" s="23"/>
      <c r="BU43" s="23"/>
      <c r="BV43" s="23"/>
      <c r="BW43" s="23"/>
      <c r="BX43" s="23"/>
      <c r="BY43" s="23"/>
      <c r="BZ43" s="23"/>
      <c r="CA43" s="23"/>
      <c r="CB43" s="23"/>
      <c r="CC43" s="23"/>
      <c r="CD43" s="23"/>
      <c r="CE43" s="23"/>
      <c r="CF43" s="23"/>
      <c r="CG43" s="23"/>
      <c r="CH43" s="23"/>
      <c r="CI43" s="23"/>
      <c r="CJ43" s="23"/>
      <c r="CK43" s="23"/>
    </row>
    <row r="44" spans="1:93" s="24" customFormat="1" ht="19.5" customHeight="1" x14ac:dyDescent="0.25">
      <c r="A44" s="11"/>
      <c r="B44" s="11"/>
      <c r="C44" s="11"/>
      <c r="D44" s="77"/>
      <c r="E44" s="11"/>
      <c r="F44" s="77"/>
      <c r="G44" s="70"/>
      <c r="H44" s="70"/>
      <c r="I44" s="70"/>
      <c r="J44" s="70"/>
      <c r="K44" s="70"/>
      <c r="L44" s="70"/>
      <c r="M44" s="70"/>
      <c r="N44" s="70"/>
      <c r="O44" s="70"/>
      <c r="P44" s="70"/>
      <c r="Q44" s="70"/>
      <c r="R44" s="70"/>
      <c r="S44" s="70"/>
      <c r="T44" s="70"/>
      <c r="U44" s="70"/>
      <c r="V44" s="70"/>
      <c r="W44" s="70"/>
      <c r="X44" s="70"/>
      <c r="Y44" s="70"/>
      <c r="Z44" s="70"/>
      <c r="AA44" s="70"/>
      <c r="AB44" s="70"/>
      <c r="AC44" s="11"/>
      <c r="AD44" s="11"/>
      <c r="AE44" s="11"/>
      <c r="AF44" s="62"/>
      <c r="AG44" s="77"/>
      <c r="AH44" s="244"/>
      <c r="AI44" s="244"/>
      <c r="AJ44" s="244"/>
      <c r="AK44" s="244"/>
      <c r="AL44" s="23"/>
      <c r="AM44" s="23"/>
      <c r="AN44" s="23"/>
      <c r="AO44" s="23"/>
      <c r="AP44" s="23"/>
      <c r="AQ44" s="23"/>
      <c r="AR44" s="23"/>
      <c r="AS44" s="23"/>
      <c r="AT44" s="23"/>
      <c r="AU44" s="23"/>
      <c r="AV44" s="23"/>
      <c r="AW44" s="23"/>
      <c r="AX44" s="23"/>
      <c r="AY44" s="23"/>
      <c r="AZ44" s="23"/>
      <c r="BA44" s="23"/>
      <c r="BB44" s="23"/>
      <c r="BC44" s="23"/>
      <c r="BD44" s="23"/>
      <c r="BE44" s="23"/>
      <c r="BF44" s="23"/>
      <c r="BG44" s="23"/>
      <c r="BH44" s="23"/>
      <c r="BI44" s="23"/>
      <c r="BJ44" s="23"/>
      <c r="BK44" s="23"/>
      <c r="BL44" s="23"/>
      <c r="BM44" s="23"/>
      <c r="BN44" s="23"/>
      <c r="BO44" s="23"/>
      <c r="BP44" s="23"/>
      <c r="BQ44" s="23"/>
      <c r="BR44" s="23"/>
      <c r="BS44" s="23"/>
      <c r="BT44" s="23"/>
      <c r="BU44" s="23"/>
      <c r="BV44" s="23"/>
      <c r="BW44" s="23"/>
      <c r="BX44" s="23"/>
      <c r="BY44" s="23"/>
      <c r="BZ44" s="23"/>
      <c r="CA44" s="23"/>
      <c r="CB44" s="23"/>
      <c r="CC44" s="23"/>
      <c r="CD44" s="23"/>
      <c r="CE44" s="23"/>
      <c r="CF44" s="23"/>
      <c r="CG44" s="23"/>
      <c r="CH44" s="23"/>
      <c r="CI44" s="23"/>
      <c r="CJ44" s="23"/>
      <c r="CK44" s="23"/>
    </row>
    <row r="45" spans="1:93" s="23" customFormat="1" x14ac:dyDescent="0.25">
      <c r="A45" s="30">
        <v>1000</v>
      </c>
      <c r="B45" s="102" t="s">
        <v>29</v>
      </c>
      <c r="C45" s="103" t="s">
        <v>49</v>
      </c>
      <c r="D45" s="42" t="s">
        <v>48</v>
      </c>
      <c r="E45" s="103" t="s">
        <v>50</v>
      </c>
      <c r="F45" s="116" t="s">
        <v>33</v>
      </c>
      <c r="G45" s="30">
        <v>0</v>
      </c>
      <c r="H45" s="98" t="s">
        <v>56</v>
      </c>
      <c r="I45" s="93"/>
      <c r="J45" s="34">
        <f>PA_CDC!I17</f>
        <v>0</v>
      </c>
      <c r="K45" s="34">
        <f>PA_CDC!J17</f>
        <v>0</v>
      </c>
      <c r="L45" s="34">
        <f ca="1">PA_CDC!K17</f>
        <v>170</v>
      </c>
      <c r="M45" s="34">
        <f ca="1">PA_CDC!L17</f>
        <v>80</v>
      </c>
      <c r="N45" s="34">
        <f ca="1">PA_CDC!M17</f>
        <v>70</v>
      </c>
      <c r="O45" s="34">
        <f ca="1">PA_CDC!N17</f>
        <v>150</v>
      </c>
      <c r="P45" s="34">
        <f ca="1">PA_CDC!O17</f>
        <v>130</v>
      </c>
      <c r="Q45" s="34">
        <f ca="1">PA_CDC!P17</f>
        <v>200</v>
      </c>
      <c r="R45" s="34">
        <f ca="1">PA_CDC!Q17</f>
        <v>70</v>
      </c>
      <c r="S45" s="34">
        <f ca="1">PA_CDC!R17</f>
        <v>160</v>
      </c>
      <c r="T45" s="34">
        <f ca="1">PA_CDC!S17</f>
        <v>170</v>
      </c>
      <c r="U45" s="34">
        <f ca="1">PA_CDC!T17</f>
        <v>130</v>
      </c>
      <c r="V45" s="34">
        <f ca="1">PA_CDC!U17</f>
        <v>30</v>
      </c>
      <c r="W45" s="34">
        <f ca="1">PA_CDC!V17</f>
        <v>120</v>
      </c>
      <c r="X45" s="34">
        <f ca="1">PA_CDC!W17</f>
        <v>40</v>
      </c>
      <c r="Y45" s="34">
        <f ca="1">PA_CDC!X17</f>
        <v>150</v>
      </c>
      <c r="Z45" s="34">
        <f ca="1">PA_CDC!Y17</f>
        <v>150</v>
      </c>
      <c r="AA45" s="34">
        <f ca="1">PA_CDC!Z17</f>
        <v>20</v>
      </c>
      <c r="AB45" s="34">
        <f ca="1">PA_CDC!AA17</f>
        <v>170</v>
      </c>
      <c r="AC45" s="34">
        <f ca="1">PA_CDC!AB17</f>
        <v>40</v>
      </c>
      <c r="AD45" s="34">
        <f ca="1">PA_CDC!AC17</f>
        <v>130</v>
      </c>
      <c r="AE45" s="34">
        <f ca="1">PA_CDC!AD17</f>
        <v>100</v>
      </c>
      <c r="AF45" s="34">
        <f ca="1">PA_CDC!AE17</f>
        <v>190</v>
      </c>
      <c r="AG45" s="34">
        <f ca="1">PA_CDC!AF17</f>
        <v>40</v>
      </c>
      <c r="AH45" s="236"/>
      <c r="AI45" s="236"/>
      <c r="AJ45" s="236"/>
      <c r="AK45" s="236"/>
    </row>
    <row r="46" spans="1:93" s="23" customFormat="1" x14ac:dyDescent="0.25">
      <c r="A46" s="30">
        <v>2000</v>
      </c>
      <c r="B46" s="121" t="s">
        <v>30</v>
      </c>
      <c r="C46" s="103" t="s">
        <v>49</v>
      </c>
      <c r="D46" s="42" t="s">
        <v>48</v>
      </c>
      <c r="E46" s="103" t="s">
        <v>50</v>
      </c>
      <c r="F46" s="116" t="s">
        <v>33</v>
      </c>
      <c r="G46" s="30">
        <v>0</v>
      </c>
      <c r="H46" s="98" t="s">
        <v>56</v>
      </c>
      <c r="I46" s="93"/>
      <c r="J46" s="34">
        <f>PA_CDC!I51</f>
        <v>10</v>
      </c>
      <c r="K46" s="34">
        <f>PA_CDC!J51</f>
        <v>50</v>
      </c>
      <c r="L46" s="34">
        <f ca="1">PA_CDC!K51</f>
        <v>110</v>
      </c>
      <c r="M46" s="34">
        <f ca="1">PA_CDC!L51</f>
        <v>50</v>
      </c>
      <c r="N46" s="34">
        <f ca="1">PA_CDC!M51</f>
        <v>20</v>
      </c>
      <c r="O46" s="34">
        <f ca="1">PA_CDC!N51</f>
        <v>130</v>
      </c>
      <c r="P46" s="34">
        <f ca="1">PA_CDC!O51</f>
        <v>170</v>
      </c>
      <c r="Q46" s="34">
        <f ca="1">PA_CDC!P51</f>
        <v>180</v>
      </c>
      <c r="R46" s="34">
        <f ca="1">PA_CDC!Q51</f>
        <v>180</v>
      </c>
      <c r="S46" s="34">
        <f ca="1">PA_CDC!R51</f>
        <v>10</v>
      </c>
      <c r="T46" s="34">
        <f ca="1">PA_CDC!S51</f>
        <v>100</v>
      </c>
      <c r="U46" s="34">
        <f ca="1">PA_CDC!T51</f>
        <v>200</v>
      </c>
      <c r="V46" s="34">
        <f ca="1">PA_CDC!U51</f>
        <v>30</v>
      </c>
      <c r="W46" s="34">
        <f ca="1">PA_CDC!V51</f>
        <v>200</v>
      </c>
      <c r="X46" s="34">
        <f ca="1">PA_CDC!W51</f>
        <v>50</v>
      </c>
      <c r="Y46" s="34">
        <f ca="1">PA_CDC!X51</f>
        <v>40</v>
      </c>
      <c r="Z46" s="34">
        <f ca="1">PA_CDC!Y51</f>
        <v>40</v>
      </c>
      <c r="AA46" s="34">
        <f ca="1">PA_CDC!Z51</f>
        <v>10</v>
      </c>
      <c r="AB46" s="34">
        <f ca="1">PA_CDC!AA51</f>
        <v>40</v>
      </c>
      <c r="AC46" s="34">
        <f ca="1">PA_CDC!AB51</f>
        <v>100</v>
      </c>
      <c r="AD46" s="34">
        <f ca="1">PA_CDC!AC51</f>
        <v>150</v>
      </c>
      <c r="AE46" s="34">
        <f ca="1">PA_CDC!AD51</f>
        <v>100</v>
      </c>
      <c r="AF46" s="34">
        <f ca="1">PA_CDC!AE51</f>
        <v>110</v>
      </c>
      <c r="AG46" s="34">
        <f ca="1">PA_CDC!AF51</f>
        <v>40</v>
      </c>
      <c r="AH46" s="236"/>
      <c r="AI46" s="236"/>
      <c r="AJ46" s="236"/>
      <c r="AK46" s="236"/>
    </row>
    <row r="47" spans="1:93" s="23" customFormat="1" ht="15.75" thickBot="1" x14ac:dyDescent="0.3">
      <c r="A47" s="108">
        <v>3000</v>
      </c>
      <c r="B47" s="122" t="s">
        <v>31</v>
      </c>
      <c r="C47" s="103" t="s">
        <v>49</v>
      </c>
      <c r="D47" s="42" t="s">
        <v>48</v>
      </c>
      <c r="E47" s="103" t="s">
        <v>50</v>
      </c>
      <c r="F47" s="116" t="s">
        <v>33</v>
      </c>
      <c r="G47" s="30">
        <v>0</v>
      </c>
      <c r="H47" s="98" t="s">
        <v>56</v>
      </c>
      <c r="I47" s="93"/>
      <c r="J47" s="34">
        <f>PA_CDC!I80</f>
        <v>70</v>
      </c>
      <c r="K47" s="34">
        <f>PA_CDC!J80</f>
        <v>170</v>
      </c>
      <c r="L47" s="34">
        <f ca="1">PA_CDC!K80</f>
        <v>110</v>
      </c>
      <c r="M47" s="34">
        <f ca="1">PA_CDC!L80</f>
        <v>110</v>
      </c>
      <c r="N47" s="34">
        <f ca="1">PA_CDC!M80</f>
        <v>150</v>
      </c>
      <c r="O47" s="34">
        <f ca="1">PA_CDC!N80</f>
        <v>180</v>
      </c>
      <c r="P47" s="34">
        <f ca="1">PA_CDC!O80</f>
        <v>80</v>
      </c>
      <c r="Q47" s="34">
        <f ca="1">PA_CDC!P80</f>
        <v>120</v>
      </c>
      <c r="R47" s="34">
        <f ca="1">PA_CDC!Q80</f>
        <v>20</v>
      </c>
      <c r="S47" s="34">
        <f ca="1">PA_CDC!R80</f>
        <v>20</v>
      </c>
      <c r="T47" s="34">
        <f ca="1">PA_CDC!S80</f>
        <v>50</v>
      </c>
      <c r="U47" s="34">
        <f ca="1">PA_CDC!T80</f>
        <v>120</v>
      </c>
      <c r="V47" s="34">
        <f ca="1">PA_CDC!U80</f>
        <v>150</v>
      </c>
      <c r="W47" s="34">
        <f ca="1">PA_CDC!V80</f>
        <v>140</v>
      </c>
      <c r="X47" s="34">
        <f ca="1">PA_CDC!W80</f>
        <v>160</v>
      </c>
      <c r="Y47" s="34">
        <f ca="1">PA_CDC!X80</f>
        <v>30</v>
      </c>
      <c r="Z47" s="34">
        <f ca="1">PA_CDC!Y80</f>
        <v>30</v>
      </c>
      <c r="AA47" s="34">
        <f ca="1">PA_CDC!Z80</f>
        <v>0</v>
      </c>
      <c r="AB47" s="34">
        <f ca="1">PA_CDC!AA80</f>
        <v>110</v>
      </c>
      <c r="AC47" s="34">
        <f ca="1">PA_CDC!AB80</f>
        <v>80</v>
      </c>
      <c r="AD47" s="34">
        <f ca="1">PA_CDC!AC80</f>
        <v>180</v>
      </c>
      <c r="AE47" s="34">
        <f ca="1">PA_CDC!AD80</f>
        <v>170</v>
      </c>
      <c r="AF47" s="34">
        <f ca="1">PA_CDC!AE80</f>
        <v>20</v>
      </c>
      <c r="AG47" s="34">
        <f ca="1">PA_CDC!AF80</f>
        <v>30</v>
      </c>
      <c r="AH47" s="236"/>
      <c r="AI47" s="236"/>
      <c r="AJ47" s="236"/>
      <c r="AK47" s="236"/>
    </row>
    <row r="48" spans="1:93" s="23" customFormat="1" x14ac:dyDescent="0.25">
      <c r="A48" s="26">
        <v>4000</v>
      </c>
      <c r="B48" s="123" t="s">
        <v>44</v>
      </c>
      <c r="C48" s="103" t="s">
        <v>49</v>
      </c>
      <c r="D48" s="42" t="s">
        <v>48</v>
      </c>
      <c r="E48" s="103" t="s">
        <v>50</v>
      </c>
      <c r="F48" s="116" t="s">
        <v>33</v>
      </c>
      <c r="G48" s="30">
        <v>0</v>
      </c>
      <c r="H48" s="98" t="s">
        <v>56</v>
      </c>
      <c r="I48" s="93"/>
      <c r="J48" s="164">
        <f>PA_CDC!I99</f>
        <v>60</v>
      </c>
      <c r="K48" s="164">
        <f>PA_CDC!J99</f>
        <v>60</v>
      </c>
      <c r="L48" s="164">
        <f ca="1">PA_CDC!K99</f>
        <v>80</v>
      </c>
      <c r="M48" s="164">
        <f ca="1">PA_CDC!L99</f>
        <v>10</v>
      </c>
      <c r="N48" s="164">
        <f ca="1">PA_CDC!M99</f>
        <v>160</v>
      </c>
      <c r="O48" s="164">
        <f ca="1">PA_CDC!N99</f>
        <v>80</v>
      </c>
      <c r="P48" s="164">
        <f ca="1">PA_CDC!O99</f>
        <v>40</v>
      </c>
      <c r="Q48" s="164">
        <f ca="1">PA_CDC!P99</f>
        <v>120</v>
      </c>
      <c r="R48" s="164">
        <f ca="1">PA_CDC!Q99</f>
        <v>170</v>
      </c>
      <c r="S48" s="164">
        <f ca="1">PA_CDC!R99</f>
        <v>80</v>
      </c>
      <c r="T48" s="164">
        <f ca="1">PA_CDC!S99</f>
        <v>150</v>
      </c>
      <c r="U48" s="164">
        <f ca="1">PA_CDC!T99</f>
        <v>40</v>
      </c>
      <c r="V48" s="164">
        <f ca="1">PA_CDC!U99</f>
        <v>40</v>
      </c>
      <c r="W48" s="164">
        <f ca="1">PA_CDC!V99</f>
        <v>70</v>
      </c>
      <c r="X48" s="164">
        <f ca="1">PA_CDC!W99</f>
        <v>120</v>
      </c>
      <c r="Y48" s="164">
        <f ca="1">PA_CDC!X99</f>
        <v>170</v>
      </c>
      <c r="Z48" s="164">
        <f ca="1">PA_CDC!Y99</f>
        <v>170</v>
      </c>
      <c r="AA48" s="164">
        <f ca="1">PA_CDC!Z99</f>
        <v>180</v>
      </c>
      <c r="AB48" s="164">
        <f ca="1">PA_CDC!AA99</f>
        <v>10</v>
      </c>
      <c r="AC48" s="164">
        <f ca="1">PA_CDC!AB99</f>
        <v>130</v>
      </c>
      <c r="AD48" s="164">
        <f ca="1">PA_CDC!AC99</f>
        <v>10</v>
      </c>
      <c r="AE48" s="164">
        <f ca="1">PA_CDC!AD99</f>
        <v>190</v>
      </c>
      <c r="AF48" s="164">
        <f ca="1">PA_CDC!AE99</f>
        <v>110</v>
      </c>
      <c r="AG48" s="164">
        <f ca="1">PA_CDC!AF99</f>
        <v>100</v>
      </c>
      <c r="AH48" s="262"/>
      <c r="AI48" s="262"/>
      <c r="AJ48" s="262"/>
      <c r="AK48" s="262"/>
    </row>
    <row r="49" spans="8:34" s="23" customFormat="1" x14ac:dyDescent="0.25">
      <c r="H49" s="78"/>
      <c r="I49" s="78"/>
      <c r="J49" s="78"/>
      <c r="K49" s="78"/>
      <c r="L49" s="78"/>
      <c r="M49" s="78"/>
      <c r="N49" s="78"/>
      <c r="O49" s="78"/>
      <c r="P49" s="78"/>
      <c r="Q49" s="78"/>
      <c r="R49" s="78"/>
      <c r="S49" s="78"/>
      <c r="T49" s="78"/>
      <c r="U49" s="78"/>
      <c r="V49" s="78"/>
      <c r="W49" s="78"/>
      <c r="X49" s="78"/>
      <c r="Y49" s="78"/>
      <c r="Z49" s="78"/>
      <c r="AA49" s="78"/>
      <c r="AB49" s="78"/>
      <c r="AC49" s="78"/>
      <c r="AD49" s="78"/>
      <c r="AE49" s="78"/>
      <c r="AH49"/>
    </row>
    <row r="50" spans="8:34" s="23" customFormat="1" x14ac:dyDescent="0.25">
      <c r="H50" s="78"/>
      <c r="I50" s="78"/>
      <c r="J50" s="78"/>
      <c r="K50" s="78"/>
      <c r="L50" s="78"/>
      <c r="M50" s="78"/>
      <c r="N50" s="78"/>
      <c r="O50" s="78"/>
      <c r="P50" s="78"/>
      <c r="Q50" s="78"/>
      <c r="R50" s="78"/>
      <c r="S50" s="78"/>
      <c r="T50" s="78"/>
      <c r="U50" s="78"/>
      <c r="V50" s="78"/>
      <c r="W50" s="78"/>
      <c r="X50" s="78"/>
      <c r="Y50" s="78"/>
      <c r="Z50" s="78"/>
      <c r="AA50" s="78"/>
      <c r="AB50" s="78"/>
      <c r="AC50" s="78"/>
      <c r="AD50" s="78"/>
      <c r="AE50" s="78"/>
      <c r="AH50"/>
    </row>
    <row r="51" spans="8:34" s="23" customFormat="1" x14ac:dyDescent="0.25">
      <c r="H51" s="78"/>
      <c r="I51" s="78"/>
      <c r="J51" s="78"/>
      <c r="K51" s="78"/>
      <c r="L51" s="78"/>
      <c r="M51" s="78"/>
      <c r="N51" s="78"/>
      <c r="O51" s="78"/>
      <c r="P51" s="78"/>
      <c r="Q51" s="78"/>
      <c r="R51" s="78"/>
      <c r="S51" s="78"/>
      <c r="T51" s="78"/>
      <c r="U51" s="78"/>
      <c r="V51" s="78"/>
      <c r="W51" s="78"/>
      <c r="X51" s="78"/>
      <c r="Y51" s="78"/>
      <c r="Z51" s="78"/>
      <c r="AA51" s="78"/>
      <c r="AB51" s="78"/>
      <c r="AC51" s="78"/>
      <c r="AD51" s="78"/>
      <c r="AE51" s="78"/>
      <c r="AH51"/>
    </row>
    <row r="52" spans="8:34" s="23" customFormat="1" x14ac:dyDescent="0.25">
      <c r="H52" s="78"/>
      <c r="I52" s="78"/>
      <c r="J52" s="78"/>
      <c r="K52" s="78"/>
      <c r="L52" s="78"/>
      <c r="M52" s="78"/>
      <c r="N52" s="78"/>
      <c r="O52" s="78"/>
      <c r="P52" s="78"/>
      <c r="Q52" s="78"/>
      <c r="R52" s="78"/>
      <c r="S52" s="78"/>
      <c r="T52" s="78"/>
      <c r="U52" s="78"/>
      <c r="V52" s="78"/>
      <c r="W52" s="78"/>
      <c r="X52" s="78"/>
      <c r="Y52" s="78"/>
      <c r="Z52" s="78"/>
      <c r="AA52" s="78"/>
      <c r="AB52" s="78"/>
      <c r="AC52" s="78"/>
      <c r="AD52" s="78"/>
      <c r="AE52" s="78"/>
      <c r="AH52"/>
    </row>
    <row r="53" spans="8:34" s="23" customFormat="1" x14ac:dyDescent="0.25">
      <c r="H53" s="78"/>
      <c r="I53" s="78"/>
      <c r="J53" s="78"/>
      <c r="K53" s="78"/>
      <c r="L53" s="78"/>
      <c r="M53" s="78"/>
      <c r="N53" s="78"/>
      <c r="O53" s="78"/>
      <c r="P53" s="78"/>
      <c r="Q53" s="78"/>
      <c r="R53" s="78"/>
      <c r="S53" s="78"/>
      <c r="T53" s="78"/>
      <c r="U53" s="78"/>
      <c r="V53" s="78"/>
      <c r="W53" s="78"/>
      <c r="X53" s="78"/>
      <c r="Y53" s="78"/>
      <c r="Z53" s="78"/>
      <c r="AA53" s="78"/>
      <c r="AB53" s="78"/>
      <c r="AC53" s="78"/>
      <c r="AD53" s="78"/>
      <c r="AE53" s="78"/>
      <c r="AH53"/>
    </row>
    <row r="54" spans="8:34" s="23" customFormat="1" x14ac:dyDescent="0.25">
      <c r="H54" s="78"/>
      <c r="I54" s="78"/>
      <c r="J54" s="78"/>
      <c r="K54" s="78"/>
      <c r="L54" s="78"/>
      <c r="M54" s="78"/>
      <c r="N54" s="78"/>
      <c r="O54" s="78"/>
      <c r="P54" s="78"/>
      <c r="Q54" s="78"/>
      <c r="R54" s="78"/>
      <c r="S54" s="78"/>
      <c r="T54" s="78"/>
      <c r="U54" s="78"/>
      <c r="V54" s="78"/>
      <c r="W54" s="78"/>
      <c r="X54" s="78"/>
      <c r="Y54" s="78"/>
      <c r="Z54" s="78"/>
      <c r="AA54" s="78"/>
      <c r="AB54" s="78"/>
      <c r="AC54" s="78"/>
      <c r="AD54" s="78"/>
      <c r="AE54" s="78"/>
      <c r="AH54"/>
    </row>
    <row r="55" spans="8:34" s="23" customFormat="1" x14ac:dyDescent="0.25">
      <c r="H55" s="78"/>
      <c r="I55" s="78"/>
      <c r="J55" s="78"/>
      <c r="K55" s="78"/>
      <c r="L55" s="78"/>
      <c r="M55" s="78"/>
      <c r="N55" s="78"/>
      <c r="O55" s="78"/>
      <c r="P55" s="78"/>
      <c r="Q55" s="78"/>
      <c r="R55" s="78"/>
      <c r="S55" s="78"/>
      <c r="T55" s="78"/>
      <c r="U55" s="78"/>
      <c r="V55" s="78"/>
      <c r="W55" s="78"/>
      <c r="X55" s="78"/>
      <c r="Y55" s="78"/>
      <c r="Z55" s="78"/>
      <c r="AA55" s="78"/>
      <c r="AB55" s="78"/>
      <c r="AC55" s="78"/>
      <c r="AD55" s="78"/>
      <c r="AE55" s="78"/>
      <c r="AH55"/>
    </row>
    <row r="56" spans="8:34" s="23" customFormat="1" x14ac:dyDescent="0.25">
      <c r="H56" s="78"/>
      <c r="I56" s="78"/>
      <c r="J56" s="78"/>
      <c r="K56" s="78"/>
      <c r="L56" s="78"/>
      <c r="M56" s="78"/>
      <c r="N56" s="78"/>
      <c r="O56" s="78"/>
      <c r="P56" s="78"/>
      <c r="Q56" s="78"/>
      <c r="R56" s="78"/>
      <c r="S56" s="78"/>
      <c r="T56" s="78"/>
      <c r="U56" s="78"/>
      <c r="V56" s="78"/>
      <c r="W56" s="78"/>
      <c r="X56" s="78"/>
      <c r="Y56" s="78"/>
      <c r="Z56" s="78"/>
      <c r="AA56" s="78"/>
      <c r="AB56" s="78"/>
      <c r="AC56" s="78"/>
      <c r="AD56" s="78"/>
      <c r="AE56" s="78"/>
      <c r="AH56"/>
    </row>
    <row r="57" spans="8:34" s="23" customFormat="1" x14ac:dyDescent="0.25">
      <c r="H57" s="78"/>
      <c r="I57" s="78"/>
      <c r="J57" s="78"/>
      <c r="K57" s="78"/>
      <c r="L57" s="78"/>
      <c r="M57" s="78"/>
      <c r="N57" s="78"/>
      <c r="O57" s="78"/>
      <c r="P57" s="78"/>
      <c r="Q57" s="78"/>
      <c r="R57" s="78"/>
      <c r="S57" s="78"/>
      <c r="T57" s="78"/>
      <c r="U57" s="78"/>
      <c r="V57" s="78"/>
      <c r="W57" s="78"/>
      <c r="X57" s="78"/>
      <c r="Y57" s="78"/>
      <c r="Z57" s="78"/>
      <c r="AA57" s="78"/>
      <c r="AB57" s="78"/>
      <c r="AC57" s="78"/>
      <c r="AD57" s="78"/>
      <c r="AE57" s="78"/>
      <c r="AH57"/>
    </row>
    <row r="58" spans="8:34" s="23" customFormat="1" x14ac:dyDescent="0.25">
      <c r="H58" s="78"/>
      <c r="I58" s="78"/>
      <c r="J58" s="78"/>
      <c r="K58" s="78"/>
      <c r="L58" s="78"/>
      <c r="M58" s="78"/>
      <c r="N58" s="78"/>
      <c r="O58" s="78"/>
      <c r="P58" s="78"/>
      <c r="Q58" s="78"/>
      <c r="R58" s="78"/>
      <c r="S58" s="78"/>
      <c r="T58" s="78"/>
      <c r="U58" s="78"/>
      <c r="V58" s="78"/>
      <c r="W58" s="78"/>
      <c r="X58" s="78"/>
      <c r="Y58" s="78"/>
      <c r="Z58" s="78"/>
      <c r="AA58" s="78"/>
      <c r="AB58" s="78"/>
      <c r="AC58" s="78"/>
      <c r="AD58" s="78"/>
      <c r="AE58" s="78"/>
      <c r="AH58"/>
    </row>
    <row r="59" spans="8:34" s="23" customFormat="1" x14ac:dyDescent="0.25">
      <c r="H59" s="78"/>
      <c r="I59" s="78"/>
      <c r="J59" s="78"/>
      <c r="K59" s="78"/>
      <c r="L59" s="78"/>
      <c r="M59" s="78"/>
      <c r="N59" s="78"/>
      <c r="O59" s="78"/>
      <c r="P59" s="78"/>
      <c r="Q59" s="78"/>
      <c r="R59" s="78"/>
      <c r="S59" s="78"/>
      <c r="T59" s="78"/>
      <c r="U59" s="78"/>
      <c r="V59" s="78"/>
      <c r="W59" s="78"/>
      <c r="X59" s="78"/>
      <c r="Y59" s="78"/>
      <c r="Z59" s="78"/>
      <c r="AA59" s="78"/>
      <c r="AB59" s="78"/>
      <c r="AC59" s="78"/>
      <c r="AD59" s="78"/>
      <c r="AE59" s="78"/>
      <c r="AH59"/>
    </row>
    <row r="60" spans="8:34" s="23" customFormat="1" x14ac:dyDescent="0.25">
      <c r="H60" s="78"/>
      <c r="I60" s="78"/>
      <c r="J60" s="78"/>
      <c r="K60" s="78"/>
      <c r="L60" s="78"/>
      <c r="M60" s="78"/>
      <c r="N60" s="78"/>
      <c r="O60" s="78"/>
      <c r="P60" s="78"/>
      <c r="Q60" s="78"/>
      <c r="R60" s="78"/>
      <c r="S60" s="78"/>
      <c r="T60" s="78"/>
      <c r="U60" s="78"/>
      <c r="V60" s="78"/>
      <c r="W60" s="78"/>
      <c r="X60" s="78"/>
      <c r="Y60" s="78"/>
      <c r="Z60" s="78"/>
      <c r="AA60" s="78"/>
      <c r="AB60" s="78"/>
      <c r="AC60" s="78"/>
      <c r="AD60" s="78"/>
      <c r="AE60" s="78"/>
      <c r="AH60"/>
    </row>
    <row r="61" spans="8:34" s="23" customFormat="1" x14ac:dyDescent="0.25">
      <c r="H61" s="78"/>
      <c r="I61" s="78"/>
      <c r="J61" s="78"/>
      <c r="K61" s="78"/>
      <c r="L61" s="78"/>
      <c r="M61" s="78"/>
      <c r="N61" s="78"/>
      <c r="O61" s="78"/>
      <c r="P61" s="78"/>
      <c r="Q61" s="78"/>
      <c r="R61" s="78"/>
      <c r="S61" s="78"/>
      <c r="T61" s="78"/>
      <c r="U61" s="78"/>
      <c r="V61" s="78"/>
      <c r="W61" s="78"/>
      <c r="X61" s="78"/>
      <c r="Y61" s="78"/>
      <c r="Z61" s="78"/>
      <c r="AA61" s="78"/>
      <c r="AB61" s="78"/>
      <c r="AC61" s="78"/>
      <c r="AD61" s="78"/>
      <c r="AE61" s="78"/>
      <c r="AH61"/>
    </row>
    <row r="62" spans="8:34" s="23" customFormat="1" x14ac:dyDescent="0.25">
      <c r="H62" s="78"/>
      <c r="I62" s="78"/>
      <c r="J62" s="78"/>
      <c r="K62" s="78"/>
      <c r="L62" s="78"/>
      <c r="M62" s="78"/>
      <c r="N62" s="78"/>
      <c r="O62" s="78"/>
      <c r="P62" s="78"/>
      <c r="Q62" s="78"/>
      <c r="R62" s="78"/>
      <c r="S62" s="78"/>
      <c r="T62" s="78"/>
      <c r="U62" s="78"/>
      <c r="V62" s="78"/>
      <c r="W62" s="78"/>
      <c r="X62" s="78"/>
      <c r="Y62" s="78"/>
      <c r="Z62" s="78"/>
      <c r="AA62" s="78"/>
      <c r="AB62" s="78"/>
      <c r="AC62" s="78"/>
      <c r="AD62" s="78"/>
      <c r="AE62" s="78"/>
      <c r="AH62"/>
    </row>
    <row r="63" spans="8:34" s="23" customFormat="1" x14ac:dyDescent="0.25">
      <c r="H63" s="78"/>
      <c r="I63" s="78"/>
      <c r="J63" s="78"/>
      <c r="K63" s="78"/>
      <c r="L63" s="78"/>
      <c r="M63" s="78"/>
      <c r="N63" s="78"/>
      <c r="O63" s="78"/>
      <c r="P63" s="78"/>
      <c r="Q63" s="78"/>
      <c r="R63" s="78"/>
      <c r="S63" s="78"/>
      <c r="T63" s="78"/>
      <c r="U63" s="78"/>
      <c r="V63" s="78"/>
      <c r="W63" s="78"/>
      <c r="X63" s="78"/>
      <c r="Y63" s="78"/>
      <c r="Z63" s="78"/>
      <c r="AA63" s="78"/>
      <c r="AB63" s="78"/>
      <c r="AC63" s="78"/>
      <c r="AD63" s="78"/>
      <c r="AE63" s="78"/>
      <c r="AH63"/>
    </row>
    <row r="64" spans="8:34" s="23" customFormat="1" x14ac:dyDescent="0.25">
      <c r="H64" s="78"/>
      <c r="I64" s="78"/>
      <c r="J64" s="78"/>
      <c r="K64" s="78"/>
      <c r="L64" s="78"/>
      <c r="M64" s="78"/>
      <c r="N64" s="78"/>
      <c r="O64" s="78"/>
      <c r="P64" s="78"/>
      <c r="Q64" s="78"/>
      <c r="R64" s="78"/>
      <c r="S64" s="78"/>
      <c r="T64" s="78"/>
      <c r="U64" s="78"/>
      <c r="V64" s="78"/>
      <c r="W64" s="78"/>
      <c r="X64" s="78"/>
      <c r="Y64" s="78"/>
      <c r="Z64" s="78"/>
      <c r="AA64" s="78"/>
      <c r="AB64" s="78"/>
      <c r="AC64" s="78"/>
      <c r="AD64" s="78"/>
      <c r="AE64" s="78"/>
      <c r="AH64"/>
    </row>
    <row r="65" spans="8:34" s="23" customFormat="1" x14ac:dyDescent="0.25">
      <c r="H65" s="78"/>
      <c r="I65" s="78"/>
      <c r="J65" s="78"/>
      <c r="K65" s="78"/>
      <c r="L65" s="78"/>
      <c r="M65" s="78"/>
      <c r="N65" s="78"/>
      <c r="O65" s="78"/>
      <c r="P65" s="78"/>
      <c r="Q65" s="78"/>
      <c r="R65" s="78"/>
      <c r="S65" s="78"/>
      <c r="T65" s="78"/>
      <c r="U65" s="78"/>
      <c r="V65" s="78"/>
      <c r="W65" s="78"/>
      <c r="X65" s="78"/>
      <c r="Y65" s="78"/>
      <c r="Z65" s="78"/>
      <c r="AA65" s="78"/>
      <c r="AB65" s="78"/>
      <c r="AC65" s="78"/>
      <c r="AD65" s="78"/>
      <c r="AE65" s="78"/>
      <c r="AH65"/>
    </row>
    <row r="66" spans="8:34" s="23" customFormat="1" x14ac:dyDescent="0.25">
      <c r="H66" s="78"/>
      <c r="I66" s="78"/>
      <c r="J66" s="78"/>
      <c r="K66" s="78"/>
      <c r="L66" s="78"/>
      <c r="M66" s="78"/>
      <c r="N66" s="78"/>
      <c r="O66" s="78"/>
      <c r="P66" s="78"/>
      <c r="Q66" s="78"/>
      <c r="R66" s="78"/>
      <c r="S66" s="78"/>
      <c r="T66" s="78"/>
      <c r="U66" s="78"/>
      <c r="V66" s="78"/>
      <c r="W66" s="78"/>
      <c r="X66" s="78"/>
      <c r="Y66" s="78"/>
      <c r="Z66" s="78"/>
      <c r="AA66" s="78"/>
      <c r="AB66" s="78"/>
      <c r="AC66" s="78"/>
      <c r="AD66" s="78"/>
      <c r="AE66" s="78"/>
      <c r="AH66"/>
    </row>
    <row r="67" spans="8:34" s="23" customFormat="1" x14ac:dyDescent="0.25">
      <c r="H67" s="78"/>
      <c r="I67" s="78"/>
      <c r="J67" s="78"/>
      <c r="K67" s="78"/>
      <c r="L67" s="78"/>
      <c r="M67" s="78"/>
      <c r="N67" s="78"/>
      <c r="O67" s="78"/>
      <c r="P67" s="78"/>
      <c r="Q67" s="78"/>
      <c r="R67" s="78"/>
      <c r="S67" s="78"/>
      <c r="T67" s="78"/>
      <c r="U67" s="78"/>
      <c r="V67" s="78"/>
      <c r="W67" s="78"/>
      <c r="X67" s="78"/>
      <c r="Y67" s="78"/>
      <c r="Z67" s="78"/>
      <c r="AA67" s="78"/>
      <c r="AB67" s="78"/>
      <c r="AC67" s="78"/>
      <c r="AD67" s="78"/>
      <c r="AE67" s="78"/>
      <c r="AH67"/>
    </row>
    <row r="68" spans="8:34" s="23" customFormat="1" x14ac:dyDescent="0.25">
      <c r="H68" s="78"/>
      <c r="I68" s="78"/>
      <c r="J68" s="78"/>
      <c r="K68" s="78"/>
      <c r="L68" s="78"/>
      <c r="M68" s="78"/>
      <c r="N68" s="78"/>
      <c r="O68" s="78"/>
      <c r="P68" s="78"/>
      <c r="Q68" s="78"/>
      <c r="R68" s="78"/>
      <c r="S68" s="78"/>
      <c r="T68" s="78"/>
      <c r="U68" s="78"/>
      <c r="V68" s="78"/>
      <c r="W68" s="78"/>
      <c r="X68" s="78"/>
      <c r="Y68" s="78"/>
      <c r="Z68" s="78"/>
      <c r="AA68" s="78"/>
      <c r="AB68" s="78"/>
      <c r="AC68" s="78"/>
      <c r="AD68" s="78"/>
      <c r="AE68" s="78"/>
      <c r="AH68"/>
    </row>
    <row r="69" spans="8:34" s="23" customFormat="1" x14ac:dyDescent="0.25">
      <c r="H69" s="78"/>
      <c r="I69" s="78"/>
      <c r="J69" s="78"/>
      <c r="K69" s="78"/>
      <c r="L69" s="78"/>
      <c r="M69" s="78"/>
      <c r="N69" s="78"/>
      <c r="O69" s="78"/>
      <c r="P69" s="78"/>
      <c r="Q69" s="78"/>
      <c r="R69" s="78"/>
      <c r="S69" s="78"/>
      <c r="T69" s="78"/>
      <c r="U69" s="78"/>
      <c r="V69" s="78"/>
      <c r="W69" s="78"/>
      <c r="X69" s="78"/>
      <c r="Y69" s="78"/>
      <c r="Z69" s="78"/>
      <c r="AA69" s="78"/>
      <c r="AB69" s="78"/>
      <c r="AC69" s="78"/>
      <c r="AD69" s="78"/>
      <c r="AE69" s="78"/>
      <c r="AH69"/>
    </row>
    <row r="70" spans="8:34" s="23" customFormat="1" x14ac:dyDescent="0.25">
      <c r="H70" s="78"/>
      <c r="I70" s="78"/>
      <c r="J70" s="78"/>
      <c r="K70" s="78"/>
      <c r="L70" s="78"/>
      <c r="M70" s="78"/>
      <c r="N70" s="78"/>
      <c r="O70" s="78"/>
      <c r="P70" s="78"/>
      <c r="Q70" s="78"/>
      <c r="R70" s="78"/>
      <c r="S70" s="78"/>
      <c r="T70" s="78"/>
      <c r="U70" s="78"/>
      <c r="V70" s="78"/>
      <c r="W70" s="78"/>
      <c r="X70" s="78"/>
      <c r="Y70" s="78"/>
      <c r="Z70" s="78"/>
      <c r="AA70" s="78"/>
      <c r="AB70" s="78"/>
      <c r="AC70" s="78"/>
      <c r="AD70" s="78"/>
      <c r="AE70" s="78"/>
      <c r="AH70"/>
    </row>
    <row r="71" spans="8:34" s="23" customFormat="1" x14ac:dyDescent="0.25">
      <c r="H71" s="78"/>
      <c r="I71" s="78"/>
      <c r="J71" s="78"/>
      <c r="K71" s="78"/>
      <c r="L71" s="78"/>
      <c r="M71" s="78"/>
      <c r="N71" s="78"/>
      <c r="O71" s="78"/>
      <c r="P71" s="78"/>
      <c r="Q71" s="78"/>
      <c r="R71" s="78"/>
      <c r="S71" s="78"/>
      <c r="T71" s="78"/>
      <c r="U71" s="78"/>
      <c r="V71" s="78"/>
      <c r="W71" s="78"/>
      <c r="X71" s="78"/>
      <c r="Y71" s="78"/>
      <c r="Z71" s="78"/>
      <c r="AA71" s="78"/>
      <c r="AB71" s="78"/>
      <c r="AC71" s="78"/>
      <c r="AD71" s="78"/>
      <c r="AE71" s="78"/>
      <c r="AH71"/>
    </row>
    <row r="72" spans="8:34" s="23" customFormat="1" x14ac:dyDescent="0.25">
      <c r="H72" s="78"/>
      <c r="I72" s="78"/>
      <c r="J72" s="78"/>
      <c r="K72" s="78"/>
      <c r="L72" s="78"/>
      <c r="M72" s="78"/>
      <c r="N72" s="78"/>
      <c r="O72" s="78"/>
      <c r="P72" s="78"/>
      <c r="Q72" s="78"/>
      <c r="R72" s="78"/>
      <c r="S72" s="78"/>
      <c r="T72" s="78"/>
      <c r="U72" s="78"/>
      <c r="V72" s="78"/>
      <c r="W72" s="78"/>
      <c r="X72" s="78"/>
      <c r="Y72" s="78"/>
      <c r="Z72" s="78"/>
      <c r="AA72" s="78"/>
      <c r="AB72" s="78"/>
      <c r="AC72" s="78"/>
      <c r="AD72" s="78"/>
      <c r="AE72" s="78"/>
      <c r="AH72"/>
    </row>
    <row r="73" spans="8:34" s="23" customFormat="1" x14ac:dyDescent="0.25">
      <c r="H73" s="78"/>
      <c r="I73" s="78"/>
      <c r="J73" s="78"/>
      <c r="K73" s="78"/>
      <c r="L73" s="78"/>
      <c r="M73" s="78"/>
      <c r="N73" s="78"/>
      <c r="O73" s="78"/>
      <c r="P73" s="78"/>
      <c r="Q73" s="78"/>
      <c r="R73" s="78"/>
      <c r="S73" s="78"/>
      <c r="T73" s="78"/>
      <c r="U73" s="78"/>
      <c r="V73" s="78"/>
      <c r="W73" s="78"/>
      <c r="X73" s="78"/>
      <c r="Y73" s="78"/>
      <c r="Z73" s="78"/>
      <c r="AA73" s="78"/>
      <c r="AB73" s="78"/>
      <c r="AC73" s="78"/>
      <c r="AD73" s="78"/>
      <c r="AE73" s="78"/>
      <c r="AH73"/>
    </row>
    <row r="74" spans="8:34" s="23" customFormat="1" x14ac:dyDescent="0.25">
      <c r="H74" s="78"/>
      <c r="I74" s="78"/>
      <c r="J74" s="78"/>
      <c r="K74" s="78"/>
      <c r="L74" s="78"/>
      <c r="M74" s="78"/>
      <c r="N74" s="78"/>
      <c r="O74" s="78"/>
      <c r="P74" s="78"/>
      <c r="Q74" s="78"/>
      <c r="R74" s="78"/>
      <c r="S74" s="78"/>
      <c r="T74" s="78"/>
      <c r="U74" s="78"/>
      <c r="V74" s="78"/>
      <c r="W74" s="78"/>
      <c r="X74" s="78"/>
      <c r="Y74" s="78"/>
      <c r="Z74" s="78"/>
      <c r="AA74" s="78"/>
      <c r="AB74" s="78"/>
      <c r="AC74" s="78"/>
      <c r="AD74" s="78"/>
      <c r="AE74" s="78"/>
      <c r="AH74"/>
    </row>
    <row r="75" spans="8:34" s="23" customFormat="1" x14ac:dyDescent="0.25">
      <c r="H75" s="78"/>
      <c r="I75" s="78"/>
      <c r="J75" s="78"/>
      <c r="K75" s="78"/>
      <c r="L75" s="78"/>
      <c r="M75" s="78"/>
      <c r="N75" s="78"/>
      <c r="O75" s="78"/>
      <c r="P75" s="78"/>
      <c r="Q75" s="78"/>
      <c r="R75" s="78"/>
      <c r="S75" s="78"/>
      <c r="T75" s="78"/>
      <c r="U75" s="78"/>
      <c r="V75" s="78"/>
      <c r="W75" s="78"/>
      <c r="X75" s="78"/>
      <c r="Y75" s="78"/>
      <c r="Z75" s="78"/>
      <c r="AA75" s="78"/>
      <c r="AB75" s="78"/>
      <c r="AC75" s="78"/>
      <c r="AD75" s="78"/>
      <c r="AE75" s="78"/>
      <c r="AH75"/>
    </row>
    <row r="76" spans="8:34" s="23" customFormat="1" x14ac:dyDescent="0.25">
      <c r="H76" s="78"/>
      <c r="I76" s="78"/>
      <c r="J76" s="78"/>
      <c r="K76" s="78"/>
      <c r="L76" s="78"/>
      <c r="M76" s="78"/>
      <c r="N76" s="78"/>
      <c r="O76" s="78"/>
      <c r="P76" s="78"/>
      <c r="Q76" s="78"/>
      <c r="R76" s="78"/>
      <c r="S76" s="78"/>
      <c r="T76" s="78"/>
      <c r="U76" s="78"/>
      <c r="V76" s="78"/>
      <c r="W76" s="78"/>
      <c r="X76" s="78"/>
      <c r="Y76" s="78"/>
      <c r="Z76" s="78"/>
      <c r="AA76" s="78"/>
      <c r="AB76" s="78"/>
      <c r="AC76" s="78"/>
      <c r="AD76" s="78"/>
      <c r="AE76" s="78"/>
      <c r="AH76"/>
    </row>
    <row r="77" spans="8:34" s="23" customFormat="1" x14ac:dyDescent="0.25">
      <c r="H77" s="78"/>
      <c r="I77" s="78"/>
      <c r="J77" s="78"/>
      <c r="K77" s="78"/>
      <c r="L77" s="78"/>
      <c r="M77" s="78"/>
      <c r="N77" s="78"/>
      <c r="O77" s="78"/>
      <c r="P77" s="78"/>
      <c r="Q77" s="78"/>
      <c r="R77" s="78"/>
      <c r="S77" s="78"/>
      <c r="T77" s="78"/>
      <c r="U77" s="78"/>
      <c r="V77" s="78"/>
      <c r="W77" s="78"/>
      <c r="X77" s="78"/>
      <c r="Y77" s="78"/>
      <c r="Z77" s="78"/>
      <c r="AA77" s="78"/>
      <c r="AB77" s="78"/>
      <c r="AC77" s="78"/>
      <c r="AD77" s="78"/>
      <c r="AE77" s="78"/>
      <c r="AH77"/>
    </row>
    <row r="78" spans="8:34" s="23" customFormat="1" x14ac:dyDescent="0.25">
      <c r="H78" s="78"/>
      <c r="I78" s="78"/>
      <c r="J78" s="78"/>
      <c r="K78" s="78"/>
      <c r="L78" s="78"/>
      <c r="M78" s="78"/>
      <c r="N78" s="78"/>
      <c r="O78" s="78"/>
      <c r="P78" s="78"/>
      <c r="Q78" s="78"/>
      <c r="R78" s="78"/>
      <c r="S78" s="78"/>
      <c r="T78" s="78"/>
      <c r="U78" s="78"/>
      <c r="V78" s="78"/>
      <c r="W78" s="78"/>
      <c r="X78" s="78"/>
      <c r="Y78" s="78"/>
      <c r="Z78" s="78"/>
      <c r="AA78" s="78"/>
      <c r="AB78" s="78"/>
      <c r="AC78" s="78"/>
      <c r="AD78" s="78"/>
      <c r="AE78" s="78"/>
      <c r="AH78"/>
    </row>
    <row r="79" spans="8:34" s="23" customFormat="1" x14ac:dyDescent="0.25">
      <c r="H79" s="78"/>
      <c r="I79" s="78"/>
      <c r="J79" s="78"/>
      <c r="K79" s="78"/>
      <c r="L79" s="78"/>
      <c r="M79" s="78"/>
      <c r="N79" s="78"/>
      <c r="O79" s="78"/>
      <c r="P79" s="78"/>
      <c r="Q79" s="78"/>
      <c r="R79" s="78"/>
      <c r="S79" s="78"/>
      <c r="T79" s="78"/>
      <c r="U79" s="78"/>
      <c r="V79" s="78"/>
      <c r="W79" s="78"/>
      <c r="X79" s="78"/>
      <c r="Y79" s="78"/>
      <c r="Z79" s="78"/>
      <c r="AA79" s="78"/>
      <c r="AB79" s="78"/>
      <c r="AC79" s="78"/>
      <c r="AD79" s="78"/>
      <c r="AE79" s="78"/>
      <c r="AH79"/>
    </row>
    <row r="80" spans="8:34" s="23" customFormat="1" x14ac:dyDescent="0.25">
      <c r="H80" s="78"/>
      <c r="I80" s="78"/>
      <c r="J80" s="78"/>
      <c r="K80" s="78"/>
      <c r="L80" s="78"/>
      <c r="M80" s="78"/>
      <c r="N80" s="78"/>
      <c r="O80" s="78"/>
      <c r="P80" s="78"/>
      <c r="Q80" s="78"/>
      <c r="R80" s="78"/>
      <c r="S80" s="78"/>
      <c r="T80" s="78"/>
      <c r="U80" s="78"/>
      <c r="V80" s="78"/>
      <c r="W80" s="78"/>
      <c r="X80" s="78"/>
      <c r="Y80" s="78"/>
      <c r="Z80" s="78"/>
      <c r="AA80" s="78"/>
      <c r="AB80" s="78"/>
      <c r="AC80" s="78"/>
      <c r="AD80" s="78"/>
      <c r="AE80" s="78"/>
      <c r="AH80"/>
    </row>
    <row r="81" spans="8:34" s="23" customFormat="1" x14ac:dyDescent="0.25">
      <c r="H81" s="78"/>
      <c r="I81" s="78"/>
      <c r="J81" s="78"/>
      <c r="K81" s="78"/>
      <c r="L81" s="78"/>
      <c r="M81" s="78"/>
      <c r="N81" s="78"/>
      <c r="O81" s="78"/>
      <c r="P81" s="78"/>
      <c r="Q81" s="78"/>
      <c r="R81" s="78"/>
      <c r="S81" s="78"/>
      <c r="T81" s="78"/>
      <c r="U81" s="78"/>
      <c r="V81" s="78"/>
      <c r="W81" s="78"/>
      <c r="X81" s="78"/>
      <c r="Y81" s="78"/>
      <c r="Z81" s="78"/>
      <c r="AA81" s="78"/>
      <c r="AB81" s="78"/>
      <c r="AC81" s="78"/>
      <c r="AD81" s="78"/>
      <c r="AE81" s="78"/>
      <c r="AH81"/>
    </row>
    <row r="82" spans="8:34" s="23" customFormat="1" x14ac:dyDescent="0.25">
      <c r="H82" s="78"/>
      <c r="I82" s="78"/>
      <c r="J82" s="78"/>
      <c r="K82" s="78"/>
      <c r="L82" s="78"/>
      <c r="M82" s="78"/>
      <c r="N82" s="78"/>
      <c r="O82" s="78"/>
      <c r="P82" s="78"/>
      <c r="Q82" s="78"/>
      <c r="R82" s="78"/>
      <c r="S82" s="78"/>
      <c r="T82" s="78"/>
      <c r="U82" s="78"/>
      <c r="V82" s="78"/>
      <c r="W82" s="78"/>
      <c r="X82" s="78"/>
      <c r="Y82" s="78"/>
      <c r="Z82" s="78"/>
      <c r="AA82" s="78"/>
      <c r="AB82" s="78"/>
      <c r="AC82" s="78"/>
      <c r="AD82" s="78"/>
      <c r="AE82" s="78"/>
      <c r="AH82"/>
    </row>
    <row r="83" spans="8:34" s="23" customFormat="1" x14ac:dyDescent="0.25">
      <c r="H83" s="78"/>
      <c r="I83" s="78"/>
      <c r="J83" s="78"/>
      <c r="K83" s="78"/>
      <c r="L83" s="78"/>
      <c r="M83" s="78"/>
      <c r="N83" s="78"/>
      <c r="O83" s="78"/>
      <c r="P83" s="78"/>
      <c r="Q83" s="78"/>
      <c r="R83" s="78"/>
      <c r="S83" s="78"/>
      <c r="T83" s="78"/>
      <c r="U83" s="78"/>
      <c r="V83" s="78"/>
      <c r="W83" s="78"/>
      <c r="X83" s="78"/>
      <c r="Y83" s="78"/>
      <c r="Z83" s="78"/>
      <c r="AA83" s="78"/>
      <c r="AB83" s="78"/>
      <c r="AC83" s="78"/>
      <c r="AD83" s="78"/>
      <c r="AE83" s="78"/>
      <c r="AH83"/>
    </row>
    <row r="84" spans="8:34" s="23" customFormat="1" x14ac:dyDescent="0.25">
      <c r="H84" s="78"/>
      <c r="I84" s="78"/>
      <c r="J84" s="78"/>
      <c r="K84" s="78"/>
      <c r="L84" s="78"/>
      <c r="M84" s="78"/>
      <c r="N84" s="78"/>
      <c r="O84" s="78"/>
      <c r="P84" s="78"/>
      <c r="Q84" s="78"/>
      <c r="R84" s="78"/>
      <c r="S84" s="78"/>
      <c r="T84" s="78"/>
      <c r="U84" s="78"/>
      <c r="V84" s="78"/>
      <c r="W84" s="78"/>
      <c r="X84" s="78"/>
      <c r="Y84" s="78"/>
      <c r="Z84" s="78"/>
      <c r="AA84" s="78"/>
      <c r="AB84" s="78"/>
      <c r="AC84" s="78"/>
      <c r="AD84" s="78"/>
      <c r="AE84" s="78"/>
      <c r="AH84"/>
    </row>
    <row r="85" spans="8:34" s="23" customFormat="1" x14ac:dyDescent="0.25">
      <c r="H85" s="78"/>
      <c r="I85" s="78"/>
      <c r="J85" s="78"/>
      <c r="K85" s="78"/>
      <c r="L85" s="78"/>
      <c r="M85" s="78"/>
      <c r="N85" s="78"/>
      <c r="O85" s="78"/>
      <c r="P85" s="78"/>
      <c r="Q85" s="78"/>
      <c r="R85" s="78"/>
      <c r="S85" s="78"/>
      <c r="T85" s="78"/>
      <c r="U85" s="78"/>
      <c r="V85" s="78"/>
      <c r="W85" s="78"/>
      <c r="X85" s="78"/>
      <c r="Y85" s="78"/>
      <c r="Z85" s="78"/>
      <c r="AA85" s="78"/>
      <c r="AB85" s="78"/>
      <c r="AC85" s="78"/>
      <c r="AD85" s="78"/>
      <c r="AE85" s="78"/>
      <c r="AH85"/>
    </row>
    <row r="86" spans="8:34" s="23" customFormat="1" x14ac:dyDescent="0.25">
      <c r="H86" s="78"/>
      <c r="I86" s="78"/>
      <c r="J86" s="78"/>
      <c r="K86" s="78"/>
      <c r="L86" s="78"/>
      <c r="M86" s="78"/>
      <c r="N86" s="78"/>
      <c r="O86" s="78"/>
      <c r="P86" s="78"/>
      <c r="Q86" s="78"/>
      <c r="R86" s="78"/>
      <c r="S86" s="78"/>
      <c r="T86" s="78"/>
      <c r="U86" s="78"/>
      <c r="V86" s="78"/>
      <c r="W86" s="78"/>
      <c r="X86" s="78"/>
      <c r="Y86" s="78"/>
      <c r="Z86" s="78"/>
      <c r="AA86" s="78"/>
      <c r="AB86" s="78"/>
      <c r="AC86" s="78"/>
      <c r="AD86" s="78"/>
      <c r="AE86" s="78"/>
      <c r="AH86"/>
    </row>
    <row r="87" spans="8:34" s="23" customFormat="1" x14ac:dyDescent="0.25">
      <c r="H87" s="78"/>
      <c r="I87" s="78"/>
      <c r="J87" s="78"/>
      <c r="K87" s="78"/>
      <c r="L87" s="78"/>
      <c r="M87" s="78"/>
      <c r="N87" s="78"/>
      <c r="O87" s="78"/>
      <c r="P87" s="78"/>
      <c r="Q87" s="78"/>
      <c r="R87" s="78"/>
      <c r="S87" s="78"/>
      <c r="T87" s="78"/>
      <c r="U87" s="78"/>
      <c r="V87" s="78"/>
      <c r="W87" s="78"/>
      <c r="X87" s="78"/>
      <c r="Y87" s="78"/>
      <c r="Z87" s="78"/>
      <c r="AA87" s="78"/>
      <c r="AB87" s="78"/>
      <c r="AC87" s="78"/>
      <c r="AD87" s="78"/>
      <c r="AE87" s="78"/>
      <c r="AH87"/>
    </row>
    <row r="88" spans="8:34" s="23" customFormat="1" x14ac:dyDescent="0.25">
      <c r="H88" s="78"/>
      <c r="I88" s="78"/>
      <c r="J88" s="78"/>
      <c r="K88" s="78"/>
      <c r="L88" s="78"/>
      <c r="M88" s="78"/>
      <c r="N88" s="78"/>
      <c r="O88" s="78"/>
      <c r="P88" s="78"/>
      <c r="Q88" s="78"/>
      <c r="R88" s="78"/>
      <c r="S88" s="78"/>
      <c r="T88" s="78"/>
      <c r="U88" s="78"/>
      <c r="V88" s="78"/>
      <c r="W88" s="78"/>
      <c r="X88" s="78"/>
      <c r="Y88" s="78"/>
      <c r="Z88" s="78"/>
      <c r="AA88" s="78"/>
      <c r="AB88" s="78"/>
      <c r="AC88" s="78"/>
      <c r="AD88" s="78"/>
      <c r="AE88" s="78"/>
      <c r="AH88"/>
    </row>
    <row r="89" spans="8:34" s="23" customFormat="1" x14ac:dyDescent="0.25">
      <c r="H89" s="78"/>
      <c r="I89" s="78"/>
      <c r="J89" s="78"/>
      <c r="K89" s="78"/>
      <c r="L89" s="78"/>
      <c r="M89" s="78"/>
      <c r="N89" s="78"/>
      <c r="O89" s="78"/>
      <c r="P89" s="78"/>
      <c r="Q89" s="78"/>
      <c r="R89" s="78"/>
      <c r="S89" s="78"/>
      <c r="T89" s="78"/>
      <c r="U89" s="78"/>
      <c r="V89" s="78"/>
      <c r="W89" s="78"/>
      <c r="X89" s="78"/>
      <c r="Y89" s="78"/>
      <c r="Z89" s="78"/>
      <c r="AA89" s="78"/>
      <c r="AB89" s="78"/>
      <c r="AC89" s="78"/>
      <c r="AD89" s="78"/>
      <c r="AE89" s="78"/>
      <c r="AH89"/>
    </row>
    <row r="90" spans="8:34" s="23" customFormat="1" x14ac:dyDescent="0.25">
      <c r="H90" s="78"/>
      <c r="I90" s="78"/>
      <c r="J90" s="78"/>
      <c r="K90" s="78"/>
      <c r="L90" s="78"/>
      <c r="M90" s="78"/>
      <c r="N90" s="78"/>
      <c r="O90" s="78"/>
      <c r="P90" s="78"/>
      <c r="Q90" s="78"/>
      <c r="R90" s="78"/>
      <c r="S90" s="78"/>
      <c r="T90" s="78"/>
      <c r="U90" s="78"/>
      <c r="V90" s="78"/>
      <c r="W90" s="78"/>
      <c r="X90" s="78"/>
      <c r="Y90" s="78"/>
      <c r="Z90" s="78"/>
      <c r="AA90" s="78"/>
      <c r="AB90" s="78"/>
      <c r="AC90" s="78"/>
      <c r="AD90" s="78"/>
      <c r="AE90" s="78"/>
      <c r="AH90"/>
    </row>
    <row r="91" spans="8:34" s="23" customFormat="1" x14ac:dyDescent="0.25">
      <c r="H91" s="78"/>
      <c r="I91" s="78"/>
      <c r="J91" s="78"/>
      <c r="K91" s="78"/>
      <c r="L91" s="78"/>
      <c r="M91" s="78"/>
      <c r="N91" s="78"/>
      <c r="O91" s="78"/>
      <c r="P91" s="78"/>
      <c r="Q91" s="78"/>
      <c r="R91" s="78"/>
      <c r="S91" s="78"/>
      <c r="T91" s="78"/>
      <c r="U91" s="78"/>
      <c r="V91" s="78"/>
      <c r="W91" s="78"/>
      <c r="X91" s="78"/>
      <c r="Y91" s="78"/>
      <c r="Z91" s="78"/>
      <c r="AA91" s="78"/>
      <c r="AB91" s="78"/>
      <c r="AC91" s="78"/>
      <c r="AD91" s="78"/>
      <c r="AE91" s="78"/>
      <c r="AH91"/>
    </row>
    <row r="92" spans="8:34" s="23" customFormat="1" x14ac:dyDescent="0.25">
      <c r="H92" s="78"/>
      <c r="I92" s="78"/>
      <c r="J92" s="78"/>
      <c r="K92" s="78"/>
      <c r="L92" s="78"/>
      <c r="M92" s="78"/>
      <c r="N92" s="78"/>
      <c r="O92" s="78"/>
      <c r="P92" s="78"/>
      <c r="Q92" s="78"/>
      <c r="R92" s="78"/>
      <c r="S92" s="78"/>
      <c r="T92" s="78"/>
      <c r="U92" s="78"/>
      <c r="V92" s="78"/>
      <c r="W92" s="78"/>
      <c r="X92" s="78"/>
      <c r="Y92" s="78"/>
      <c r="Z92" s="78"/>
      <c r="AA92" s="78"/>
      <c r="AB92" s="78"/>
      <c r="AC92" s="78"/>
      <c r="AD92" s="78"/>
      <c r="AE92" s="78"/>
      <c r="AH92"/>
    </row>
    <row r="93" spans="8:34" s="23" customFormat="1" x14ac:dyDescent="0.25">
      <c r="H93" s="78"/>
      <c r="I93" s="78"/>
      <c r="J93" s="78"/>
      <c r="K93" s="78"/>
      <c r="L93" s="78"/>
      <c r="M93" s="78"/>
      <c r="N93" s="78"/>
      <c r="O93" s="78"/>
      <c r="P93" s="78"/>
      <c r="Q93" s="78"/>
      <c r="R93" s="78"/>
      <c r="S93" s="78"/>
      <c r="T93" s="78"/>
      <c r="U93" s="78"/>
      <c r="V93" s="78"/>
      <c r="W93" s="78"/>
      <c r="X93" s="78"/>
      <c r="Y93" s="78"/>
      <c r="Z93" s="78"/>
      <c r="AA93" s="78"/>
      <c r="AB93" s="78"/>
      <c r="AC93" s="78"/>
      <c r="AD93" s="78"/>
      <c r="AE93" s="78"/>
      <c r="AH93"/>
    </row>
    <row r="94" spans="8:34" s="23" customFormat="1" x14ac:dyDescent="0.25">
      <c r="H94" s="78"/>
      <c r="I94" s="78"/>
      <c r="J94" s="78"/>
      <c r="K94" s="78"/>
      <c r="L94" s="78"/>
      <c r="M94" s="78"/>
      <c r="N94" s="78"/>
      <c r="O94" s="78"/>
      <c r="P94" s="78"/>
      <c r="Q94" s="78"/>
      <c r="R94" s="78"/>
      <c r="S94" s="78"/>
      <c r="T94" s="78"/>
      <c r="U94" s="78"/>
      <c r="V94" s="78"/>
      <c r="W94" s="78"/>
      <c r="X94" s="78"/>
      <c r="Y94" s="78"/>
      <c r="Z94" s="78"/>
      <c r="AA94" s="78"/>
      <c r="AB94" s="78"/>
      <c r="AC94" s="78"/>
      <c r="AD94" s="78"/>
      <c r="AE94" s="78"/>
      <c r="AH94"/>
    </row>
    <row r="95" spans="8:34" s="23" customFormat="1" x14ac:dyDescent="0.25">
      <c r="H95" s="78"/>
      <c r="I95" s="78"/>
      <c r="J95" s="78"/>
      <c r="K95" s="78"/>
      <c r="L95" s="78"/>
      <c r="M95" s="78"/>
      <c r="N95" s="78"/>
      <c r="O95" s="78"/>
      <c r="P95" s="78"/>
      <c r="Q95" s="78"/>
      <c r="R95" s="78"/>
      <c r="S95" s="78"/>
      <c r="T95" s="78"/>
      <c r="U95" s="78"/>
      <c r="V95" s="78"/>
      <c r="W95" s="78"/>
      <c r="X95" s="78"/>
      <c r="Y95" s="78"/>
      <c r="Z95" s="78"/>
      <c r="AA95" s="78"/>
      <c r="AB95" s="78"/>
      <c r="AC95" s="78"/>
      <c r="AD95" s="78"/>
      <c r="AE95" s="78"/>
      <c r="AH95"/>
    </row>
    <row r="96" spans="8:34" s="23" customFormat="1" x14ac:dyDescent="0.25">
      <c r="H96" s="78"/>
      <c r="I96" s="78"/>
      <c r="J96" s="78"/>
      <c r="K96" s="78"/>
      <c r="L96" s="78"/>
      <c r="M96" s="78"/>
      <c r="N96" s="78"/>
      <c r="O96" s="78"/>
      <c r="P96" s="78"/>
      <c r="Q96" s="78"/>
      <c r="R96" s="78"/>
      <c r="S96" s="78"/>
      <c r="T96" s="78"/>
      <c r="U96" s="78"/>
      <c r="V96" s="78"/>
      <c r="W96" s="78"/>
      <c r="X96" s="78"/>
      <c r="Y96" s="78"/>
      <c r="Z96" s="78"/>
      <c r="AA96" s="78"/>
      <c r="AB96" s="78"/>
      <c r="AC96" s="78"/>
      <c r="AD96" s="78"/>
      <c r="AE96" s="78"/>
      <c r="AH96"/>
    </row>
    <row r="97" spans="8:34" s="23" customFormat="1" x14ac:dyDescent="0.25">
      <c r="H97" s="78"/>
      <c r="I97" s="78"/>
      <c r="J97" s="78"/>
      <c r="K97" s="78"/>
      <c r="L97" s="78"/>
      <c r="M97" s="78"/>
      <c r="N97" s="78"/>
      <c r="O97" s="78"/>
      <c r="P97" s="78"/>
      <c r="Q97" s="78"/>
      <c r="R97" s="78"/>
      <c r="S97" s="78"/>
      <c r="T97" s="78"/>
      <c r="U97" s="78"/>
      <c r="V97" s="78"/>
      <c r="W97" s="78"/>
      <c r="X97" s="78"/>
      <c r="Y97" s="78"/>
      <c r="Z97" s="78"/>
      <c r="AA97" s="78"/>
      <c r="AB97" s="78"/>
      <c r="AC97" s="78"/>
      <c r="AD97" s="78"/>
      <c r="AE97" s="78"/>
      <c r="AH97"/>
    </row>
    <row r="98" spans="8:34" s="23" customFormat="1" x14ac:dyDescent="0.25">
      <c r="H98" s="78"/>
      <c r="I98" s="78"/>
      <c r="J98" s="78"/>
      <c r="K98" s="78"/>
      <c r="L98" s="78"/>
      <c r="M98" s="78"/>
      <c r="N98" s="78"/>
      <c r="O98" s="78"/>
      <c r="P98" s="78"/>
      <c r="Q98" s="78"/>
      <c r="R98" s="78"/>
      <c r="S98" s="78"/>
      <c r="T98" s="78"/>
      <c r="U98" s="78"/>
      <c r="V98" s="78"/>
      <c r="W98" s="78"/>
      <c r="X98" s="78"/>
      <c r="Y98" s="78"/>
      <c r="Z98" s="78"/>
      <c r="AA98" s="78"/>
      <c r="AB98" s="78"/>
      <c r="AC98" s="78"/>
      <c r="AD98" s="78"/>
      <c r="AE98" s="78"/>
      <c r="AH98"/>
    </row>
    <row r="99" spans="8:34" s="23" customFormat="1" x14ac:dyDescent="0.25">
      <c r="H99" s="78"/>
      <c r="I99" s="78"/>
      <c r="J99" s="78"/>
      <c r="K99" s="78"/>
      <c r="L99" s="78"/>
      <c r="M99" s="78"/>
      <c r="N99" s="78"/>
      <c r="O99" s="78"/>
      <c r="P99" s="78"/>
      <c r="Q99" s="78"/>
      <c r="R99" s="78"/>
      <c r="S99" s="78"/>
      <c r="T99" s="78"/>
      <c r="U99" s="78"/>
      <c r="V99" s="78"/>
      <c r="W99" s="78"/>
      <c r="X99" s="78"/>
      <c r="Y99" s="78"/>
      <c r="Z99" s="78"/>
      <c r="AA99" s="78"/>
      <c r="AB99" s="78"/>
      <c r="AC99" s="78"/>
      <c r="AD99" s="78"/>
      <c r="AE99" s="78"/>
      <c r="AH99"/>
    </row>
    <row r="100" spans="8:34" s="23" customFormat="1" x14ac:dyDescent="0.25">
      <c r="H100" s="78"/>
      <c r="I100" s="78"/>
      <c r="J100" s="78"/>
      <c r="K100" s="78"/>
      <c r="L100" s="78"/>
      <c r="M100" s="78"/>
      <c r="N100" s="78"/>
      <c r="O100" s="78"/>
      <c r="P100" s="78"/>
      <c r="Q100" s="78"/>
      <c r="R100" s="78"/>
      <c r="S100" s="78"/>
      <c r="T100" s="78"/>
      <c r="U100" s="78"/>
      <c r="V100" s="78"/>
      <c r="W100" s="78"/>
      <c r="X100" s="78"/>
      <c r="Y100" s="78"/>
      <c r="Z100" s="78"/>
      <c r="AA100" s="78"/>
      <c r="AB100" s="78"/>
      <c r="AC100" s="78"/>
      <c r="AD100" s="78"/>
      <c r="AE100" s="78"/>
      <c r="AH100"/>
    </row>
    <row r="101" spans="8:34" s="23" customFormat="1" x14ac:dyDescent="0.25">
      <c r="H101" s="78"/>
      <c r="I101" s="78"/>
      <c r="J101" s="78"/>
      <c r="K101" s="78"/>
      <c r="L101" s="78"/>
      <c r="M101" s="78"/>
      <c r="N101" s="78"/>
      <c r="O101" s="78"/>
      <c r="P101" s="78"/>
      <c r="Q101" s="78"/>
      <c r="R101" s="78"/>
      <c r="S101" s="78"/>
      <c r="T101" s="78"/>
      <c r="U101" s="78"/>
      <c r="V101" s="78"/>
      <c r="W101" s="78"/>
      <c r="X101" s="78"/>
      <c r="Y101" s="78"/>
      <c r="Z101" s="78"/>
      <c r="AA101" s="78"/>
      <c r="AB101" s="78"/>
      <c r="AC101" s="78"/>
      <c r="AD101" s="78"/>
      <c r="AE101" s="78"/>
      <c r="AH101"/>
    </row>
    <row r="102" spans="8:34" s="23" customFormat="1" x14ac:dyDescent="0.25">
      <c r="H102" s="78"/>
      <c r="I102" s="78"/>
      <c r="J102" s="78"/>
      <c r="K102" s="78"/>
      <c r="L102" s="78"/>
      <c r="M102" s="78"/>
      <c r="N102" s="78"/>
      <c r="O102" s="78"/>
      <c r="P102" s="78"/>
      <c r="Q102" s="78"/>
      <c r="R102" s="78"/>
      <c r="S102" s="78"/>
      <c r="T102" s="78"/>
      <c r="U102" s="78"/>
      <c r="V102" s="78"/>
      <c r="W102" s="78"/>
      <c r="X102" s="78"/>
      <c r="Y102" s="78"/>
      <c r="Z102" s="78"/>
      <c r="AA102" s="78"/>
      <c r="AB102" s="78"/>
      <c r="AC102" s="78"/>
      <c r="AD102" s="78"/>
      <c r="AE102" s="78"/>
      <c r="AH102"/>
    </row>
    <row r="103" spans="8:34" s="23" customFormat="1" x14ac:dyDescent="0.25">
      <c r="H103" s="78"/>
      <c r="I103" s="78"/>
      <c r="J103" s="78"/>
      <c r="K103" s="78"/>
      <c r="L103" s="78"/>
      <c r="M103" s="78"/>
      <c r="N103" s="78"/>
      <c r="O103" s="78"/>
      <c r="P103" s="78"/>
      <c r="Q103" s="78"/>
      <c r="R103" s="78"/>
      <c r="S103" s="78"/>
      <c r="T103" s="78"/>
      <c r="U103" s="78"/>
      <c r="V103" s="78"/>
      <c r="W103" s="78"/>
      <c r="X103" s="78"/>
      <c r="Y103" s="78"/>
      <c r="Z103" s="78"/>
      <c r="AA103" s="78"/>
      <c r="AB103" s="78"/>
      <c r="AC103" s="78"/>
      <c r="AD103" s="78"/>
      <c r="AE103" s="78"/>
      <c r="AH103"/>
    </row>
    <row r="104" spans="8:34" s="23" customFormat="1" x14ac:dyDescent="0.25">
      <c r="H104" s="78"/>
      <c r="I104" s="78"/>
      <c r="J104" s="78"/>
      <c r="K104" s="78"/>
      <c r="L104" s="78"/>
      <c r="M104" s="78"/>
      <c r="N104" s="78"/>
      <c r="O104" s="78"/>
      <c r="P104" s="78"/>
      <c r="Q104" s="78"/>
      <c r="R104" s="78"/>
      <c r="S104" s="78"/>
      <c r="T104" s="78"/>
      <c r="U104" s="78"/>
      <c r="V104" s="78"/>
      <c r="W104" s="78"/>
      <c r="X104" s="78"/>
      <c r="Y104" s="78"/>
      <c r="Z104" s="78"/>
      <c r="AA104" s="78"/>
      <c r="AB104" s="78"/>
      <c r="AC104" s="78"/>
      <c r="AD104" s="78"/>
      <c r="AE104" s="78"/>
      <c r="AH104"/>
    </row>
    <row r="105" spans="8:34" s="23" customFormat="1" x14ac:dyDescent="0.25">
      <c r="H105" s="78"/>
      <c r="I105" s="78"/>
      <c r="J105" s="78"/>
      <c r="K105" s="78"/>
      <c r="L105" s="78"/>
      <c r="M105" s="78"/>
      <c r="N105" s="78"/>
      <c r="O105" s="78"/>
      <c r="P105" s="78"/>
      <c r="Q105" s="78"/>
      <c r="R105" s="78"/>
      <c r="S105" s="78"/>
      <c r="T105" s="78"/>
      <c r="U105" s="78"/>
      <c r="V105" s="78"/>
      <c r="W105" s="78"/>
      <c r="X105" s="78"/>
      <c r="Y105" s="78"/>
      <c r="Z105" s="78"/>
      <c r="AA105" s="78"/>
      <c r="AB105" s="78"/>
      <c r="AC105" s="78"/>
      <c r="AD105" s="78"/>
      <c r="AE105" s="78"/>
      <c r="AH105"/>
    </row>
    <row r="106" spans="8:34" s="23" customFormat="1" x14ac:dyDescent="0.25">
      <c r="H106" s="78"/>
      <c r="I106" s="78"/>
      <c r="J106" s="78"/>
      <c r="K106" s="78"/>
      <c r="L106" s="78"/>
      <c r="M106" s="78"/>
      <c r="N106" s="78"/>
      <c r="O106" s="78"/>
      <c r="P106" s="78"/>
      <c r="Q106" s="78"/>
      <c r="R106" s="78"/>
      <c r="S106" s="78"/>
      <c r="T106" s="78"/>
      <c r="U106" s="78"/>
      <c r="V106" s="78"/>
      <c r="W106" s="78"/>
      <c r="X106" s="78"/>
      <c r="Y106" s="78"/>
      <c r="Z106" s="78"/>
      <c r="AA106" s="78"/>
      <c r="AB106" s="78"/>
      <c r="AC106" s="78"/>
      <c r="AD106" s="78"/>
      <c r="AE106" s="78"/>
      <c r="AH106"/>
    </row>
    <row r="107" spans="8:34" s="23" customFormat="1" x14ac:dyDescent="0.25">
      <c r="H107" s="78"/>
      <c r="I107" s="78"/>
      <c r="J107" s="78"/>
      <c r="K107" s="78"/>
      <c r="L107" s="78"/>
      <c r="M107" s="78"/>
      <c r="N107" s="78"/>
      <c r="O107" s="78"/>
      <c r="P107" s="78"/>
      <c r="Q107" s="78"/>
      <c r="R107" s="78"/>
      <c r="S107" s="78"/>
      <c r="T107" s="78"/>
      <c r="U107" s="78"/>
      <c r="V107" s="78"/>
      <c r="W107" s="78"/>
      <c r="X107" s="78"/>
      <c r="Y107" s="78"/>
      <c r="Z107" s="78"/>
      <c r="AA107" s="78"/>
      <c r="AB107" s="78"/>
      <c r="AC107" s="78"/>
      <c r="AD107" s="78"/>
      <c r="AE107" s="78"/>
      <c r="AH107"/>
    </row>
    <row r="108" spans="8:34" s="23" customFormat="1" x14ac:dyDescent="0.25">
      <c r="H108" s="78"/>
      <c r="I108" s="78"/>
      <c r="J108" s="78"/>
      <c r="K108" s="78"/>
      <c r="L108" s="78"/>
      <c r="M108" s="78"/>
      <c r="N108" s="78"/>
      <c r="O108" s="78"/>
      <c r="P108" s="78"/>
      <c r="Q108" s="78"/>
      <c r="R108" s="78"/>
      <c r="S108" s="78"/>
      <c r="T108" s="78"/>
      <c r="U108" s="78"/>
      <c r="V108" s="78"/>
      <c r="W108" s="78"/>
      <c r="X108" s="78"/>
      <c r="Y108" s="78"/>
      <c r="Z108" s="78"/>
      <c r="AA108" s="78"/>
      <c r="AB108" s="78"/>
      <c r="AC108" s="78"/>
      <c r="AD108" s="78"/>
      <c r="AE108" s="78"/>
      <c r="AH108"/>
    </row>
    <row r="109" spans="8:34" s="23" customFormat="1" x14ac:dyDescent="0.25">
      <c r="H109" s="78"/>
      <c r="I109" s="78"/>
      <c r="J109" s="78"/>
      <c r="K109" s="78"/>
      <c r="L109" s="78"/>
      <c r="M109" s="78"/>
      <c r="N109" s="78"/>
      <c r="O109" s="78"/>
      <c r="P109" s="78"/>
      <c r="Q109" s="78"/>
      <c r="R109" s="78"/>
      <c r="S109" s="78"/>
      <c r="T109" s="78"/>
      <c r="U109" s="78"/>
      <c r="V109" s="78"/>
      <c r="W109" s="78"/>
      <c r="X109" s="78"/>
      <c r="Y109" s="78"/>
      <c r="Z109" s="78"/>
      <c r="AA109" s="78"/>
      <c r="AB109" s="78"/>
      <c r="AC109" s="78"/>
      <c r="AD109" s="78"/>
      <c r="AE109" s="78"/>
      <c r="AH109"/>
    </row>
    <row r="110" spans="8:34" s="23" customFormat="1" x14ac:dyDescent="0.25">
      <c r="H110" s="78"/>
      <c r="I110" s="78"/>
      <c r="J110" s="78"/>
      <c r="K110" s="78"/>
      <c r="L110" s="78"/>
      <c r="M110" s="78"/>
      <c r="N110" s="78"/>
      <c r="O110" s="78"/>
      <c r="P110" s="78"/>
      <c r="Q110" s="78"/>
      <c r="R110" s="78"/>
      <c r="S110" s="78"/>
      <c r="T110" s="78"/>
      <c r="U110" s="78"/>
      <c r="V110" s="78"/>
      <c r="W110" s="78"/>
      <c r="X110" s="78"/>
      <c r="Y110" s="78"/>
      <c r="Z110" s="78"/>
      <c r="AA110" s="78"/>
      <c r="AB110" s="78"/>
      <c r="AC110" s="78"/>
      <c r="AD110" s="78"/>
      <c r="AE110" s="78"/>
      <c r="AH110"/>
    </row>
    <row r="111" spans="8:34" s="23" customFormat="1" x14ac:dyDescent="0.25">
      <c r="H111" s="78"/>
      <c r="I111" s="78"/>
      <c r="J111" s="78"/>
      <c r="K111" s="78"/>
      <c r="L111" s="78"/>
      <c r="M111" s="78"/>
      <c r="N111" s="78"/>
      <c r="O111" s="78"/>
      <c r="P111" s="78"/>
      <c r="Q111" s="78"/>
      <c r="R111" s="78"/>
      <c r="S111" s="78"/>
      <c r="T111" s="78"/>
      <c r="U111" s="78"/>
      <c r="V111" s="78"/>
      <c r="W111" s="78"/>
      <c r="X111" s="78"/>
      <c r="Y111" s="78"/>
      <c r="Z111" s="78"/>
      <c r="AA111" s="78"/>
      <c r="AB111" s="78"/>
      <c r="AC111" s="78"/>
      <c r="AD111" s="78"/>
      <c r="AE111" s="78"/>
      <c r="AH111"/>
    </row>
    <row r="112" spans="8:34" s="23" customFormat="1" x14ac:dyDescent="0.25">
      <c r="H112" s="78"/>
      <c r="I112" s="78"/>
      <c r="J112" s="78"/>
      <c r="K112" s="78"/>
      <c r="L112" s="78"/>
      <c r="M112" s="78"/>
      <c r="N112" s="78"/>
      <c r="O112" s="78"/>
      <c r="P112" s="78"/>
      <c r="Q112" s="78"/>
      <c r="R112" s="78"/>
      <c r="S112" s="78"/>
      <c r="T112" s="78"/>
      <c r="U112" s="78"/>
      <c r="V112" s="78"/>
      <c r="W112" s="78"/>
      <c r="X112" s="78"/>
      <c r="Y112" s="78"/>
      <c r="Z112" s="78"/>
      <c r="AA112" s="78"/>
      <c r="AB112" s="78"/>
      <c r="AC112" s="78"/>
      <c r="AD112" s="78"/>
      <c r="AE112" s="78"/>
      <c r="AH112"/>
    </row>
    <row r="113" spans="8:34" s="23" customFormat="1" x14ac:dyDescent="0.25">
      <c r="H113" s="78"/>
      <c r="I113" s="78"/>
      <c r="J113" s="78"/>
      <c r="K113" s="78"/>
      <c r="L113" s="78"/>
      <c r="M113" s="78"/>
      <c r="N113" s="78"/>
      <c r="O113" s="78"/>
      <c r="P113" s="78"/>
      <c r="Q113" s="78"/>
      <c r="R113" s="78"/>
      <c r="S113" s="78"/>
      <c r="T113" s="78"/>
      <c r="U113" s="78"/>
      <c r="V113" s="78"/>
      <c r="W113" s="78"/>
      <c r="X113" s="78"/>
      <c r="Y113" s="78"/>
      <c r="Z113" s="78"/>
      <c r="AA113" s="78"/>
      <c r="AB113" s="78"/>
      <c r="AC113" s="78"/>
      <c r="AD113" s="78"/>
      <c r="AE113" s="78"/>
      <c r="AH113"/>
    </row>
    <row r="114" spans="8:34" s="23" customFormat="1" x14ac:dyDescent="0.25">
      <c r="H114" s="78"/>
      <c r="I114" s="78"/>
      <c r="J114" s="78"/>
      <c r="K114" s="78"/>
      <c r="L114" s="78"/>
      <c r="M114" s="78"/>
      <c r="N114" s="78"/>
      <c r="O114" s="78"/>
      <c r="P114" s="78"/>
      <c r="Q114" s="78"/>
      <c r="R114" s="78"/>
      <c r="S114" s="78"/>
      <c r="T114" s="78"/>
      <c r="U114" s="78"/>
      <c r="V114" s="78"/>
      <c r="W114" s="78"/>
      <c r="X114" s="78"/>
      <c r="Y114" s="78"/>
      <c r="Z114" s="78"/>
      <c r="AA114" s="78"/>
      <c r="AB114" s="78"/>
      <c r="AC114" s="78"/>
      <c r="AD114" s="78"/>
      <c r="AE114" s="78"/>
      <c r="AH114"/>
    </row>
    <row r="115" spans="8:34" s="23" customFormat="1" x14ac:dyDescent="0.25">
      <c r="H115" s="78"/>
      <c r="I115" s="78"/>
      <c r="J115" s="78"/>
      <c r="K115" s="78"/>
      <c r="L115" s="78"/>
      <c r="M115" s="78"/>
      <c r="N115" s="78"/>
      <c r="O115" s="78"/>
      <c r="P115" s="78"/>
      <c r="Q115" s="78"/>
      <c r="R115" s="78"/>
      <c r="S115" s="78"/>
      <c r="T115" s="78"/>
      <c r="U115" s="78"/>
      <c r="V115" s="78"/>
      <c r="W115" s="78"/>
      <c r="X115" s="78"/>
      <c r="Y115" s="78"/>
      <c r="Z115" s="78"/>
      <c r="AA115" s="78"/>
      <c r="AB115" s="78"/>
      <c r="AC115" s="78"/>
      <c r="AD115" s="78"/>
      <c r="AE115" s="78"/>
      <c r="AH115"/>
    </row>
    <row r="116" spans="8:34" s="23" customFormat="1" x14ac:dyDescent="0.25">
      <c r="H116" s="78"/>
      <c r="I116" s="78"/>
      <c r="J116" s="78"/>
      <c r="K116" s="78"/>
      <c r="L116" s="78"/>
      <c r="M116" s="78"/>
      <c r="N116" s="78"/>
      <c r="O116" s="78"/>
      <c r="P116" s="78"/>
      <c r="Q116" s="78"/>
      <c r="R116" s="78"/>
      <c r="S116" s="78"/>
      <c r="T116" s="78"/>
      <c r="U116" s="78"/>
      <c r="V116" s="78"/>
      <c r="W116" s="78"/>
      <c r="X116" s="78"/>
      <c r="Y116" s="78"/>
      <c r="Z116" s="78"/>
      <c r="AA116" s="78"/>
      <c r="AB116" s="78"/>
      <c r="AC116" s="78"/>
      <c r="AD116" s="78"/>
      <c r="AE116" s="78"/>
      <c r="AH116"/>
    </row>
    <row r="117" spans="8:34" s="23" customFormat="1" x14ac:dyDescent="0.25">
      <c r="H117" s="78"/>
      <c r="I117" s="78"/>
      <c r="J117" s="78"/>
      <c r="K117" s="78"/>
      <c r="L117" s="78"/>
      <c r="M117" s="78"/>
      <c r="N117" s="78"/>
      <c r="O117" s="78"/>
      <c r="P117" s="78"/>
      <c r="Q117" s="78"/>
      <c r="R117" s="78"/>
      <c r="S117" s="78"/>
      <c r="T117" s="78"/>
      <c r="U117" s="78"/>
      <c r="V117" s="78"/>
      <c r="W117" s="78"/>
      <c r="X117" s="78"/>
      <c r="Y117" s="78"/>
      <c r="Z117" s="78"/>
      <c r="AA117" s="78"/>
      <c r="AB117" s="78"/>
      <c r="AC117" s="78"/>
      <c r="AD117" s="78"/>
      <c r="AE117" s="78"/>
      <c r="AH117"/>
    </row>
    <row r="118" spans="8:34" s="23" customFormat="1" x14ac:dyDescent="0.25">
      <c r="H118" s="78"/>
      <c r="I118" s="78"/>
      <c r="J118" s="78"/>
      <c r="K118" s="78"/>
      <c r="L118" s="78"/>
      <c r="M118" s="78"/>
      <c r="N118" s="78"/>
      <c r="O118" s="78"/>
      <c r="P118" s="78"/>
      <c r="Q118" s="78"/>
      <c r="R118" s="78"/>
      <c r="S118" s="78"/>
      <c r="T118" s="78"/>
      <c r="U118" s="78"/>
      <c r="V118" s="78"/>
      <c r="W118" s="78"/>
      <c r="X118" s="78"/>
      <c r="Y118" s="78"/>
      <c r="Z118" s="78"/>
      <c r="AA118" s="78"/>
      <c r="AB118" s="78"/>
      <c r="AC118" s="78"/>
      <c r="AD118" s="78"/>
      <c r="AE118" s="78"/>
      <c r="AH118"/>
    </row>
    <row r="119" spans="8:34" s="23" customFormat="1" x14ac:dyDescent="0.25">
      <c r="H119" s="78"/>
      <c r="I119" s="78"/>
      <c r="J119" s="78"/>
      <c r="K119" s="78"/>
      <c r="L119" s="78"/>
      <c r="M119" s="78"/>
      <c r="N119" s="78"/>
      <c r="O119" s="78"/>
      <c r="P119" s="78"/>
      <c r="Q119" s="78"/>
      <c r="R119" s="78"/>
      <c r="S119" s="78"/>
      <c r="T119" s="78"/>
      <c r="U119" s="78"/>
      <c r="V119" s="78"/>
      <c r="W119" s="78"/>
      <c r="X119" s="78"/>
      <c r="Y119" s="78"/>
      <c r="Z119" s="78"/>
      <c r="AA119" s="78"/>
      <c r="AB119" s="78"/>
      <c r="AC119" s="78"/>
      <c r="AD119" s="78"/>
      <c r="AE119" s="78"/>
      <c r="AH119"/>
    </row>
    <row r="120" spans="8:34" s="23" customFormat="1" x14ac:dyDescent="0.25">
      <c r="H120" s="78"/>
      <c r="I120" s="78"/>
      <c r="J120" s="78"/>
      <c r="K120" s="78"/>
      <c r="L120" s="78"/>
      <c r="M120" s="78"/>
      <c r="N120" s="78"/>
      <c r="O120" s="78"/>
      <c r="P120" s="78"/>
      <c r="Q120" s="78"/>
      <c r="R120" s="78"/>
      <c r="S120" s="78"/>
      <c r="T120" s="78"/>
      <c r="U120" s="78"/>
      <c r="V120" s="78"/>
      <c r="W120" s="78"/>
      <c r="X120" s="78"/>
      <c r="Y120" s="78"/>
      <c r="Z120" s="78"/>
      <c r="AA120" s="78"/>
      <c r="AB120" s="78"/>
      <c r="AC120" s="78"/>
      <c r="AD120" s="78"/>
      <c r="AE120" s="78"/>
      <c r="AH120"/>
    </row>
    <row r="121" spans="8:34" s="23" customFormat="1" x14ac:dyDescent="0.25">
      <c r="H121" s="78"/>
      <c r="I121" s="78"/>
      <c r="J121" s="78"/>
      <c r="K121" s="78"/>
      <c r="L121" s="78"/>
      <c r="M121" s="78"/>
      <c r="N121" s="78"/>
      <c r="O121" s="78"/>
      <c r="P121" s="78"/>
      <c r="Q121" s="78"/>
      <c r="R121" s="78"/>
      <c r="S121" s="78"/>
      <c r="T121" s="78"/>
      <c r="U121" s="78"/>
      <c r="V121" s="78"/>
      <c r="W121" s="78"/>
      <c r="X121" s="78"/>
      <c r="Y121" s="78"/>
      <c r="Z121" s="78"/>
      <c r="AA121" s="78"/>
      <c r="AB121" s="78"/>
      <c r="AC121" s="78"/>
      <c r="AD121" s="78"/>
      <c r="AE121" s="78"/>
      <c r="AH121"/>
    </row>
    <row r="122" spans="8:34" s="23" customFormat="1" x14ac:dyDescent="0.25">
      <c r="H122" s="78"/>
      <c r="I122" s="78"/>
      <c r="J122" s="78"/>
      <c r="K122" s="78"/>
      <c r="L122" s="78"/>
      <c r="M122" s="78"/>
      <c r="N122" s="78"/>
      <c r="O122" s="78"/>
      <c r="P122" s="78"/>
      <c r="Q122" s="78"/>
      <c r="R122" s="78"/>
      <c r="S122" s="78"/>
      <c r="T122" s="78"/>
      <c r="U122" s="78"/>
      <c r="V122" s="78"/>
      <c r="W122" s="78"/>
      <c r="X122" s="78"/>
      <c r="Y122" s="78"/>
      <c r="Z122" s="78"/>
      <c r="AA122" s="78"/>
      <c r="AB122" s="78"/>
      <c r="AC122" s="78"/>
      <c r="AD122" s="78"/>
      <c r="AE122" s="78"/>
      <c r="AH122"/>
    </row>
    <row r="123" spans="8:34" s="23" customFormat="1" x14ac:dyDescent="0.25">
      <c r="H123" s="78"/>
      <c r="I123" s="78"/>
      <c r="J123" s="78"/>
      <c r="K123" s="78"/>
      <c r="L123" s="78"/>
      <c r="M123" s="78"/>
      <c r="N123" s="78"/>
      <c r="O123" s="78"/>
      <c r="P123" s="78"/>
      <c r="Q123" s="78"/>
      <c r="R123" s="78"/>
      <c r="S123" s="78"/>
      <c r="T123" s="78"/>
      <c r="U123" s="78"/>
      <c r="V123" s="78"/>
      <c r="W123" s="78"/>
      <c r="X123" s="78"/>
      <c r="Y123" s="78"/>
      <c r="Z123" s="78"/>
      <c r="AA123" s="78"/>
      <c r="AB123" s="78"/>
      <c r="AC123" s="78"/>
      <c r="AD123" s="78"/>
      <c r="AE123" s="78"/>
      <c r="AH123"/>
    </row>
    <row r="124" spans="8:34" s="23" customFormat="1" x14ac:dyDescent="0.25">
      <c r="H124" s="78"/>
      <c r="I124" s="78"/>
      <c r="J124" s="78"/>
      <c r="K124" s="78"/>
      <c r="L124" s="78"/>
      <c r="M124" s="78"/>
      <c r="N124" s="78"/>
      <c r="O124" s="78"/>
      <c r="P124" s="78"/>
      <c r="Q124" s="78"/>
      <c r="R124" s="78"/>
      <c r="S124" s="78"/>
      <c r="T124" s="78"/>
      <c r="U124" s="78"/>
      <c r="V124" s="78"/>
      <c r="W124" s="78"/>
      <c r="X124" s="78"/>
      <c r="Y124" s="78"/>
      <c r="Z124" s="78"/>
      <c r="AA124" s="78"/>
      <c r="AB124" s="78"/>
      <c r="AC124" s="78"/>
      <c r="AD124" s="78"/>
      <c r="AE124" s="78"/>
      <c r="AH124"/>
    </row>
    <row r="125" spans="8:34" s="23" customFormat="1" x14ac:dyDescent="0.25">
      <c r="H125" s="78"/>
      <c r="I125" s="78"/>
      <c r="J125" s="78"/>
      <c r="K125" s="78"/>
      <c r="L125" s="78"/>
      <c r="M125" s="78"/>
      <c r="N125" s="78"/>
      <c r="O125" s="78"/>
      <c r="P125" s="78"/>
      <c r="Q125" s="78"/>
      <c r="R125" s="78"/>
      <c r="S125" s="78"/>
      <c r="T125" s="78"/>
      <c r="U125" s="78"/>
      <c r="V125" s="78"/>
      <c r="W125" s="78"/>
      <c r="X125" s="78"/>
      <c r="Y125" s="78"/>
      <c r="Z125" s="78"/>
      <c r="AA125" s="78"/>
      <c r="AB125" s="78"/>
      <c r="AC125" s="78"/>
      <c r="AD125" s="78"/>
      <c r="AE125" s="78"/>
      <c r="AH125"/>
    </row>
    <row r="126" spans="8:34" s="23" customFormat="1" x14ac:dyDescent="0.25">
      <c r="H126" s="78"/>
      <c r="I126" s="78"/>
      <c r="J126" s="78"/>
      <c r="K126" s="78"/>
      <c r="L126" s="78"/>
      <c r="M126" s="78"/>
      <c r="N126" s="78"/>
      <c r="O126" s="78"/>
      <c r="P126" s="78"/>
      <c r="Q126" s="78"/>
      <c r="R126" s="78"/>
      <c r="S126" s="78"/>
      <c r="T126" s="78"/>
      <c r="U126" s="78"/>
      <c r="V126" s="78"/>
      <c r="W126" s="78"/>
      <c r="X126" s="78"/>
      <c r="Y126" s="78"/>
      <c r="Z126" s="78"/>
      <c r="AA126" s="78"/>
      <c r="AB126" s="78"/>
      <c r="AC126" s="78"/>
      <c r="AD126" s="78"/>
      <c r="AE126" s="78"/>
      <c r="AH126"/>
    </row>
    <row r="127" spans="8:34" s="23" customFormat="1" x14ac:dyDescent="0.25">
      <c r="H127" s="78"/>
      <c r="I127" s="78"/>
      <c r="J127" s="78"/>
      <c r="K127" s="78"/>
      <c r="L127" s="78"/>
      <c r="M127" s="78"/>
      <c r="N127" s="78"/>
      <c r="O127" s="78"/>
      <c r="P127" s="78"/>
      <c r="Q127" s="78"/>
      <c r="R127" s="78"/>
      <c r="S127" s="78"/>
      <c r="T127" s="78"/>
      <c r="U127" s="78"/>
      <c r="V127" s="78"/>
      <c r="W127" s="78"/>
      <c r="X127" s="78"/>
      <c r="Y127" s="78"/>
      <c r="Z127" s="78"/>
      <c r="AA127" s="78"/>
      <c r="AB127" s="78"/>
      <c r="AC127" s="78"/>
      <c r="AD127" s="78"/>
      <c r="AE127" s="78"/>
      <c r="AH127"/>
    </row>
    <row r="128" spans="8:34" s="23" customFormat="1" x14ac:dyDescent="0.25">
      <c r="H128" s="78"/>
      <c r="I128" s="78"/>
      <c r="J128" s="78"/>
      <c r="K128" s="78"/>
      <c r="L128" s="78"/>
      <c r="M128" s="78"/>
      <c r="N128" s="78"/>
      <c r="O128" s="78"/>
      <c r="P128" s="78"/>
      <c r="Q128" s="78"/>
      <c r="R128" s="78"/>
      <c r="S128" s="78"/>
      <c r="T128" s="78"/>
      <c r="U128" s="78"/>
      <c r="V128" s="78"/>
      <c r="W128" s="78"/>
      <c r="X128" s="78"/>
      <c r="Y128" s="78"/>
      <c r="Z128" s="78"/>
      <c r="AA128" s="78"/>
      <c r="AB128" s="78"/>
      <c r="AC128" s="78"/>
      <c r="AD128" s="78"/>
      <c r="AE128" s="78"/>
      <c r="AH128"/>
    </row>
    <row r="129" spans="8:34" s="23" customFormat="1" x14ac:dyDescent="0.25">
      <c r="H129" s="78"/>
      <c r="I129" s="78"/>
      <c r="J129" s="78"/>
      <c r="K129" s="78"/>
      <c r="L129" s="78"/>
      <c r="M129" s="78"/>
      <c r="N129" s="78"/>
      <c r="O129" s="78"/>
      <c r="P129" s="78"/>
      <c r="Q129" s="78"/>
      <c r="R129" s="78"/>
      <c r="S129" s="78"/>
      <c r="T129" s="78"/>
      <c r="U129" s="78"/>
      <c r="V129" s="78"/>
      <c r="W129" s="78"/>
      <c r="X129" s="78"/>
      <c r="Y129" s="78"/>
      <c r="Z129" s="78"/>
      <c r="AA129" s="78"/>
      <c r="AB129" s="78"/>
      <c r="AC129" s="78"/>
      <c r="AD129" s="78"/>
      <c r="AE129" s="78"/>
      <c r="AH129"/>
    </row>
    <row r="130" spans="8:34" s="23" customFormat="1" x14ac:dyDescent="0.25">
      <c r="H130" s="78"/>
      <c r="I130" s="78"/>
      <c r="J130" s="78"/>
      <c r="K130" s="78"/>
      <c r="L130" s="78"/>
      <c r="M130" s="78"/>
      <c r="N130" s="78"/>
      <c r="O130" s="78"/>
      <c r="P130" s="78"/>
      <c r="Q130" s="78"/>
      <c r="R130" s="78"/>
      <c r="S130" s="78"/>
      <c r="T130" s="78"/>
      <c r="U130" s="78"/>
      <c r="V130" s="78"/>
      <c r="W130" s="78"/>
      <c r="X130" s="78"/>
      <c r="Y130" s="78"/>
      <c r="Z130" s="78"/>
      <c r="AA130" s="78"/>
      <c r="AB130" s="78"/>
      <c r="AC130" s="78"/>
      <c r="AD130" s="78"/>
      <c r="AE130" s="78"/>
      <c r="AH130"/>
    </row>
    <row r="131" spans="8:34" s="23" customFormat="1" x14ac:dyDescent="0.25">
      <c r="H131" s="78"/>
      <c r="I131" s="78"/>
      <c r="J131" s="78"/>
      <c r="K131" s="78"/>
      <c r="L131" s="78"/>
      <c r="M131" s="78"/>
      <c r="N131" s="78"/>
      <c r="O131" s="78"/>
      <c r="P131" s="78"/>
      <c r="Q131" s="78"/>
      <c r="R131" s="78"/>
      <c r="S131" s="78"/>
      <c r="T131" s="78"/>
      <c r="U131" s="78"/>
      <c r="V131" s="78"/>
      <c r="W131" s="78"/>
      <c r="X131" s="78"/>
      <c r="Y131" s="78"/>
      <c r="Z131" s="78"/>
      <c r="AA131" s="78"/>
      <c r="AB131" s="78"/>
      <c r="AC131" s="78"/>
      <c r="AD131" s="78"/>
      <c r="AE131" s="78"/>
      <c r="AH131"/>
    </row>
    <row r="132" spans="8:34" s="23" customFormat="1" x14ac:dyDescent="0.25">
      <c r="H132" s="78"/>
      <c r="I132" s="78"/>
      <c r="J132" s="78"/>
      <c r="K132" s="78"/>
      <c r="L132" s="78"/>
      <c r="M132" s="78"/>
      <c r="N132" s="78"/>
      <c r="O132" s="78"/>
      <c r="P132" s="78"/>
      <c r="Q132" s="78"/>
      <c r="R132" s="78"/>
      <c r="S132" s="78"/>
      <c r="T132" s="78"/>
      <c r="U132" s="78"/>
      <c r="V132" s="78"/>
      <c r="W132" s="78"/>
      <c r="X132" s="78"/>
      <c r="Y132" s="78"/>
      <c r="Z132" s="78"/>
      <c r="AA132" s="78"/>
      <c r="AB132" s="78"/>
      <c r="AC132" s="78"/>
      <c r="AD132" s="78"/>
      <c r="AE132" s="78"/>
      <c r="AH132"/>
    </row>
    <row r="133" spans="8:34" s="23" customFormat="1" x14ac:dyDescent="0.25">
      <c r="H133" s="78"/>
      <c r="I133" s="78"/>
      <c r="J133" s="78"/>
      <c r="K133" s="78"/>
      <c r="L133" s="78"/>
      <c r="M133" s="78"/>
      <c r="N133" s="78"/>
      <c r="O133" s="78"/>
      <c r="P133" s="78"/>
      <c r="Q133" s="78"/>
      <c r="R133" s="78"/>
      <c r="S133" s="78"/>
      <c r="T133" s="78"/>
      <c r="U133" s="78"/>
      <c r="V133" s="78"/>
      <c r="W133" s="78"/>
      <c r="X133" s="78"/>
      <c r="Y133" s="78"/>
      <c r="Z133" s="78"/>
      <c r="AA133" s="78"/>
      <c r="AB133" s="78"/>
      <c r="AC133" s="78"/>
      <c r="AD133" s="78"/>
      <c r="AE133" s="78"/>
      <c r="AH133"/>
    </row>
    <row r="134" spans="8:34" s="23" customFormat="1" x14ac:dyDescent="0.25">
      <c r="H134" s="78"/>
      <c r="I134" s="78"/>
      <c r="J134" s="78"/>
      <c r="K134" s="78"/>
      <c r="L134" s="78"/>
      <c r="M134" s="78"/>
      <c r="N134" s="78"/>
      <c r="O134" s="78"/>
      <c r="P134" s="78"/>
      <c r="Q134" s="78"/>
      <c r="R134" s="78"/>
      <c r="S134" s="78"/>
      <c r="T134" s="78"/>
      <c r="U134" s="78"/>
      <c r="V134" s="78"/>
      <c r="W134" s="78"/>
      <c r="X134" s="78"/>
      <c r="Y134" s="78"/>
      <c r="Z134" s="78"/>
      <c r="AA134" s="78"/>
      <c r="AB134" s="78"/>
      <c r="AC134" s="78"/>
      <c r="AD134" s="78"/>
      <c r="AE134" s="78"/>
      <c r="AH134"/>
    </row>
    <row r="135" spans="8:34" s="23" customFormat="1" x14ac:dyDescent="0.25">
      <c r="H135" s="78"/>
      <c r="I135" s="78"/>
      <c r="J135" s="78"/>
      <c r="K135" s="78"/>
      <c r="L135" s="78"/>
      <c r="M135" s="78"/>
      <c r="N135" s="78"/>
      <c r="O135" s="78"/>
      <c r="P135" s="78"/>
      <c r="Q135" s="78"/>
      <c r="R135" s="78"/>
      <c r="S135" s="78"/>
      <c r="T135" s="78"/>
      <c r="U135" s="78"/>
      <c r="V135" s="78"/>
      <c r="W135" s="78"/>
      <c r="X135" s="78"/>
      <c r="Y135" s="78"/>
      <c r="Z135" s="78"/>
      <c r="AA135" s="78"/>
      <c r="AB135" s="78"/>
      <c r="AC135" s="78"/>
      <c r="AD135" s="78"/>
      <c r="AE135" s="78"/>
      <c r="AH135"/>
    </row>
    <row r="136" spans="8:34" s="23" customFormat="1" x14ac:dyDescent="0.25">
      <c r="H136" s="78"/>
      <c r="I136" s="78"/>
      <c r="J136" s="78"/>
      <c r="K136" s="78"/>
      <c r="L136" s="78"/>
      <c r="M136" s="78"/>
      <c r="N136" s="78"/>
      <c r="O136" s="78"/>
      <c r="P136" s="78"/>
      <c r="Q136" s="78"/>
      <c r="R136" s="78"/>
      <c r="S136" s="78"/>
      <c r="T136" s="78"/>
      <c r="U136" s="78"/>
      <c r="V136" s="78"/>
      <c r="W136" s="78"/>
      <c r="X136" s="78"/>
      <c r="Y136" s="78"/>
      <c r="Z136" s="78"/>
      <c r="AA136" s="78"/>
      <c r="AB136" s="78"/>
      <c r="AC136" s="78"/>
      <c r="AD136" s="78"/>
      <c r="AE136" s="78"/>
      <c r="AH136"/>
    </row>
    <row r="137" spans="8:34" s="23" customFormat="1" x14ac:dyDescent="0.25">
      <c r="H137" s="78"/>
      <c r="I137" s="78"/>
      <c r="J137" s="78"/>
      <c r="K137" s="78"/>
      <c r="L137" s="78"/>
      <c r="M137" s="78"/>
      <c r="N137" s="78"/>
      <c r="O137" s="78"/>
      <c r="P137" s="78"/>
      <c r="Q137" s="78"/>
      <c r="R137" s="78"/>
      <c r="S137" s="78"/>
      <c r="T137" s="78"/>
      <c r="U137" s="78"/>
      <c r="V137" s="78"/>
      <c r="W137" s="78"/>
      <c r="X137" s="78"/>
      <c r="Y137" s="78"/>
      <c r="Z137" s="78"/>
      <c r="AA137" s="78"/>
      <c r="AB137" s="78"/>
      <c r="AC137" s="78"/>
      <c r="AD137" s="78"/>
      <c r="AE137" s="78"/>
      <c r="AH137"/>
    </row>
    <row r="138" spans="8:34" s="23" customFormat="1" x14ac:dyDescent="0.25">
      <c r="H138" s="78"/>
      <c r="I138" s="78"/>
      <c r="J138" s="78"/>
      <c r="K138" s="78"/>
      <c r="L138" s="78"/>
      <c r="M138" s="78"/>
      <c r="N138" s="78"/>
      <c r="O138" s="78"/>
      <c r="P138" s="78"/>
      <c r="Q138" s="78"/>
      <c r="R138" s="78"/>
      <c r="S138" s="78"/>
      <c r="T138" s="78"/>
      <c r="U138" s="78"/>
      <c r="V138" s="78"/>
      <c r="W138" s="78"/>
      <c r="X138" s="78"/>
      <c r="Y138" s="78"/>
      <c r="Z138" s="78"/>
      <c r="AA138" s="78"/>
      <c r="AB138" s="78"/>
      <c r="AC138" s="78"/>
      <c r="AD138" s="78"/>
      <c r="AE138" s="78"/>
      <c r="AH138"/>
    </row>
    <row r="139" spans="8:34" s="23" customFormat="1" x14ac:dyDescent="0.25">
      <c r="H139" s="78"/>
      <c r="I139" s="78"/>
      <c r="J139" s="78"/>
      <c r="K139" s="78"/>
      <c r="L139" s="78"/>
      <c r="M139" s="78"/>
      <c r="N139" s="78"/>
      <c r="O139" s="78"/>
      <c r="P139" s="78"/>
      <c r="Q139" s="78"/>
      <c r="R139" s="78"/>
      <c r="S139" s="78"/>
      <c r="T139" s="78"/>
      <c r="U139" s="78"/>
      <c r="V139" s="78"/>
      <c r="W139" s="78"/>
      <c r="X139" s="78"/>
      <c r="Y139" s="78"/>
      <c r="Z139" s="78"/>
      <c r="AA139" s="78"/>
      <c r="AB139" s="78"/>
      <c r="AC139" s="78"/>
      <c r="AD139" s="78"/>
      <c r="AE139" s="78"/>
      <c r="AH139"/>
    </row>
    <row r="140" spans="8:34" s="23" customFormat="1" x14ac:dyDescent="0.25">
      <c r="H140" s="78"/>
      <c r="I140" s="78"/>
      <c r="J140" s="78"/>
      <c r="K140" s="78"/>
      <c r="L140" s="78"/>
      <c r="M140" s="78"/>
      <c r="N140" s="78"/>
      <c r="O140" s="78"/>
      <c r="P140" s="78"/>
      <c r="Q140" s="78"/>
      <c r="R140" s="78"/>
      <c r="S140" s="78"/>
      <c r="T140" s="78"/>
      <c r="U140" s="78"/>
      <c r="V140" s="78"/>
      <c r="W140" s="78"/>
      <c r="X140" s="78"/>
      <c r="Y140" s="78"/>
      <c r="Z140" s="78"/>
      <c r="AA140" s="78"/>
      <c r="AB140" s="78"/>
      <c r="AC140" s="78"/>
      <c r="AD140" s="78"/>
      <c r="AE140" s="78"/>
      <c r="AH140"/>
    </row>
    <row r="141" spans="8:34" s="23" customFormat="1" x14ac:dyDescent="0.25">
      <c r="H141" s="78"/>
      <c r="I141" s="78"/>
      <c r="J141" s="78"/>
      <c r="K141" s="78"/>
      <c r="L141" s="78"/>
      <c r="M141" s="78"/>
      <c r="N141" s="78"/>
      <c r="O141" s="78"/>
      <c r="P141" s="78"/>
      <c r="Q141" s="78"/>
      <c r="R141" s="78"/>
      <c r="S141" s="78"/>
      <c r="T141" s="78"/>
      <c r="U141" s="78"/>
      <c r="V141" s="78"/>
      <c r="W141" s="78"/>
      <c r="X141" s="78"/>
      <c r="Y141" s="78"/>
      <c r="Z141" s="78"/>
      <c r="AA141" s="78"/>
      <c r="AB141" s="78"/>
      <c r="AC141" s="78"/>
      <c r="AD141" s="78"/>
      <c r="AE141" s="78"/>
      <c r="AH141"/>
    </row>
    <row r="142" spans="8:34" s="23" customFormat="1" x14ac:dyDescent="0.25">
      <c r="H142" s="78"/>
      <c r="I142" s="78"/>
      <c r="J142" s="78"/>
      <c r="K142" s="78"/>
      <c r="L142" s="78"/>
      <c r="M142" s="78"/>
      <c r="N142" s="78"/>
      <c r="O142" s="78"/>
      <c r="P142" s="78"/>
      <c r="Q142" s="78"/>
      <c r="R142" s="78"/>
      <c r="S142" s="78"/>
      <c r="T142" s="78"/>
      <c r="U142" s="78"/>
      <c r="V142" s="78"/>
      <c r="W142" s="78"/>
      <c r="X142" s="78"/>
      <c r="Y142" s="78"/>
      <c r="Z142" s="78"/>
      <c r="AA142" s="78"/>
      <c r="AB142" s="78"/>
      <c r="AC142" s="78"/>
      <c r="AD142" s="78"/>
      <c r="AE142" s="78"/>
      <c r="AH142"/>
    </row>
    <row r="143" spans="8:34" s="23" customFormat="1" x14ac:dyDescent="0.25">
      <c r="H143" s="78"/>
      <c r="I143" s="78"/>
      <c r="J143" s="78"/>
      <c r="K143" s="78"/>
      <c r="L143" s="78"/>
      <c r="M143" s="78"/>
      <c r="N143" s="78"/>
      <c r="O143" s="78"/>
      <c r="P143" s="78"/>
      <c r="Q143" s="78"/>
      <c r="R143" s="78"/>
      <c r="S143" s="78"/>
      <c r="T143" s="78"/>
      <c r="U143" s="78"/>
      <c r="V143" s="78"/>
      <c r="W143" s="78"/>
      <c r="X143" s="78"/>
      <c r="Y143" s="78"/>
      <c r="Z143" s="78"/>
      <c r="AA143" s="78"/>
      <c r="AB143" s="78"/>
      <c r="AC143" s="78"/>
      <c r="AD143" s="78"/>
      <c r="AE143" s="78"/>
      <c r="AH143"/>
    </row>
    <row r="144" spans="8:34" s="23" customFormat="1" x14ac:dyDescent="0.25">
      <c r="H144" s="78"/>
      <c r="I144" s="78"/>
      <c r="J144" s="78"/>
      <c r="K144" s="78"/>
      <c r="L144" s="78"/>
      <c r="M144" s="78"/>
      <c r="N144" s="78"/>
      <c r="O144" s="78"/>
      <c r="P144" s="78"/>
      <c r="Q144" s="78"/>
      <c r="R144" s="78"/>
      <c r="S144" s="78"/>
      <c r="T144" s="78"/>
      <c r="U144" s="78"/>
      <c r="V144" s="78"/>
      <c r="W144" s="78"/>
      <c r="X144" s="78"/>
      <c r="Y144" s="78"/>
      <c r="Z144" s="78"/>
      <c r="AA144" s="78"/>
      <c r="AB144" s="78"/>
      <c r="AC144" s="78"/>
      <c r="AD144" s="78"/>
      <c r="AE144" s="78"/>
      <c r="AH144"/>
    </row>
    <row r="145" spans="8:34" s="23" customFormat="1" x14ac:dyDescent="0.25">
      <c r="H145" s="78"/>
      <c r="I145" s="78"/>
      <c r="J145" s="78"/>
      <c r="K145" s="78"/>
      <c r="L145" s="78"/>
      <c r="M145" s="78"/>
      <c r="N145" s="78"/>
      <c r="O145" s="78"/>
      <c r="P145" s="78"/>
      <c r="Q145" s="78"/>
      <c r="R145" s="78"/>
      <c r="S145" s="78"/>
      <c r="T145" s="78"/>
      <c r="U145" s="78"/>
      <c r="V145" s="78"/>
      <c r="W145" s="78"/>
      <c r="X145" s="78"/>
      <c r="Y145" s="78"/>
      <c r="Z145" s="78"/>
      <c r="AA145" s="78"/>
      <c r="AB145" s="78"/>
      <c r="AC145" s="78"/>
      <c r="AD145" s="78"/>
      <c r="AE145" s="78"/>
      <c r="AH145"/>
    </row>
    <row r="146" spans="8:34" s="23" customFormat="1" x14ac:dyDescent="0.25">
      <c r="H146" s="78"/>
      <c r="I146" s="78"/>
      <c r="J146" s="78"/>
      <c r="K146" s="78"/>
      <c r="L146" s="78"/>
      <c r="M146" s="78"/>
      <c r="N146" s="78"/>
      <c r="O146" s="78"/>
      <c r="P146" s="78"/>
      <c r="Q146" s="78"/>
      <c r="R146" s="78"/>
      <c r="S146" s="78"/>
      <c r="T146" s="78"/>
      <c r="U146" s="78"/>
      <c r="V146" s="78"/>
      <c r="W146" s="78"/>
      <c r="X146" s="78"/>
      <c r="Y146" s="78"/>
      <c r="Z146" s="78"/>
      <c r="AA146" s="78"/>
      <c r="AB146" s="78"/>
      <c r="AC146" s="78"/>
      <c r="AD146" s="78"/>
      <c r="AE146" s="78"/>
      <c r="AH146"/>
    </row>
    <row r="147" spans="8:34" s="23" customFormat="1" x14ac:dyDescent="0.25">
      <c r="H147" s="78"/>
      <c r="I147" s="78"/>
      <c r="J147" s="78"/>
      <c r="K147" s="78"/>
      <c r="L147" s="78"/>
      <c r="M147" s="78"/>
      <c r="N147" s="78"/>
      <c r="O147" s="78"/>
      <c r="P147" s="78"/>
      <c r="Q147" s="78"/>
      <c r="R147" s="78"/>
      <c r="S147" s="78"/>
      <c r="T147" s="78"/>
      <c r="U147" s="78"/>
      <c r="V147" s="78"/>
      <c r="W147" s="78"/>
      <c r="X147" s="78"/>
      <c r="Y147" s="78"/>
      <c r="Z147" s="78"/>
      <c r="AA147" s="78"/>
      <c r="AB147" s="78"/>
      <c r="AC147" s="78"/>
      <c r="AD147" s="78"/>
      <c r="AE147" s="78"/>
      <c r="AH147"/>
    </row>
    <row r="148" spans="8:34" s="23" customFormat="1" x14ac:dyDescent="0.25">
      <c r="H148" s="78"/>
      <c r="I148" s="78"/>
      <c r="J148" s="78"/>
      <c r="K148" s="78"/>
      <c r="L148" s="78"/>
      <c r="M148" s="78"/>
      <c r="N148" s="78"/>
      <c r="O148" s="78"/>
      <c r="P148" s="78"/>
      <c r="Q148" s="78"/>
      <c r="R148" s="78"/>
      <c r="S148" s="78"/>
      <c r="T148" s="78"/>
      <c r="U148" s="78"/>
      <c r="V148" s="78"/>
      <c r="W148" s="78"/>
      <c r="X148" s="78"/>
      <c r="Y148" s="78"/>
      <c r="Z148" s="78"/>
      <c r="AA148" s="78"/>
      <c r="AB148" s="78"/>
      <c r="AC148" s="78"/>
      <c r="AD148" s="78"/>
      <c r="AE148" s="78"/>
      <c r="AH148"/>
    </row>
    <row r="149" spans="8:34" s="23" customFormat="1" x14ac:dyDescent="0.25">
      <c r="H149" s="78"/>
      <c r="I149" s="78"/>
      <c r="J149" s="78"/>
      <c r="K149" s="78"/>
      <c r="L149" s="78"/>
      <c r="M149" s="78"/>
      <c r="N149" s="78"/>
      <c r="O149" s="78"/>
      <c r="P149" s="78"/>
      <c r="Q149" s="78"/>
      <c r="R149" s="78"/>
      <c r="S149" s="78"/>
      <c r="T149" s="78"/>
      <c r="U149" s="78"/>
      <c r="V149" s="78"/>
      <c r="W149" s="78"/>
      <c r="X149" s="78"/>
      <c r="Y149" s="78"/>
      <c r="Z149" s="78"/>
      <c r="AA149" s="78"/>
      <c r="AB149" s="78"/>
      <c r="AC149" s="78"/>
      <c r="AD149" s="78"/>
      <c r="AE149" s="78"/>
      <c r="AH149"/>
    </row>
    <row r="150" spans="8:34" s="23" customFormat="1" x14ac:dyDescent="0.25">
      <c r="H150" s="78"/>
      <c r="I150" s="78"/>
      <c r="J150" s="78"/>
      <c r="K150" s="78"/>
      <c r="L150" s="78"/>
      <c r="M150" s="78"/>
      <c r="N150" s="78"/>
      <c r="O150" s="78"/>
      <c r="P150" s="78"/>
      <c r="Q150" s="78"/>
      <c r="R150" s="78"/>
      <c r="S150" s="78"/>
      <c r="T150" s="78"/>
      <c r="U150" s="78"/>
      <c r="V150" s="78"/>
      <c r="W150" s="78"/>
      <c r="X150" s="78"/>
      <c r="Y150" s="78"/>
      <c r="Z150" s="78"/>
      <c r="AA150" s="78"/>
      <c r="AB150" s="78"/>
      <c r="AC150" s="78"/>
      <c r="AD150" s="78"/>
      <c r="AE150" s="78"/>
      <c r="AH150"/>
    </row>
    <row r="151" spans="8:34" s="23" customFormat="1" x14ac:dyDescent="0.25">
      <c r="H151" s="78"/>
      <c r="I151" s="78"/>
      <c r="J151" s="78"/>
      <c r="K151" s="78"/>
      <c r="L151" s="78"/>
      <c r="M151" s="78"/>
      <c r="N151" s="78"/>
      <c r="O151" s="78"/>
      <c r="P151" s="78"/>
      <c r="Q151" s="78"/>
      <c r="R151" s="78"/>
      <c r="S151" s="78"/>
      <c r="T151" s="78"/>
      <c r="U151" s="78"/>
      <c r="V151" s="78"/>
      <c r="W151" s="78"/>
      <c r="X151" s="78"/>
      <c r="Y151" s="78"/>
      <c r="Z151" s="78"/>
      <c r="AA151" s="78"/>
      <c r="AB151" s="78"/>
      <c r="AC151" s="78"/>
      <c r="AD151" s="78"/>
      <c r="AE151" s="78"/>
      <c r="AH151"/>
    </row>
    <row r="152" spans="8:34" s="23" customFormat="1" x14ac:dyDescent="0.25">
      <c r="H152" s="78"/>
      <c r="I152" s="78"/>
      <c r="J152" s="78"/>
      <c r="K152" s="78"/>
      <c r="L152" s="78"/>
      <c r="M152" s="78"/>
      <c r="N152" s="78"/>
      <c r="O152" s="78"/>
      <c r="P152" s="78"/>
      <c r="Q152" s="78"/>
      <c r="R152" s="78"/>
      <c r="S152" s="78"/>
      <c r="T152" s="78"/>
      <c r="U152" s="78"/>
      <c r="V152" s="78"/>
      <c r="W152" s="78"/>
      <c r="X152" s="78"/>
      <c r="Y152" s="78"/>
      <c r="Z152" s="78"/>
      <c r="AA152" s="78"/>
      <c r="AB152" s="78"/>
      <c r="AC152" s="78"/>
      <c r="AD152" s="78"/>
      <c r="AE152" s="78"/>
      <c r="AH152"/>
    </row>
    <row r="153" spans="8:34" s="23" customFormat="1" x14ac:dyDescent="0.25">
      <c r="H153" s="78"/>
      <c r="I153" s="78"/>
      <c r="J153" s="78"/>
      <c r="K153" s="78"/>
      <c r="L153" s="78"/>
      <c r="M153" s="78"/>
      <c r="N153" s="78"/>
      <c r="O153" s="78"/>
      <c r="P153" s="78"/>
      <c r="Q153" s="78"/>
      <c r="R153" s="78"/>
      <c r="S153" s="78"/>
      <c r="T153" s="78"/>
      <c r="U153" s="78"/>
      <c r="V153" s="78"/>
      <c r="W153" s="78"/>
      <c r="X153" s="78"/>
      <c r="Y153" s="78"/>
      <c r="Z153" s="78"/>
      <c r="AA153" s="78"/>
      <c r="AB153" s="78"/>
      <c r="AC153" s="78"/>
      <c r="AD153" s="78"/>
      <c r="AE153" s="78"/>
      <c r="AH153"/>
    </row>
    <row r="154" spans="8:34" s="23" customFormat="1" x14ac:dyDescent="0.25">
      <c r="H154" s="78"/>
      <c r="I154" s="78"/>
      <c r="J154" s="78"/>
      <c r="K154" s="78"/>
      <c r="L154" s="78"/>
      <c r="M154" s="78"/>
      <c r="N154" s="78"/>
      <c r="O154" s="78"/>
      <c r="P154" s="78"/>
      <c r="Q154" s="78"/>
      <c r="R154" s="78"/>
      <c r="S154" s="78"/>
      <c r="T154" s="78"/>
      <c r="U154" s="78"/>
      <c r="V154" s="78"/>
      <c r="W154" s="78"/>
      <c r="X154" s="78"/>
      <c r="Y154" s="78"/>
      <c r="Z154" s="78"/>
      <c r="AA154" s="78"/>
      <c r="AB154" s="78"/>
      <c r="AC154" s="78"/>
      <c r="AD154" s="78"/>
      <c r="AE154" s="78"/>
      <c r="AH154"/>
    </row>
    <row r="155" spans="8:34" s="23" customFormat="1" x14ac:dyDescent="0.25">
      <c r="H155" s="78"/>
      <c r="I155" s="78"/>
      <c r="J155" s="78"/>
      <c r="K155" s="78"/>
      <c r="L155" s="78"/>
      <c r="M155" s="78"/>
      <c r="N155" s="78"/>
      <c r="O155" s="78"/>
      <c r="P155" s="78"/>
      <c r="Q155" s="78"/>
      <c r="R155" s="78"/>
      <c r="S155" s="78"/>
      <c r="T155" s="78"/>
      <c r="U155" s="78"/>
      <c r="V155" s="78"/>
      <c r="W155" s="78"/>
      <c r="X155" s="78"/>
      <c r="Y155" s="78"/>
      <c r="Z155" s="78"/>
      <c r="AA155" s="78"/>
      <c r="AB155" s="78"/>
      <c r="AC155" s="78"/>
      <c r="AD155" s="78"/>
      <c r="AE155" s="78"/>
      <c r="AH155"/>
    </row>
    <row r="156" spans="8:34" s="23" customFormat="1" x14ac:dyDescent="0.25">
      <c r="H156" s="78"/>
      <c r="I156" s="78"/>
      <c r="J156" s="78"/>
      <c r="K156" s="78"/>
      <c r="L156" s="78"/>
      <c r="M156" s="78"/>
      <c r="N156" s="78"/>
      <c r="O156" s="78"/>
      <c r="P156" s="78"/>
      <c r="Q156" s="78"/>
      <c r="R156" s="78"/>
      <c r="S156" s="78"/>
      <c r="T156" s="78"/>
      <c r="U156" s="78"/>
      <c r="V156" s="78"/>
      <c r="W156" s="78"/>
      <c r="X156" s="78"/>
      <c r="Y156" s="78"/>
      <c r="Z156" s="78"/>
      <c r="AA156" s="78"/>
      <c r="AB156" s="78"/>
      <c r="AC156" s="78"/>
      <c r="AD156" s="78"/>
      <c r="AE156" s="78"/>
      <c r="AH156"/>
    </row>
    <row r="157" spans="8:34" s="23" customFormat="1" x14ac:dyDescent="0.25">
      <c r="H157" s="78"/>
      <c r="I157" s="78"/>
      <c r="J157" s="78"/>
      <c r="K157" s="78"/>
      <c r="L157" s="78"/>
      <c r="M157" s="78"/>
      <c r="N157" s="78"/>
      <c r="O157" s="78"/>
      <c r="P157" s="78"/>
      <c r="Q157" s="78"/>
      <c r="R157" s="78"/>
      <c r="S157" s="78"/>
      <c r="T157" s="78"/>
      <c r="U157" s="78"/>
      <c r="V157" s="78"/>
      <c r="W157" s="78"/>
      <c r="X157" s="78"/>
      <c r="Y157" s="78"/>
      <c r="Z157" s="78"/>
      <c r="AA157" s="78"/>
      <c r="AB157" s="78"/>
      <c r="AC157" s="78"/>
      <c r="AD157" s="78"/>
      <c r="AE157" s="78"/>
      <c r="AH157"/>
    </row>
    <row r="158" spans="8:34" s="23" customFormat="1" x14ac:dyDescent="0.25">
      <c r="H158" s="78"/>
      <c r="I158" s="78"/>
      <c r="J158" s="78"/>
      <c r="K158" s="78"/>
      <c r="L158" s="78"/>
      <c r="M158" s="78"/>
      <c r="N158" s="78"/>
      <c r="O158" s="78"/>
      <c r="P158" s="78"/>
      <c r="Q158" s="78"/>
      <c r="R158" s="78"/>
      <c r="S158" s="78"/>
      <c r="T158" s="78"/>
      <c r="U158" s="78"/>
      <c r="V158" s="78"/>
      <c r="W158" s="78"/>
      <c r="X158" s="78"/>
      <c r="Y158" s="78"/>
      <c r="Z158" s="78"/>
      <c r="AA158" s="78"/>
      <c r="AB158" s="78"/>
      <c r="AC158" s="78"/>
      <c r="AD158" s="78"/>
      <c r="AE158" s="78"/>
      <c r="AH158"/>
    </row>
    <row r="159" spans="8:34" s="23" customFormat="1" x14ac:dyDescent="0.25">
      <c r="H159" s="78"/>
      <c r="I159" s="78"/>
      <c r="J159" s="78"/>
      <c r="K159" s="78"/>
      <c r="L159" s="78"/>
      <c r="M159" s="78"/>
      <c r="N159" s="78"/>
      <c r="O159" s="78"/>
      <c r="P159" s="78"/>
      <c r="Q159" s="78"/>
      <c r="R159" s="78"/>
      <c r="S159" s="78"/>
      <c r="T159" s="78"/>
      <c r="U159" s="78"/>
      <c r="V159" s="78"/>
      <c r="W159" s="78"/>
      <c r="X159" s="78"/>
      <c r="Y159" s="78"/>
      <c r="Z159" s="78"/>
      <c r="AA159" s="78"/>
      <c r="AB159" s="78"/>
      <c r="AC159" s="78"/>
      <c r="AD159" s="78"/>
      <c r="AE159" s="78"/>
      <c r="AH159"/>
    </row>
    <row r="160" spans="8:34" s="23" customFormat="1" x14ac:dyDescent="0.25">
      <c r="H160" s="78"/>
      <c r="I160" s="78"/>
      <c r="J160" s="78"/>
      <c r="K160" s="78"/>
      <c r="L160" s="78"/>
      <c r="M160" s="78"/>
      <c r="N160" s="78"/>
      <c r="O160" s="78"/>
      <c r="P160" s="78"/>
      <c r="Q160" s="78"/>
      <c r="R160" s="78"/>
      <c r="S160" s="78"/>
      <c r="T160" s="78"/>
      <c r="U160" s="78"/>
      <c r="V160" s="78"/>
      <c r="W160" s="78"/>
      <c r="X160" s="78"/>
      <c r="Y160" s="78"/>
      <c r="Z160" s="78"/>
      <c r="AA160" s="78"/>
      <c r="AB160" s="78"/>
      <c r="AC160" s="78"/>
      <c r="AD160" s="78"/>
      <c r="AE160" s="78"/>
      <c r="AH160"/>
    </row>
    <row r="161" spans="8:34" s="23" customFormat="1" x14ac:dyDescent="0.25">
      <c r="H161" s="78"/>
      <c r="I161" s="78"/>
      <c r="J161" s="78"/>
      <c r="K161" s="78"/>
      <c r="L161" s="78"/>
      <c r="M161" s="78"/>
      <c r="N161" s="78"/>
      <c r="O161" s="78"/>
      <c r="P161" s="78"/>
      <c r="Q161" s="78"/>
      <c r="R161" s="78"/>
      <c r="S161" s="78"/>
      <c r="T161" s="78"/>
      <c r="U161" s="78"/>
      <c r="V161" s="78"/>
      <c r="W161" s="78"/>
      <c r="X161" s="78"/>
      <c r="Y161" s="78"/>
      <c r="Z161" s="78"/>
      <c r="AA161" s="78"/>
      <c r="AB161" s="78"/>
      <c r="AC161" s="78"/>
      <c r="AD161" s="78"/>
      <c r="AE161" s="78"/>
      <c r="AH161"/>
    </row>
    <row r="162" spans="8:34" s="23" customFormat="1" x14ac:dyDescent="0.25">
      <c r="H162" s="78"/>
      <c r="I162" s="78"/>
      <c r="J162" s="78"/>
      <c r="K162" s="78"/>
      <c r="L162" s="78"/>
      <c r="M162" s="78"/>
      <c r="N162" s="78"/>
      <c r="O162" s="78"/>
      <c r="P162" s="78"/>
      <c r="Q162" s="78"/>
      <c r="R162" s="78"/>
      <c r="S162" s="78"/>
      <c r="T162" s="78"/>
      <c r="U162" s="78"/>
      <c r="V162" s="78"/>
      <c r="W162" s="78"/>
      <c r="X162" s="78"/>
      <c r="Y162" s="78"/>
      <c r="Z162" s="78"/>
      <c r="AA162" s="78"/>
      <c r="AB162" s="78"/>
      <c r="AC162" s="78"/>
      <c r="AD162" s="78"/>
      <c r="AE162" s="78"/>
      <c r="AH162"/>
    </row>
    <row r="163" spans="8:34" s="23" customFormat="1" x14ac:dyDescent="0.25">
      <c r="H163" s="78"/>
      <c r="I163" s="78"/>
      <c r="J163" s="78"/>
      <c r="K163" s="78"/>
      <c r="L163" s="78"/>
      <c r="M163" s="78"/>
      <c r="N163" s="78"/>
      <c r="O163" s="78"/>
      <c r="P163" s="78"/>
      <c r="Q163" s="78"/>
      <c r="R163" s="78"/>
      <c r="S163" s="78"/>
      <c r="T163" s="78"/>
      <c r="U163" s="78"/>
      <c r="V163" s="78"/>
      <c r="W163" s="78"/>
      <c r="X163" s="78"/>
      <c r="Y163" s="78"/>
      <c r="Z163" s="78"/>
      <c r="AA163" s="78"/>
      <c r="AB163" s="78"/>
      <c r="AC163" s="78"/>
      <c r="AD163" s="78"/>
      <c r="AE163" s="78"/>
      <c r="AH163"/>
    </row>
    <row r="164" spans="8:34" s="23" customFormat="1" x14ac:dyDescent="0.25">
      <c r="H164" s="78"/>
      <c r="I164" s="78"/>
      <c r="J164" s="78"/>
      <c r="K164" s="78"/>
      <c r="L164" s="78"/>
      <c r="M164" s="78"/>
      <c r="N164" s="78"/>
      <c r="O164" s="78"/>
      <c r="P164" s="78"/>
      <c r="Q164" s="78"/>
      <c r="R164" s="78"/>
      <c r="S164" s="78"/>
      <c r="T164" s="78"/>
      <c r="U164" s="78"/>
      <c r="V164" s="78"/>
      <c r="W164" s="78"/>
      <c r="X164" s="78"/>
      <c r="Y164" s="78"/>
      <c r="Z164" s="78"/>
      <c r="AA164" s="78"/>
      <c r="AB164" s="78"/>
      <c r="AC164" s="78"/>
      <c r="AD164" s="78"/>
      <c r="AE164" s="78"/>
      <c r="AH164"/>
    </row>
    <row r="165" spans="8:34" s="23" customFormat="1" x14ac:dyDescent="0.25">
      <c r="H165" s="78"/>
      <c r="I165" s="78"/>
      <c r="J165" s="78"/>
      <c r="K165" s="78"/>
      <c r="L165" s="78"/>
      <c r="M165" s="78"/>
      <c r="N165" s="78"/>
      <c r="O165" s="78"/>
      <c r="P165" s="78"/>
      <c r="Q165" s="78"/>
      <c r="R165" s="78"/>
      <c r="S165" s="78"/>
      <c r="T165" s="78"/>
      <c r="U165" s="78"/>
      <c r="V165" s="78"/>
      <c r="W165" s="78"/>
      <c r="X165" s="78"/>
      <c r="Y165" s="78"/>
      <c r="Z165" s="78"/>
      <c r="AA165" s="78"/>
      <c r="AB165" s="78"/>
      <c r="AC165" s="78"/>
      <c r="AD165" s="78"/>
      <c r="AE165" s="78"/>
      <c r="AH165"/>
    </row>
    <row r="166" spans="8:34" s="23" customFormat="1" x14ac:dyDescent="0.25">
      <c r="H166" s="78"/>
      <c r="I166" s="78"/>
      <c r="J166" s="78"/>
      <c r="K166" s="78"/>
      <c r="L166" s="78"/>
      <c r="M166" s="78"/>
      <c r="N166" s="78"/>
      <c r="O166" s="78"/>
      <c r="P166" s="78"/>
      <c r="Q166" s="78"/>
      <c r="R166" s="78"/>
      <c r="S166" s="78"/>
      <c r="T166" s="78"/>
      <c r="U166" s="78"/>
      <c r="V166" s="78"/>
      <c r="W166" s="78"/>
      <c r="X166" s="78"/>
      <c r="Y166" s="78"/>
      <c r="Z166" s="78"/>
      <c r="AA166" s="78"/>
      <c r="AB166" s="78"/>
      <c r="AC166" s="78"/>
      <c r="AD166" s="78"/>
      <c r="AE166" s="78"/>
      <c r="AH166"/>
    </row>
    <row r="167" spans="8:34" s="23" customFormat="1" x14ac:dyDescent="0.25">
      <c r="H167" s="78"/>
      <c r="I167" s="78"/>
      <c r="J167" s="78"/>
      <c r="K167" s="78"/>
      <c r="L167" s="78"/>
      <c r="M167" s="78"/>
      <c r="N167" s="78"/>
      <c r="O167" s="78"/>
      <c r="P167" s="78"/>
      <c r="Q167" s="78"/>
      <c r="R167" s="78"/>
      <c r="S167" s="78"/>
      <c r="T167" s="78"/>
      <c r="U167" s="78"/>
      <c r="V167" s="78"/>
      <c r="W167" s="78"/>
      <c r="X167" s="78"/>
      <c r="Y167" s="78"/>
      <c r="Z167" s="78"/>
      <c r="AA167" s="78"/>
      <c r="AB167" s="78"/>
      <c r="AC167" s="78"/>
      <c r="AD167" s="78"/>
      <c r="AE167" s="78"/>
      <c r="AH167"/>
    </row>
    <row r="168" spans="8:34" s="23" customFormat="1" x14ac:dyDescent="0.25">
      <c r="H168" s="78"/>
      <c r="I168" s="78"/>
      <c r="J168" s="78"/>
      <c r="K168" s="78"/>
      <c r="L168" s="78"/>
      <c r="M168" s="78"/>
      <c r="N168" s="78"/>
      <c r="O168" s="78"/>
      <c r="P168" s="78"/>
      <c r="Q168" s="78"/>
      <c r="R168" s="78"/>
      <c r="S168" s="78"/>
      <c r="T168" s="78"/>
      <c r="U168" s="78"/>
      <c r="V168" s="78"/>
      <c r="W168" s="78"/>
      <c r="X168" s="78"/>
      <c r="Y168" s="78"/>
      <c r="Z168" s="78"/>
      <c r="AA168" s="78"/>
      <c r="AB168" s="78"/>
      <c r="AC168" s="78"/>
      <c r="AD168" s="78"/>
      <c r="AE168" s="78"/>
      <c r="AH168"/>
    </row>
    <row r="169" spans="8:34" s="23" customFormat="1" x14ac:dyDescent="0.25">
      <c r="H169" s="78"/>
      <c r="I169" s="78"/>
      <c r="J169" s="78"/>
      <c r="K169" s="78"/>
      <c r="L169" s="78"/>
      <c r="M169" s="78"/>
      <c r="N169" s="78"/>
      <c r="O169" s="78"/>
      <c r="P169" s="78"/>
      <c r="Q169" s="78"/>
      <c r="R169" s="78"/>
      <c r="S169" s="78"/>
      <c r="T169" s="78"/>
      <c r="U169" s="78"/>
      <c r="V169" s="78"/>
      <c r="W169" s="78"/>
      <c r="X169" s="78"/>
      <c r="Y169" s="78"/>
      <c r="Z169" s="78"/>
      <c r="AA169" s="78"/>
      <c r="AB169" s="78"/>
      <c r="AC169" s="78"/>
      <c r="AD169" s="78"/>
      <c r="AE169" s="78"/>
      <c r="AH169"/>
    </row>
    <row r="170" spans="8:34" s="23" customFormat="1" x14ac:dyDescent="0.25">
      <c r="H170" s="78"/>
      <c r="I170" s="78"/>
      <c r="J170" s="78"/>
      <c r="K170" s="78"/>
      <c r="L170" s="78"/>
      <c r="M170" s="78"/>
      <c r="N170" s="78"/>
      <c r="O170" s="78"/>
      <c r="P170" s="78"/>
      <c r="Q170" s="78"/>
      <c r="R170" s="78"/>
      <c r="S170" s="78"/>
      <c r="T170" s="78"/>
      <c r="U170" s="78"/>
      <c r="V170" s="78"/>
      <c r="W170" s="78"/>
      <c r="X170" s="78"/>
      <c r="Y170" s="78"/>
      <c r="Z170" s="78"/>
      <c r="AA170" s="78"/>
      <c r="AB170" s="78"/>
      <c r="AC170" s="78"/>
      <c r="AD170" s="78"/>
      <c r="AE170" s="78"/>
      <c r="AH170"/>
    </row>
    <row r="171" spans="8:34" s="23" customFormat="1" x14ac:dyDescent="0.25">
      <c r="H171" s="78"/>
      <c r="I171" s="78"/>
      <c r="J171" s="78"/>
      <c r="K171" s="78"/>
      <c r="L171" s="78"/>
      <c r="M171" s="78"/>
      <c r="N171" s="78"/>
      <c r="O171" s="78"/>
      <c r="P171" s="78"/>
      <c r="Q171" s="78"/>
      <c r="R171" s="78"/>
      <c r="S171" s="78"/>
      <c r="T171" s="78"/>
      <c r="U171" s="78"/>
      <c r="V171" s="78"/>
      <c r="W171" s="78"/>
      <c r="X171" s="78"/>
      <c r="Y171" s="78"/>
      <c r="Z171" s="78"/>
      <c r="AA171" s="78"/>
      <c r="AB171" s="78"/>
      <c r="AC171" s="78"/>
      <c r="AD171" s="78"/>
      <c r="AE171" s="78"/>
      <c r="AH171"/>
    </row>
    <row r="172" spans="8:34" s="23" customFormat="1" x14ac:dyDescent="0.25">
      <c r="H172" s="78"/>
      <c r="I172" s="78"/>
      <c r="J172" s="78"/>
      <c r="K172" s="78"/>
      <c r="L172" s="78"/>
      <c r="M172" s="78"/>
      <c r="N172" s="78"/>
      <c r="O172" s="78"/>
      <c r="P172" s="78"/>
      <c r="Q172" s="78"/>
      <c r="R172" s="78"/>
      <c r="S172" s="78"/>
      <c r="T172" s="78"/>
      <c r="U172" s="78"/>
      <c r="V172" s="78"/>
      <c r="W172" s="78"/>
      <c r="X172" s="78"/>
      <c r="Y172" s="78"/>
      <c r="Z172" s="78"/>
      <c r="AA172" s="78"/>
      <c r="AB172" s="78"/>
      <c r="AC172" s="78"/>
      <c r="AD172" s="78"/>
      <c r="AE172" s="78"/>
      <c r="AH172"/>
    </row>
    <row r="173" spans="8:34" s="23" customFormat="1" x14ac:dyDescent="0.25">
      <c r="H173" s="78"/>
      <c r="I173" s="78"/>
      <c r="J173" s="78"/>
      <c r="K173" s="78"/>
      <c r="L173" s="78"/>
      <c r="M173" s="78"/>
      <c r="N173" s="78"/>
      <c r="O173" s="78"/>
      <c r="P173" s="78"/>
      <c r="Q173" s="78"/>
      <c r="R173" s="78"/>
      <c r="S173" s="78"/>
      <c r="T173" s="78"/>
      <c r="U173" s="78"/>
      <c r="V173" s="78"/>
      <c r="W173" s="78"/>
      <c r="X173" s="78"/>
      <c r="Y173" s="78"/>
      <c r="Z173" s="78"/>
      <c r="AA173" s="78"/>
      <c r="AB173" s="78"/>
      <c r="AC173" s="78"/>
      <c r="AD173" s="78"/>
      <c r="AE173" s="78"/>
      <c r="AH173"/>
    </row>
    <row r="174" spans="8:34" s="23" customFormat="1" x14ac:dyDescent="0.25">
      <c r="H174" s="78"/>
      <c r="I174" s="78"/>
      <c r="J174" s="78"/>
      <c r="K174" s="78"/>
      <c r="L174" s="78"/>
      <c r="M174" s="78"/>
      <c r="N174" s="78"/>
      <c r="O174" s="78"/>
      <c r="P174" s="78"/>
      <c r="Q174" s="78"/>
      <c r="R174" s="78"/>
      <c r="S174" s="78"/>
      <c r="T174" s="78"/>
      <c r="U174" s="78"/>
      <c r="V174" s="78"/>
      <c r="W174" s="78"/>
      <c r="X174" s="78"/>
      <c r="Y174" s="78"/>
      <c r="Z174" s="78"/>
      <c r="AA174" s="78"/>
      <c r="AB174" s="78"/>
      <c r="AC174" s="78"/>
      <c r="AD174" s="78"/>
      <c r="AE174" s="78"/>
      <c r="AH174"/>
    </row>
    <row r="175" spans="8:34" s="23" customFormat="1" x14ac:dyDescent="0.25">
      <c r="H175" s="78"/>
      <c r="I175" s="78"/>
      <c r="J175" s="78"/>
      <c r="K175" s="78"/>
      <c r="L175" s="78"/>
      <c r="M175" s="78"/>
      <c r="N175" s="78"/>
      <c r="O175" s="78"/>
      <c r="P175" s="78"/>
      <c r="Q175" s="78"/>
      <c r="R175" s="78"/>
      <c r="S175" s="78"/>
      <c r="T175" s="78"/>
      <c r="U175" s="78"/>
      <c r="V175" s="78"/>
      <c r="W175" s="78"/>
      <c r="X175" s="78"/>
      <c r="Y175" s="78"/>
      <c r="Z175" s="78"/>
      <c r="AA175" s="78"/>
      <c r="AB175" s="78"/>
      <c r="AC175" s="78"/>
      <c r="AD175" s="78"/>
      <c r="AE175" s="78"/>
      <c r="AH175"/>
    </row>
    <row r="176" spans="8:34" s="23" customFormat="1" x14ac:dyDescent="0.25">
      <c r="H176" s="78"/>
      <c r="I176" s="78"/>
      <c r="J176" s="78"/>
      <c r="K176" s="78"/>
      <c r="L176" s="78"/>
      <c r="M176" s="78"/>
      <c r="N176" s="78"/>
      <c r="O176" s="78"/>
      <c r="P176" s="78"/>
      <c r="Q176" s="78"/>
      <c r="R176" s="78"/>
      <c r="S176" s="78"/>
      <c r="T176" s="78"/>
      <c r="U176" s="78"/>
      <c r="V176" s="78"/>
      <c r="W176" s="78"/>
      <c r="X176" s="78"/>
      <c r="Y176" s="78"/>
      <c r="Z176" s="78"/>
      <c r="AA176" s="78"/>
      <c r="AB176" s="78"/>
      <c r="AC176" s="78"/>
      <c r="AD176" s="78"/>
      <c r="AE176" s="78"/>
      <c r="AH176"/>
    </row>
    <row r="177" spans="8:34" s="23" customFormat="1" x14ac:dyDescent="0.25">
      <c r="H177" s="78"/>
      <c r="I177" s="78"/>
      <c r="J177" s="78"/>
      <c r="K177" s="78"/>
      <c r="L177" s="78"/>
      <c r="M177" s="78"/>
      <c r="N177" s="78"/>
      <c r="O177" s="78"/>
      <c r="P177" s="78"/>
      <c r="Q177" s="78"/>
      <c r="R177" s="78"/>
      <c r="S177" s="78"/>
      <c r="T177" s="78"/>
      <c r="U177" s="78"/>
      <c r="V177" s="78"/>
      <c r="W177" s="78"/>
      <c r="X177" s="78"/>
      <c r="Y177" s="78"/>
      <c r="Z177" s="78"/>
      <c r="AA177" s="78"/>
      <c r="AB177" s="78"/>
      <c r="AC177" s="78"/>
      <c r="AD177" s="78"/>
      <c r="AE177" s="78"/>
      <c r="AH177"/>
    </row>
    <row r="178" spans="8:34" s="23" customFormat="1" x14ac:dyDescent="0.25">
      <c r="H178" s="78"/>
      <c r="I178" s="78"/>
      <c r="J178" s="78"/>
      <c r="K178" s="78"/>
      <c r="L178" s="78"/>
      <c r="M178" s="78"/>
      <c r="N178" s="78"/>
      <c r="O178" s="78"/>
      <c r="P178" s="78"/>
      <c r="Q178" s="78"/>
      <c r="R178" s="78"/>
      <c r="S178" s="78"/>
      <c r="T178" s="78"/>
      <c r="U178" s="78"/>
      <c r="V178" s="78"/>
      <c r="W178" s="78"/>
      <c r="X178" s="78"/>
      <c r="Y178" s="78"/>
      <c r="Z178" s="78"/>
      <c r="AA178" s="78"/>
      <c r="AB178" s="78"/>
      <c r="AC178" s="78"/>
      <c r="AD178" s="78"/>
      <c r="AE178" s="78"/>
      <c r="AH178"/>
    </row>
    <row r="179" spans="8:34" s="23" customFormat="1" x14ac:dyDescent="0.25">
      <c r="H179" s="78"/>
      <c r="I179" s="78"/>
      <c r="J179" s="78"/>
      <c r="K179" s="78"/>
      <c r="L179" s="78"/>
      <c r="M179" s="78"/>
      <c r="N179" s="78"/>
      <c r="O179" s="78"/>
      <c r="P179" s="78"/>
      <c r="Q179" s="78"/>
      <c r="R179" s="78"/>
      <c r="S179" s="78"/>
      <c r="T179" s="78"/>
      <c r="U179" s="78"/>
      <c r="V179" s="78"/>
      <c r="W179" s="78"/>
      <c r="X179" s="78"/>
      <c r="Y179" s="78"/>
      <c r="Z179" s="78"/>
      <c r="AA179" s="78"/>
      <c r="AB179" s="78"/>
      <c r="AC179" s="78"/>
      <c r="AD179" s="78"/>
      <c r="AE179" s="78"/>
      <c r="AH179"/>
    </row>
    <row r="180" spans="8:34" s="23" customFormat="1" x14ac:dyDescent="0.25">
      <c r="H180" s="78"/>
      <c r="I180" s="78"/>
      <c r="J180" s="78"/>
      <c r="K180" s="78"/>
      <c r="L180" s="78"/>
      <c r="M180" s="78"/>
      <c r="N180" s="78"/>
      <c r="O180" s="78"/>
      <c r="P180" s="78"/>
      <c r="Q180" s="78"/>
      <c r="R180" s="78"/>
      <c r="S180" s="78"/>
      <c r="T180" s="78"/>
      <c r="U180" s="78"/>
      <c r="V180" s="78"/>
      <c r="W180" s="78"/>
      <c r="X180" s="78"/>
      <c r="Y180" s="78"/>
      <c r="Z180" s="78"/>
      <c r="AA180" s="78"/>
      <c r="AB180" s="78"/>
      <c r="AC180" s="78"/>
      <c r="AD180" s="78"/>
      <c r="AE180" s="78"/>
      <c r="AH180"/>
    </row>
    <row r="181" spans="8:34" s="23" customFormat="1" x14ac:dyDescent="0.25">
      <c r="H181" s="78"/>
      <c r="I181" s="78"/>
      <c r="J181" s="78"/>
      <c r="K181" s="78"/>
      <c r="L181" s="78"/>
      <c r="M181" s="78"/>
      <c r="N181" s="78"/>
      <c r="O181" s="78"/>
      <c r="P181" s="78"/>
      <c r="Q181" s="78"/>
      <c r="R181" s="78"/>
      <c r="S181" s="78"/>
      <c r="T181" s="78"/>
      <c r="U181" s="78"/>
      <c r="V181" s="78"/>
      <c r="W181" s="78"/>
      <c r="X181" s="78"/>
      <c r="Y181" s="78"/>
      <c r="Z181" s="78"/>
      <c r="AA181" s="78"/>
      <c r="AB181" s="78"/>
      <c r="AC181" s="78"/>
      <c r="AD181" s="78"/>
      <c r="AE181" s="78"/>
      <c r="AH181"/>
    </row>
    <row r="182" spans="8:34" s="23" customFormat="1" x14ac:dyDescent="0.25">
      <c r="H182" s="78"/>
      <c r="I182" s="78"/>
      <c r="J182" s="78"/>
      <c r="K182" s="78"/>
      <c r="L182" s="78"/>
      <c r="M182" s="78"/>
      <c r="N182" s="78"/>
      <c r="O182" s="78"/>
      <c r="P182" s="78"/>
      <c r="Q182" s="78"/>
      <c r="R182" s="78"/>
      <c r="S182" s="78"/>
      <c r="T182" s="78"/>
      <c r="U182" s="78"/>
      <c r="V182" s="78"/>
      <c r="W182" s="78"/>
      <c r="X182" s="78"/>
      <c r="Y182" s="78"/>
      <c r="Z182" s="78"/>
      <c r="AA182" s="78"/>
      <c r="AB182" s="78"/>
      <c r="AC182" s="78"/>
      <c r="AD182" s="78"/>
      <c r="AE182" s="78"/>
      <c r="AH182"/>
    </row>
    <row r="183" spans="8:34" s="23" customFormat="1" x14ac:dyDescent="0.25">
      <c r="H183" s="78"/>
      <c r="I183" s="78"/>
      <c r="J183" s="78"/>
      <c r="K183" s="78"/>
      <c r="L183" s="78"/>
      <c r="M183" s="78"/>
      <c r="N183" s="78"/>
      <c r="O183" s="78"/>
      <c r="P183" s="78"/>
      <c r="Q183" s="78"/>
      <c r="R183" s="78"/>
      <c r="S183" s="78"/>
      <c r="T183" s="78"/>
      <c r="U183" s="78"/>
      <c r="V183" s="78"/>
      <c r="W183" s="78"/>
      <c r="X183" s="78"/>
      <c r="Y183" s="78"/>
      <c r="Z183" s="78"/>
      <c r="AA183" s="78"/>
      <c r="AB183" s="78"/>
      <c r="AC183" s="78"/>
      <c r="AD183" s="78"/>
      <c r="AE183" s="78"/>
      <c r="AH183"/>
    </row>
    <row r="184" spans="8:34" s="23" customFormat="1" x14ac:dyDescent="0.25">
      <c r="H184" s="78"/>
      <c r="I184" s="78"/>
      <c r="J184" s="78"/>
      <c r="K184" s="78"/>
      <c r="L184" s="78"/>
      <c r="M184" s="78"/>
      <c r="N184" s="78"/>
      <c r="O184" s="78"/>
      <c r="P184" s="78"/>
      <c r="Q184" s="78"/>
      <c r="R184" s="78"/>
      <c r="S184" s="78"/>
      <c r="T184" s="78"/>
      <c r="U184" s="78"/>
      <c r="V184" s="78"/>
      <c r="W184" s="78"/>
      <c r="X184" s="78"/>
      <c r="Y184" s="78"/>
      <c r="Z184" s="78"/>
      <c r="AA184" s="78"/>
      <c r="AB184" s="78"/>
      <c r="AC184" s="78"/>
      <c r="AD184" s="78"/>
      <c r="AE184" s="78"/>
      <c r="AH184"/>
    </row>
    <row r="185" spans="8:34" s="23" customFormat="1" x14ac:dyDescent="0.25">
      <c r="H185" s="78"/>
      <c r="I185" s="78"/>
      <c r="J185" s="78"/>
      <c r="K185" s="78"/>
      <c r="L185" s="78"/>
      <c r="M185" s="78"/>
      <c r="N185" s="78"/>
      <c r="O185" s="78"/>
      <c r="P185" s="78"/>
      <c r="Q185" s="78"/>
      <c r="R185" s="78"/>
      <c r="S185" s="78"/>
      <c r="T185" s="78"/>
      <c r="U185" s="78"/>
      <c r="V185" s="78"/>
      <c r="W185" s="78"/>
      <c r="X185" s="78"/>
      <c r="Y185" s="78"/>
      <c r="Z185" s="78"/>
      <c r="AA185" s="78"/>
      <c r="AB185" s="78"/>
      <c r="AC185" s="78"/>
      <c r="AD185" s="78"/>
      <c r="AE185" s="78"/>
      <c r="AH185"/>
    </row>
    <row r="186" spans="8:34" s="23" customFormat="1" x14ac:dyDescent="0.25">
      <c r="H186" s="78"/>
      <c r="I186" s="78"/>
      <c r="J186" s="78"/>
      <c r="K186" s="78"/>
      <c r="L186" s="78"/>
      <c r="M186" s="78"/>
      <c r="N186" s="78"/>
      <c r="O186" s="78"/>
      <c r="P186" s="78"/>
      <c r="Q186" s="78"/>
      <c r="R186" s="78"/>
      <c r="S186" s="78"/>
      <c r="T186" s="78"/>
      <c r="U186" s="78"/>
      <c r="V186" s="78"/>
      <c r="W186" s="78"/>
      <c r="X186" s="78"/>
      <c r="Y186" s="78"/>
      <c r="Z186" s="78"/>
      <c r="AA186" s="78"/>
      <c r="AB186" s="78"/>
      <c r="AC186" s="78"/>
      <c r="AD186" s="78"/>
      <c r="AE186" s="78"/>
      <c r="AH186"/>
    </row>
    <row r="187" spans="8:34" s="23" customFormat="1" x14ac:dyDescent="0.25">
      <c r="H187" s="78"/>
      <c r="I187" s="78"/>
      <c r="J187" s="78"/>
      <c r="K187" s="78"/>
      <c r="L187" s="78"/>
      <c r="M187" s="78"/>
      <c r="N187" s="78"/>
      <c r="O187" s="78"/>
      <c r="P187" s="78"/>
      <c r="Q187" s="78"/>
      <c r="R187" s="78"/>
      <c r="S187" s="78"/>
      <c r="T187" s="78"/>
      <c r="U187" s="78"/>
      <c r="V187" s="78"/>
      <c r="W187" s="78"/>
      <c r="X187" s="78"/>
      <c r="Y187" s="78"/>
      <c r="Z187" s="78"/>
      <c r="AA187" s="78"/>
      <c r="AB187" s="78"/>
      <c r="AC187" s="78"/>
      <c r="AD187" s="78"/>
      <c r="AE187" s="78"/>
      <c r="AH187"/>
    </row>
    <row r="188" spans="8:34" s="23" customFormat="1" x14ac:dyDescent="0.25">
      <c r="H188" s="78"/>
      <c r="I188" s="78"/>
      <c r="J188" s="78"/>
      <c r="K188" s="78"/>
      <c r="L188" s="78"/>
      <c r="M188" s="78"/>
      <c r="N188" s="78"/>
      <c r="O188" s="78"/>
      <c r="P188" s="78"/>
      <c r="Q188" s="78"/>
      <c r="R188" s="78"/>
      <c r="S188" s="78"/>
      <c r="T188" s="78"/>
      <c r="U188" s="78"/>
      <c r="V188" s="78"/>
      <c r="W188" s="78"/>
      <c r="X188" s="78"/>
      <c r="Y188" s="78"/>
      <c r="Z188" s="78"/>
      <c r="AA188" s="78"/>
      <c r="AB188" s="78"/>
      <c r="AC188" s="78"/>
      <c r="AD188" s="78"/>
      <c r="AE188" s="78"/>
      <c r="AH188"/>
    </row>
    <row r="189" spans="8:34" s="23" customFormat="1" x14ac:dyDescent="0.25">
      <c r="H189" s="78"/>
      <c r="I189" s="78"/>
      <c r="J189" s="78"/>
      <c r="K189" s="78"/>
      <c r="L189" s="78"/>
      <c r="M189" s="78"/>
      <c r="N189" s="78"/>
      <c r="O189" s="78"/>
      <c r="P189" s="78"/>
      <c r="Q189" s="78"/>
      <c r="R189" s="78"/>
      <c r="S189" s="78"/>
      <c r="T189" s="78"/>
      <c r="U189" s="78"/>
      <c r="V189" s="78"/>
      <c r="W189" s="78"/>
      <c r="X189" s="78"/>
      <c r="Y189" s="78"/>
      <c r="Z189" s="78"/>
      <c r="AA189" s="78"/>
      <c r="AB189" s="78"/>
      <c r="AC189" s="78"/>
      <c r="AD189" s="78"/>
      <c r="AE189" s="78"/>
      <c r="AH189"/>
    </row>
    <row r="190" spans="8:34" s="23" customFormat="1" x14ac:dyDescent="0.25">
      <c r="H190" s="78"/>
      <c r="I190" s="78"/>
      <c r="J190" s="78"/>
      <c r="K190" s="78"/>
      <c r="L190" s="78"/>
      <c r="M190" s="78"/>
      <c r="N190" s="78"/>
      <c r="O190" s="78"/>
      <c r="P190" s="78"/>
      <c r="Q190" s="78"/>
      <c r="R190" s="78"/>
      <c r="S190" s="78"/>
      <c r="T190" s="78"/>
      <c r="U190" s="78"/>
      <c r="V190" s="78"/>
      <c r="W190" s="78"/>
      <c r="X190" s="78"/>
      <c r="Y190" s="78"/>
      <c r="Z190" s="78"/>
      <c r="AA190" s="78"/>
      <c r="AB190" s="78"/>
      <c r="AC190" s="78"/>
      <c r="AD190" s="78"/>
      <c r="AE190" s="78"/>
      <c r="AH190"/>
    </row>
    <row r="191" spans="8:34" s="23" customFormat="1" x14ac:dyDescent="0.25">
      <c r="H191" s="78"/>
      <c r="I191" s="78"/>
      <c r="J191" s="78"/>
      <c r="K191" s="78"/>
      <c r="L191" s="78"/>
      <c r="M191" s="78"/>
      <c r="N191" s="78"/>
      <c r="O191" s="78"/>
      <c r="P191" s="78"/>
      <c r="Q191" s="78"/>
      <c r="R191" s="78"/>
      <c r="S191" s="78"/>
      <c r="T191" s="78"/>
      <c r="U191" s="78"/>
      <c r="V191" s="78"/>
      <c r="W191" s="78"/>
      <c r="X191" s="78"/>
      <c r="Y191" s="78"/>
      <c r="Z191" s="78"/>
      <c r="AA191" s="78"/>
      <c r="AB191" s="78"/>
      <c r="AC191" s="78"/>
      <c r="AD191" s="78"/>
      <c r="AE191" s="78"/>
      <c r="AH191"/>
    </row>
    <row r="192" spans="8:34" s="23" customFormat="1" x14ac:dyDescent="0.25">
      <c r="H192" s="78"/>
      <c r="I192" s="78"/>
      <c r="J192" s="78"/>
      <c r="K192" s="78"/>
      <c r="L192" s="78"/>
      <c r="M192" s="78"/>
      <c r="N192" s="78"/>
      <c r="O192" s="78"/>
      <c r="P192" s="78"/>
      <c r="Q192" s="78"/>
      <c r="R192" s="78"/>
      <c r="S192" s="78"/>
      <c r="T192" s="78"/>
      <c r="U192" s="78"/>
      <c r="V192" s="78"/>
      <c r="W192" s="78"/>
      <c r="X192" s="78"/>
      <c r="Y192" s="78"/>
      <c r="Z192" s="78"/>
      <c r="AA192" s="78"/>
      <c r="AB192" s="78"/>
      <c r="AC192" s="78"/>
      <c r="AD192" s="78"/>
      <c r="AE192" s="78"/>
      <c r="AH192"/>
    </row>
    <row r="193" spans="8:34" s="23" customFormat="1" x14ac:dyDescent="0.25">
      <c r="H193" s="78"/>
      <c r="I193" s="78"/>
      <c r="J193" s="78"/>
      <c r="K193" s="78"/>
      <c r="L193" s="78"/>
      <c r="M193" s="78"/>
      <c r="N193" s="78"/>
      <c r="O193" s="78"/>
      <c r="P193" s="78"/>
      <c r="Q193" s="78"/>
      <c r="R193" s="78"/>
      <c r="S193" s="78"/>
      <c r="T193" s="78"/>
      <c r="U193" s="78"/>
      <c r="V193" s="78"/>
      <c r="W193" s="78"/>
      <c r="X193" s="78"/>
      <c r="Y193" s="78"/>
      <c r="Z193" s="78"/>
      <c r="AA193" s="78"/>
      <c r="AB193" s="78"/>
      <c r="AC193" s="78"/>
      <c r="AD193" s="78"/>
      <c r="AE193" s="78"/>
      <c r="AH193"/>
    </row>
    <row r="194" spans="8:34" s="23" customFormat="1" x14ac:dyDescent="0.25">
      <c r="H194" s="78"/>
      <c r="I194" s="78"/>
      <c r="J194" s="78"/>
      <c r="K194" s="78"/>
      <c r="L194" s="78"/>
      <c r="M194" s="78"/>
      <c r="N194" s="78"/>
      <c r="O194" s="78"/>
      <c r="P194" s="78"/>
      <c r="Q194" s="78"/>
      <c r="R194" s="78"/>
      <c r="S194" s="78"/>
      <c r="T194" s="78"/>
      <c r="U194" s="78"/>
      <c r="V194" s="78"/>
      <c r="W194" s="78"/>
      <c r="X194" s="78"/>
      <c r="Y194" s="78"/>
      <c r="Z194" s="78"/>
      <c r="AA194" s="78"/>
      <c r="AB194" s="78"/>
      <c r="AC194" s="78"/>
      <c r="AD194" s="78"/>
      <c r="AE194" s="78"/>
      <c r="AH194"/>
    </row>
    <row r="195" spans="8:34" s="23" customFormat="1" x14ac:dyDescent="0.25">
      <c r="H195" s="78"/>
      <c r="I195" s="78"/>
      <c r="J195" s="78"/>
      <c r="K195" s="78"/>
      <c r="L195" s="78"/>
      <c r="M195" s="78"/>
      <c r="N195" s="78"/>
      <c r="O195" s="78"/>
      <c r="P195" s="78"/>
      <c r="Q195" s="78"/>
      <c r="R195" s="78"/>
      <c r="S195" s="78"/>
      <c r="T195" s="78"/>
      <c r="U195" s="78"/>
      <c r="V195" s="78"/>
      <c r="W195" s="78"/>
      <c r="X195" s="78"/>
      <c r="Y195" s="78"/>
      <c r="Z195" s="78"/>
      <c r="AA195" s="78"/>
      <c r="AB195" s="78"/>
      <c r="AC195" s="78"/>
      <c r="AD195" s="78"/>
      <c r="AE195" s="78"/>
      <c r="AH195"/>
    </row>
    <row r="196" spans="8:34" s="23" customFormat="1" x14ac:dyDescent="0.25">
      <c r="H196" s="78"/>
      <c r="I196" s="78"/>
      <c r="J196" s="78"/>
      <c r="K196" s="78"/>
      <c r="L196" s="78"/>
      <c r="M196" s="78"/>
      <c r="N196" s="78"/>
      <c r="O196" s="78"/>
      <c r="P196" s="78"/>
      <c r="Q196" s="78"/>
      <c r="R196" s="78"/>
      <c r="S196" s="78"/>
      <c r="T196" s="78"/>
      <c r="U196" s="78"/>
      <c r="V196" s="78"/>
      <c r="W196" s="78"/>
      <c r="X196" s="78"/>
      <c r="Y196" s="78"/>
      <c r="Z196" s="78"/>
      <c r="AA196" s="78"/>
      <c r="AB196" s="78"/>
      <c r="AC196" s="78"/>
      <c r="AD196" s="78"/>
      <c r="AE196" s="78"/>
      <c r="AH196"/>
    </row>
    <row r="197" spans="8:34" s="23" customFormat="1" x14ac:dyDescent="0.25">
      <c r="H197" s="78"/>
      <c r="I197" s="78"/>
      <c r="J197" s="78"/>
      <c r="K197" s="78"/>
      <c r="L197" s="78"/>
      <c r="M197" s="78"/>
      <c r="N197" s="78"/>
      <c r="O197" s="78"/>
      <c r="P197" s="78"/>
      <c r="Q197" s="78"/>
      <c r="R197" s="78"/>
      <c r="S197" s="78"/>
      <c r="T197" s="78"/>
      <c r="U197" s="78"/>
      <c r="V197" s="78"/>
      <c r="W197" s="78"/>
      <c r="X197" s="78"/>
      <c r="Y197" s="78"/>
      <c r="Z197" s="78"/>
      <c r="AA197" s="78"/>
      <c r="AB197" s="78"/>
      <c r="AC197" s="78"/>
      <c r="AD197" s="78"/>
      <c r="AE197" s="78"/>
      <c r="AH197"/>
    </row>
    <row r="198" spans="8:34" s="23" customFormat="1" x14ac:dyDescent="0.25">
      <c r="H198" s="78"/>
      <c r="I198" s="78"/>
      <c r="J198" s="78"/>
      <c r="K198" s="78"/>
      <c r="L198" s="78"/>
      <c r="M198" s="78"/>
      <c r="N198" s="78"/>
      <c r="O198" s="78"/>
      <c r="P198" s="78"/>
      <c r="Q198" s="78"/>
      <c r="R198" s="78"/>
      <c r="S198" s="78"/>
      <c r="T198" s="78"/>
      <c r="U198" s="78"/>
      <c r="V198" s="78"/>
      <c r="W198" s="78"/>
      <c r="X198" s="78"/>
      <c r="Y198" s="78"/>
      <c r="Z198" s="78"/>
      <c r="AA198" s="78"/>
      <c r="AB198" s="78"/>
      <c r="AC198" s="78"/>
      <c r="AD198" s="78"/>
      <c r="AE198" s="78"/>
      <c r="AH198"/>
    </row>
    <row r="199" spans="8:34" s="23" customFormat="1" x14ac:dyDescent="0.25">
      <c r="H199" s="78"/>
      <c r="I199" s="78"/>
      <c r="J199" s="78"/>
      <c r="K199" s="78"/>
      <c r="L199" s="78"/>
      <c r="M199" s="78"/>
      <c r="N199" s="78"/>
      <c r="O199" s="78"/>
      <c r="P199" s="78"/>
      <c r="Q199" s="78"/>
      <c r="R199" s="78"/>
      <c r="S199" s="78"/>
      <c r="T199" s="78"/>
      <c r="U199" s="78"/>
      <c r="V199" s="78"/>
      <c r="W199" s="78"/>
      <c r="X199" s="78"/>
      <c r="Y199" s="78"/>
      <c r="Z199" s="78"/>
      <c r="AA199" s="78"/>
      <c r="AB199" s="78"/>
      <c r="AC199" s="78"/>
      <c r="AD199" s="78"/>
      <c r="AE199" s="78"/>
      <c r="AH199"/>
    </row>
    <row r="200" spans="8:34" s="23" customFormat="1" x14ac:dyDescent="0.25">
      <c r="H200" s="78"/>
      <c r="I200" s="78"/>
      <c r="J200" s="78"/>
      <c r="K200" s="78"/>
      <c r="L200" s="78"/>
      <c r="M200" s="78"/>
      <c r="N200" s="78"/>
      <c r="O200" s="78"/>
      <c r="P200" s="78"/>
      <c r="Q200" s="78"/>
      <c r="R200" s="78"/>
      <c r="S200" s="78"/>
      <c r="T200" s="78"/>
      <c r="U200" s="78"/>
      <c r="V200" s="78"/>
      <c r="W200" s="78"/>
      <c r="X200" s="78"/>
      <c r="Y200" s="78"/>
      <c r="Z200" s="78"/>
      <c r="AA200" s="78"/>
      <c r="AB200" s="78"/>
      <c r="AC200" s="78"/>
      <c r="AD200" s="78"/>
      <c r="AE200" s="78"/>
      <c r="AH200"/>
    </row>
    <row r="201" spans="8:34" s="23" customFormat="1" x14ac:dyDescent="0.25">
      <c r="H201" s="78"/>
      <c r="I201" s="78"/>
      <c r="J201" s="78"/>
      <c r="K201" s="78"/>
      <c r="L201" s="78"/>
      <c r="M201" s="78"/>
      <c r="N201" s="78"/>
      <c r="O201" s="78"/>
      <c r="P201" s="78"/>
      <c r="Q201" s="78"/>
      <c r="R201" s="78"/>
      <c r="S201" s="78"/>
      <c r="T201" s="78"/>
      <c r="U201" s="78"/>
      <c r="V201" s="78"/>
      <c r="W201" s="78"/>
      <c r="X201" s="78"/>
      <c r="Y201" s="78"/>
      <c r="Z201" s="78"/>
      <c r="AA201" s="78"/>
      <c r="AB201" s="78"/>
      <c r="AC201" s="78"/>
      <c r="AD201" s="78"/>
      <c r="AE201" s="78"/>
      <c r="AH201"/>
    </row>
    <row r="202" spans="8:34" s="23" customFormat="1" x14ac:dyDescent="0.25">
      <c r="H202" s="78"/>
      <c r="I202" s="78"/>
      <c r="J202" s="78"/>
      <c r="K202" s="78"/>
      <c r="L202" s="78"/>
      <c r="M202" s="78"/>
      <c r="N202" s="78"/>
      <c r="O202" s="78"/>
      <c r="P202" s="78"/>
      <c r="Q202" s="78"/>
      <c r="R202" s="78"/>
      <c r="S202" s="78"/>
      <c r="T202" s="78"/>
      <c r="U202" s="78"/>
      <c r="V202" s="78"/>
      <c r="W202" s="78"/>
      <c r="X202" s="78"/>
      <c r="Y202" s="78"/>
      <c r="Z202" s="78"/>
      <c r="AA202" s="78"/>
      <c r="AB202" s="78"/>
      <c r="AC202" s="78"/>
      <c r="AD202" s="78"/>
      <c r="AE202" s="78"/>
      <c r="AH202"/>
    </row>
    <row r="203" spans="8:34" s="23" customFormat="1" x14ac:dyDescent="0.25">
      <c r="H203" s="78"/>
      <c r="I203" s="78"/>
      <c r="J203" s="78"/>
      <c r="K203" s="78"/>
      <c r="L203" s="78"/>
      <c r="M203" s="78"/>
      <c r="N203" s="78"/>
      <c r="O203" s="78"/>
      <c r="P203" s="78"/>
      <c r="Q203" s="78"/>
      <c r="R203" s="78"/>
      <c r="S203" s="78"/>
      <c r="T203" s="78"/>
      <c r="U203" s="78"/>
      <c r="V203" s="78"/>
      <c r="W203" s="78"/>
      <c r="X203" s="78"/>
      <c r="Y203" s="78"/>
      <c r="Z203" s="78"/>
      <c r="AA203" s="78"/>
      <c r="AB203" s="78"/>
      <c r="AC203" s="78"/>
      <c r="AD203" s="78"/>
      <c r="AE203" s="78"/>
      <c r="AH203"/>
    </row>
    <row r="204" spans="8:34" s="23" customFormat="1" x14ac:dyDescent="0.25">
      <c r="H204" s="78"/>
      <c r="I204" s="78"/>
      <c r="J204" s="78"/>
      <c r="K204" s="78"/>
      <c r="L204" s="78"/>
      <c r="M204" s="78"/>
      <c r="N204" s="78"/>
      <c r="O204" s="78"/>
      <c r="P204" s="78"/>
      <c r="Q204" s="78"/>
      <c r="R204" s="78"/>
      <c r="S204" s="78"/>
      <c r="T204" s="78"/>
      <c r="U204" s="78"/>
      <c r="V204" s="78"/>
      <c r="W204" s="78"/>
      <c r="X204" s="78"/>
      <c r="Y204" s="78"/>
      <c r="Z204" s="78"/>
      <c r="AA204" s="78"/>
      <c r="AB204" s="78"/>
      <c r="AC204" s="78"/>
      <c r="AD204" s="78"/>
      <c r="AE204" s="78"/>
      <c r="AH204"/>
    </row>
    <row r="205" spans="8:34" s="23" customFormat="1" x14ac:dyDescent="0.25">
      <c r="H205" s="78"/>
      <c r="I205" s="78"/>
      <c r="J205" s="78"/>
      <c r="K205" s="78"/>
      <c r="L205" s="78"/>
      <c r="M205" s="78"/>
      <c r="N205" s="78"/>
      <c r="O205" s="78"/>
      <c r="P205" s="78"/>
      <c r="Q205" s="78"/>
      <c r="R205" s="78"/>
      <c r="S205" s="78"/>
      <c r="T205" s="78"/>
      <c r="U205" s="78"/>
      <c r="V205" s="78"/>
      <c r="W205" s="78"/>
      <c r="X205" s="78"/>
      <c r="Y205" s="78"/>
      <c r="Z205" s="78"/>
      <c r="AA205" s="78"/>
      <c r="AB205" s="78"/>
      <c r="AC205" s="78"/>
      <c r="AD205" s="78"/>
      <c r="AE205" s="78"/>
      <c r="AH205"/>
    </row>
    <row r="206" spans="8:34" s="23" customFormat="1" x14ac:dyDescent="0.25">
      <c r="H206" s="78"/>
      <c r="I206" s="78"/>
      <c r="J206" s="78"/>
      <c r="K206" s="78"/>
      <c r="L206" s="78"/>
      <c r="M206" s="78"/>
      <c r="N206" s="78"/>
      <c r="O206" s="78"/>
      <c r="P206" s="78"/>
      <c r="Q206" s="78"/>
      <c r="R206" s="78"/>
      <c r="S206" s="78"/>
      <c r="T206" s="78"/>
      <c r="U206" s="78"/>
      <c r="V206" s="78"/>
      <c r="W206" s="78"/>
      <c r="X206" s="78"/>
      <c r="Y206" s="78"/>
      <c r="Z206" s="78"/>
      <c r="AA206" s="78"/>
      <c r="AB206" s="78"/>
      <c r="AC206" s="78"/>
      <c r="AD206" s="78"/>
      <c r="AE206" s="78"/>
      <c r="AH206"/>
    </row>
    <row r="207" spans="8:34" s="23" customFormat="1" x14ac:dyDescent="0.25">
      <c r="H207" s="78"/>
      <c r="I207" s="78"/>
      <c r="J207" s="78"/>
      <c r="K207" s="78"/>
      <c r="L207" s="78"/>
      <c r="M207" s="78"/>
      <c r="N207" s="78"/>
      <c r="O207" s="78"/>
      <c r="P207" s="78"/>
      <c r="Q207" s="78"/>
      <c r="R207" s="78"/>
      <c r="S207" s="78"/>
      <c r="T207" s="78"/>
      <c r="U207" s="78"/>
      <c r="V207" s="78"/>
      <c r="W207" s="78"/>
      <c r="X207" s="78"/>
      <c r="Y207" s="78"/>
      <c r="Z207" s="78"/>
      <c r="AA207" s="78"/>
      <c r="AB207" s="78"/>
      <c r="AC207" s="78"/>
      <c r="AD207" s="78"/>
      <c r="AE207" s="78"/>
      <c r="AH207"/>
    </row>
    <row r="208" spans="8:34" s="23" customFormat="1" x14ac:dyDescent="0.25">
      <c r="H208" s="78"/>
      <c r="I208" s="78"/>
      <c r="J208" s="78"/>
      <c r="K208" s="78"/>
      <c r="L208" s="78"/>
      <c r="M208" s="78"/>
      <c r="N208" s="78"/>
      <c r="O208" s="78"/>
      <c r="P208" s="78"/>
      <c r="Q208" s="78"/>
      <c r="R208" s="78"/>
      <c r="S208" s="78"/>
      <c r="T208" s="78"/>
      <c r="U208" s="78"/>
      <c r="V208" s="78"/>
      <c r="W208" s="78"/>
      <c r="X208" s="78"/>
      <c r="Y208" s="78"/>
      <c r="Z208" s="78"/>
      <c r="AA208" s="78"/>
      <c r="AB208" s="78"/>
      <c r="AC208" s="78"/>
      <c r="AD208" s="78"/>
      <c r="AE208" s="78"/>
      <c r="AH208"/>
    </row>
    <row r="209" spans="8:34" s="23" customFormat="1" x14ac:dyDescent="0.25">
      <c r="H209" s="78"/>
      <c r="I209" s="78"/>
      <c r="J209" s="78"/>
      <c r="K209" s="78"/>
      <c r="L209" s="78"/>
      <c r="M209" s="78"/>
      <c r="N209" s="78"/>
      <c r="O209" s="78"/>
      <c r="P209" s="78"/>
      <c r="Q209" s="78"/>
      <c r="R209" s="78"/>
      <c r="S209" s="78"/>
      <c r="T209" s="78"/>
      <c r="U209" s="78"/>
      <c r="V209" s="78"/>
      <c r="W209" s="78"/>
      <c r="X209" s="78"/>
      <c r="Y209" s="78"/>
      <c r="Z209" s="78"/>
      <c r="AA209" s="78"/>
      <c r="AB209" s="78"/>
      <c r="AC209" s="78"/>
      <c r="AD209" s="78"/>
      <c r="AE209" s="78"/>
      <c r="AH209"/>
    </row>
    <row r="210" spans="8:34" s="23" customFormat="1" x14ac:dyDescent="0.25">
      <c r="H210" s="78"/>
      <c r="I210" s="78"/>
      <c r="J210" s="78"/>
      <c r="K210" s="78"/>
      <c r="L210" s="78"/>
      <c r="M210" s="78"/>
      <c r="N210" s="78"/>
      <c r="O210" s="78"/>
      <c r="P210" s="78"/>
      <c r="Q210" s="78"/>
      <c r="R210" s="78"/>
      <c r="S210" s="78"/>
      <c r="T210" s="78"/>
      <c r="U210" s="78"/>
      <c r="V210" s="78"/>
      <c r="W210" s="78"/>
      <c r="X210" s="78"/>
      <c r="Y210" s="78"/>
      <c r="Z210" s="78"/>
      <c r="AA210" s="78"/>
      <c r="AB210" s="78"/>
      <c r="AC210" s="78"/>
      <c r="AD210" s="78"/>
      <c r="AE210" s="78"/>
      <c r="AH210"/>
    </row>
    <row r="211" spans="8:34" s="23" customFormat="1" x14ac:dyDescent="0.25">
      <c r="H211" s="78"/>
      <c r="I211" s="78"/>
      <c r="J211" s="78"/>
      <c r="K211" s="78"/>
      <c r="L211" s="78"/>
      <c r="M211" s="78"/>
      <c r="N211" s="78"/>
      <c r="O211" s="78"/>
      <c r="P211" s="78"/>
      <c r="Q211" s="78"/>
      <c r="R211" s="78"/>
      <c r="S211" s="78"/>
      <c r="T211" s="78"/>
      <c r="U211" s="78"/>
      <c r="V211" s="78"/>
      <c r="W211" s="78"/>
      <c r="X211" s="78"/>
      <c r="Y211" s="78"/>
      <c r="Z211" s="78"/>
      <c r="AA211" s="78"/>
      <c r="AB211" s="78"/>
      <c r="AC211" s="78"/>
      <c r="AD211" s="78"/>
      <c r="AE211" s="78"/>
      <c r="AH211"/>
    </row>
    <row r="212" spans="8:34" s="23" customFormat="1" x14ac:dyDescent="0.25">
      <c r="H212" s="78"/>
      <c r="I212" s="78"/>
      <c r="J212" s="78"/>
      <c r="K212" s="78"/>
      <c r="L212" s="78"/>
      <c r="M212" s="78"/>
      <c r="N212" s="78"/>
      <c r="O212" s="78"/>
      <c r="P212" s="78"/>
      <c r="Q212" s="78"/>
      <c r="R212" s="78"/>
      <c r="S212" s="78"/>
      <c r="T212" s="78"/>
      <c r="U212" s="78"/>
      <c r="V212" s="78"/>
      <c r="W212" s="78"/>
      <c r="X212" s="78"/>
      <c r="Y212" s="78"/>
      <c r="Z212" s="78"/>
      <c r="AA212" s="78"/>
      <c r="AB212" s="78"/>
      <c r="AC212" s="78"/>
      <c r="AD212" s="78"/>
      <c r="AE212" s="78"/>
      <c r="AH212"/>
    </row>
    <row r="213" spans="8:34" s="23" customFormat="1" x14ac:dyDescent="0.25">
      <c r="H213" s="78"/>
      <c r="I213" s="78"/>
      <c r="J213" s="78"/>
      <c r="K213" s="78"/>
      <c r="L213" s="78"/>
      <c r="M213" s="78"/>
      <c r="N213" s="78"/>
      <c r="O213" s="78"/>
      <c r="P213" s="78"/>
      <c r="Q213" s="78"/>
      <c r="R213" s="78"/>
      <c r="S213" s="78"/>
      <c r="T213" s="78"/>
      <c r="U213" s="78"/>
      <c r="V213" s="78"/>
      <c r="W213" s="78"/>
      <c r="X213" s="78"/>
      <c r="Y213" s="78"/>
      <c r="Z213" s="78"/>
      <c r="AA213" s="78"/>
      <c r="AB213" s="78"/>
      <c r="AC213" s="78"/>
      <c r="AD213" s="78"/>
      <c r="AE213" s="78"/>
      <c r="AH213"/>
    </row>
    <row r="214" spans="8:34" s="23" customFormat="1" x14ac:dyDescent="0.25">
      <c r="H214" s="78"/>
      <c r="I214" s="78"/>
      <c r="J214" s="78"/>
      <c r="K214" s="78"/>
      <c r="L214" s="78"/>
      <c r="M214" s="78"/>
      <c r="N214" s="78"/>
      <c r="O214" s="78"/>
      <c r="P214" s="78"/>
      <c r="Q214" s="78"/>
      <c r="R214" s="78"/>
      <c r="S214" s="78"/>
      <c r="T214" s="78"/>
      <c r="U214" s="78"/>
      <c r="V214" s="78"/>
      <c r="W214" s="78"/>
      <c r="X214" s="78"/>
      <c r="Y214" s="78"/>
      <c r="Z214" s="78"/>
      <c r="AA214" s="78"/>
      <c r="AB214" s="78"/>
      <c r="AC214" s="78"/>
      <c r="AD214" s="78"/>
      <c r="AE214" s="78"/>
      <c r="AH214"/>
    </row>
    <row r="215" spans="8:34" s="23" customFormat="1" x14ac:dyDescent="0.25">
      <c r="H215" s="78"/>
      <c r="I215" s="78"/>
      <c r="J215" s="78"/>
      <c r="K215" s="78"/>
      <c r="L215" s="78"/>
      <c r="M215" s="78"/>
      <c r="N215" s="78"/>
      <c r="O215" s="78"/>
      <c r="P215" s="78"/>
      <c r="Q215" s="78"/>
      <c r="R215" s="78"/>
      <c r="S215" s="78"/>
      <c r="T215" s="78"/>
      <c r="U215" s="78"/>
      <c r="V215" s="78"/>
      <c r="W215" s="78"/>
      <c r="X215" s="78"/>
      <c r="Y215" s="78"/>
      <c r="Z215" s="78"/>
      <c r="AA215" s="78"/>
      <c r="AB215" s="78"/>
      <c r="AC215" s="78"/>
      <c r="AD215" s="78"/>
      <c r="AE215" s="78"/>
      <c r="AH215"/>
    </row>
    <row r="216" spans="8:34" s="23" customFormat="1" x14ac:dyDescent="0.25">
      <c r="H216" s="78"/>
      <c r="I216" s="78"/>
      <c r="J216" s="78"/>
      <c r="K216" s="78"/>
      <c r="L216" s="78"/>
      <c r="M216" s="78"/>
      <c r="N216" s="78"/>
      <c r="O216" s="78"/>
      <c r="P216" s="78"/>
      <c r="Q216" s="78"/>
      <c r="R216" s="78"/>
      <c r="S216" s="78"/>
      <c r="T216" s="78"/>
      <c r="U216" s="78"/>
      <c r="V216" s="78"/>
      <c r="W216" s="78"/>
      <c r="X216" s="78"/>
      <c r="Y216" s="78"/>
      <c r="Z216" s="78"/>
      <c r="AA216" s="78"/>
      <c r="AB216" s="78"/>
      <c r="AC216" s="78"/>
      <c r="AD216" s="78"/>
      <c r="AE216" s="78"/>
      <c r="AH216"/>
    </row>
    <row r="217" spans="8:34" s="23" customFormat="1" x14ac:dyDescent="0.25">
      <c r="H217" s="78"/>
      <c r="I217" s="78"/>
      <c r="J217" s="78"/>
      <c r="K217" s="78"/>
      <c r="L217" s="78"/>
      <c r="M217" s="78"/>
      <c r="N217" s="78"/>
      <c r="O217" s="78"/>
      <c r="P217" s="78"/>
      <c r="Q217" s="78"/>
      <c r="R217" s="78"/>
      <c r="S217" s="78"/>
      <c r="T217" s="78"/>
      <c r="U217" s="78"/>
      <c r="V217" s="78"/>
      <c r="W217" s="78"/>
      <c r="X217" s="78"/>
      <c r="Y217" s="78"/>
      <c r="Z217" s="78"/>
      <c r="AA217" s="78"/>
      <c r="AB217" s="78"/>
      <c r="AC217" s="78"/>
      <c r="AD217" s="78"/>
      <c r="AE217" s="78"/>
      <c r="AH217"/>
    </row>
    <row r="218" spans="8:34" s="23" customFormat="1" x14ac:dyDescent="0.25">
      <c r="H218" s="78"/>
      <c r="I218" s="78"/>
      <c r="J218" s="78"/>
      <c r="K218" s="78"/>
      <c r="L218" s="78"/>
      <c r="M218" s="78"/>
      <c r="N218" s="78"/>
      <c r="O218" s="78"/>
      <c r="P218" s="78"/>
      <c r="Q218" s="78"/>
      <c r="R218" s="78"/>
      <c r="S218" s="78"/>
      <c r="T218" s="78"/>
      <c r="U218" s="78"/>
      <c r="V218" s="78"/>
      <c r="W218" s="78"/>
      <c r="X218" s="78"/>
      <c r="Y218" s="78"/>
      <c r="Z218" s="78"/>
      <c r="AA218" s="78"/>
      <c r="AB218" s="78"/>
      <c r="AC218" s="78"/>
      <c r="AD218" s="78"/>
      <c r="AE218" s="78"/>
      <c r="AH218"/>
    </row>
    <row r="219" spans="8:34" s="23" customFormat="1" x14ac:dyDescent="0.25">
      <c r="H219" s="78"/>
      <c r="I219" s="78"/>
      <c r="J219" s="78"/>
      <c r="K219" s="78"/>
      <c r="L219" s="78"/>
      <c r="M219" s="78"/>
      <c r="N219" s="78"/>
      <c r="O219" s="78"/>
      <c r="P219" s="78"/>
      <c r="Q219" s="78"/>
      <c r="R219" s="78"/>
      <c r="S219" s="78"/>
      <c r="T219" s="78"/>
      <c r="U219" s="78"/>
      <c r="V219" s="78"/>
      <c r="W219" s="78"/>
      <c r="X219" s="78"/>
      <c r="Y219" s="78"/>
      <c r="Z219" s="78"/>
      <c r="AA219" s="78"/>
      <c r="AB219" s="78"/>
      <c r="AC219" s="78"/>
      <c r="AD219" s="78"/>
      <c r="AE219" s="78"/>
      <c r="AH219"/>
    </row>
    <row r="220" spans="8:34" s="23" customFormat="1" x14ac:dyDescent="0.25">
      <c r="H220" s="78"/>
      <c r="I220" s="78"/>
      <c r="J220" s="78"/>
      <c r="K220" s="78"/>
      <c r="L220" s="78"/>
      <c r="M220" s="78"/>
      <c r="N220" s="78"/>
      <c r="O220" s="78"/>
      <c r="P220" s="78"/>
      <c r="Q220" s="78"/>
      <c r="R220" s="78"/>
      <c r="S220" s="78"/>
      <c r="T220" s="78"/>
      <c r="U220" s="78"/>
      <c r="V220" s="78"/>
      <c r="W220" s="78"/>
      <c r="X220" s="78"/>
      <c r="Y220" s="78"/>
      <c r="Z220" s="78"/>
      <c r="AA220" s="78"/>
      <c r="AB220" s="78"/>
      <c r="AC220" s="78"/>
      <c r="AD220" s="78"/>
      <c r="AE220" s="78"/>
      <c r="AH220"/>
    </row>
    <row r="221" spans="8:34" s="23" customFormat="1" x14ac:dyDescent="0.25">
      <c r="H221" s="78"/>
      <c r="I221" s="78"/>
      <c r="J221" s="78"/>
      <c r="K221" s="78"/>
      <c r="L221" s="78"/>
      <c r="M221" s="78"/>
      <c r="N221" s="78"/>
      <c r="O221" s="78"/>
      <c r="P221" s="78"/>
      <c r="Q221" s="78"/>
      <c r="R221" s="78"/>
      <c r="S221" s="78"/>
      <c r="T221" s="78"/>
      <c r="U221" s="78"/>
      <c r="V221" s="78"/>
      <c r="W221" s="78"/>
      <c r="X221" s="78"/>
      <c r="Y221" s="78"/>
      <c r="Z221" s="78"/>
      <c r="AA221" s="78"/>
      <c r="AB221" s="78"/>
      <c r="AC221" s="78"/>
      <c r="AD221" s="78"/>
      <c r="AE221" s="78"/>
      <c r="AH221"/>
    </row>
    <row r="222" spans="8:34" s="23" customFormat="1" x14ac:dyDescent="0.25">
      <c r="H222" s="78"/>
      <c r="I222" s="78"/>
      <c r="J222" s="78"/>
      <c r="K222" s="78"/>
      <c r="L222" s="78"/>
      <c r="M222" s="78"/>
      <c r="N222" s="78"/>
      <c r="O222" s="78"/>
      <c r="P222" s="78"/>
      <c r="Q222" s="78"/>
      <c r="R222" s="78"/>
      <c r="S222" s="78"/>
      <c r="T222" s="78"/>
      <c r="U222" s="78"/>
      <c r="V222" s="78"/>
      <c r="W222" s="78"/>
      <c r="X222" s="78"/>
      <c r="Y222" s="78"/>
      <c r="Z222" s="78"/>
      <c r="AA222" s="78"/>
      <c r="AB222" s="78"/>
      <c r="AC222" s="78"/>
      <c r="AD222" s="78"/>
      <c r="AE222" s="78"/>
      <c r="AH222"/>
    </row>
    <row r="223" spans="8:34" s="23" customFormat="1" x14ac:dyDescent="0.25">
      <c r="H223" s="78"/>
      <c r="I223" s="78"/>
      <c r="J223" s="78"/>
      <c r="K223" s="78"/>
      <c r="L223" s="78"/>
      <c r="M223" s="78"/>
      <c r="N223" s="78"/>
      <c r="O223" s="78"/>
      <c r="P223" s="78"/>
      <c r="Q223" s="78"/>
      <c r="R223" s="78"/>
      <c r="S223" s="78"/>
      <c r="T223" s="78"/>
      <c r="U223" s="78"/>
      <c r="V223" s="78"/>
      <c r="W223" s="78"/>
      <c r="X223" s="78"/>
      <c r="Y223" s="78"/>
      <c r="Z223" s="78"/>
      <c r="AA223" s="78"/>
      <c r="AB223" s="78"/>
      <c r="AC223" s="78"/>
      <c r="AD223" s="78"/>
      <c r="AE223" s="78"/>
      <c r="AH223"/>
    </row>
    <row r="224" spans="8:34" s="23" customFormat="1" x14ac:dyDescent="0.25">
      <c r="H224" s="78"/>
      <c r="I224" s="78"/>
      <c r="J224" s="78"/>
      <c r="K224" s="78"/>
      <c r="L224" s="78"/>
      <c r="M224" s="78"/>
      <c r="N224" s="78"/>
      <c r="O224" s="78"/>
      <c r="P224" s="78"/>
      <c r="Q224" s="78"/>
      <c r="R224" s="78"/>
      <c r="S224" s="78"/>
      <c r="T224" s="78"/>
      <c r="U224" s="78"/>
      <c r="V224" s="78"/>
      <c r="W224" s="78"/>
      <c r="X224" s="78"/>
      <c r="Y224" s="78"/>
      <c r="Z224" s="78"/>
      <c r="AA224" s="78"/>
      <c r="AB224" s="78"/>
      <c r="AC224" s="78"/>
      <c r="AD224" s="78"/>
      <c r="AE224" s="78"/>
      <c r="AH224"/>
    </row>
    <row r="225" spans="8:34" s="23" customFormat="1" x14ac:dyDescent="0.25">
      <c r="H225" s="78"/>
      <c r="I225" s="78"/>
      <c r="J225" s="78"/>
      <c r="K225" s="78"/>
      <c r="L225" s="78"/>
      <c r="M225" s="78"/>
      <c r="N225" s="78"/>
      <c r="O225" s="78"/>
      <c r="P225" s="78"/>
      <c r="Q225" s="78"/>
      <c r="R225" s="78"/>
      <c r="S225" s="78"/>
      <c r="T225" s="78"/>
      <c r="U225" s="78"/>
      <c r="V225" s="78"/>
      <c r="W225" s="78"/>
      <c r="X225" s="78"/>
      <c r="Y225" s="78"/>
      <c r="Z225" s="78"/>
      <c r="AA225" s="78"/>
      <c r="AB225" s="78"/>
      <c r="AC225" s="78"/>
      <c r="AD225" s="78"/>
      <c r="AE225" s="78"/>
      <c r="AH225"/>
    </row>
    <row r="226" spans="8:34" s="23" customFormat="1" x14ac:dyDescent="0.25">
      <c r="H226" s="78"/>
      <c r="I226" s="78"/>
      <c r="J226" s="78"/>
      <c r="K226" s="78"/>
      <c r="L226" s="78"/>
      <c r="M226" s="78"/>
      <c r="N226" s="78"/>
      <c r="O226" s="78"/>
      <c r="P226" s="78"/>
      <c r="Q226" s="78"/>
      <c r="R226" s="78"/>
      <c r="S226" s="78"/>
      <c r="T226" s="78"/>
      <c r="U226" s="78"/>
      <c r="V226" s="78"/>
      <c r="W226" s="78"/>
      <c r="X226" s="78"/>
      <c r="Y226" s="78"/>
      <c r="Z226" s="78"/>
      <c r="AA226" s="78"/>
      <c r="AB226" s="78"/>
      <c r="AC226" s="78"/>
      <c r="AD226" s="78"/>
      <c r="AE226" s="78"/>
      <c r="AH226"/>
    </row>
    <row r="227" spans="8:34" s="23" customFormat="1" x14ac:dyDescent="0.25">
      <c r="H227" s="78"/>
      <c r="I227" s="78"/>
      <c r="J227" s="78"/>
      <c r="K227" s="78"/>
      <c r="L227" s="78"/>
      <c r="M227" s="78"/>
      <c r="N227" s="78"/>
      <c r="O227" s="78"/>
      <c r="P227" s="78"/>
      <c r="Q227" s="78"/>
      <c r="R227" s="78"/>
      <c r="S227" s="78"/>
      <c r="T227" s="78"/>
      <c r="U227" s="78"/>
      <c r="V227" s="78"/>
      <c r="W227" s="78"/>
      <c r="X227" s="78"/>
      <c r="Y227" s="78"/>
      <c r="Z227" s="78"/>
      <c r="AA227" s="78"/>
      <c r="AB227" s="78"/>
      <c r="AC227" s="78"/>
      <c r="AD227" s="78"/>
      <c r="AE227" s="78"/>
      <c r="AH227"/>
    </row>
    <row r="228" spans="8:34" s="23" customFormat="1" x14ac:dyDescent="0.25">
      <c r="H228" s="78"/>
      <c r="I228" s="78"/>
      <c r="J228" s="78"/>
      <c r="K228" s="78"/>
      <c r="L228" s="78"/>
      <c r="M228" s="78"/>
      <c r="N228" s="78"/>
      <c r="O228" s="78"/>
      <c r="P228" s="78"/>
      <c r="Q228" s="78"/>
      <c r="R228" s="78"/>
      <c r="S228" s="78"/>
      <c r="T228" s="78"/>
      <c r="U228" s="78"/>
      <c r="V228" s="78"/>
      <c r="W228" s="78"/>
      <c r="X228" s="78"/>
      <c r="Y228" s="78"/>
      <c r="Z228" s="78"/>
      <c r="AA228" s="78"/>
      <c r="AB228" s="78"/>
      <c r="AC228" s="78"/>
      <c r="AD228" s="78"/>
      <c r="AE228" s="78"/>
      <c r="AH228"/>
    </row>
    <row r="229" spans="8:34" s="23" customFormat="1" x14ac:dyDescent="0.25">
      <c r="H229" s="78"/>
      <c r="I229" s="78"/>
      <c r="J229" s="78"/>
      <c r="K229" s="78"/>
      <c r="L229" s="78"/>
      <c r="M229" s="78"/>
      <c r="N229" s="78"/>
      <c r="O229" s="78"/>
      <c r="P229" s="78"/>
      <c r="Q229" s="78"/>
      <c r="R229" s="78"/>
      <c r="S229" s="78"/>
      <c r="T229" s="78"/>
      <c r="U229" s="78"/>
      <c r="V229" s="78"/>
      <c r="W229" s="78"/>
      <c r="X229" s="78"/>
      <c r="Y229" s="78"/>
      <c r="Z229" s="78"/>
      <c r="AA229" s="78"/>
      <c r="AB229" s="78"/>
      <c r="AC229" s="78"/>
      <c r="AD229" s="78"/>
      <c r="AE229" s="78"/>
      <c r="AH229"/>
    </row>
    <row r="230" spans="8:34" s="23" customFormat="1" x14ac:dyDescent="0.25">
      <c r="H230" s="78"/>
      <c r="I230" s="78"/>
      <c r="J230" s="78"/>
      <c r="K230" s="78"/>
      <c r="L230" s="78"/>
      <c r="M230" s="78"/>
      <c r="N230" s="78"/>
      <c r="O230" s="78"/>
      <c r="P230" s="78"/>
      <c r="Q230" s="78"/>
      <c r="R230" s="78"/>
      <c r="S230" s="78"/>
      <c r="T230" s="78"/>
      <c r="U230" s="78"/>
      <c r="V230" s="78"/>
      <c r="W230" s="78"/>
      <c r="X230" s="78"/>
      <c r="Y230" s="78"/>
      <c r="Z230" s="78"/>
      <c r="AA230" s="78"/>
      <c r="AB230" s="78"/>
      <c r="AC230" s="78"/>
      <c r="AD230" s="78"/>
      <c r="AE230" s="78"/>
      <c r="AH230"/>
    </row>
    <row r="231" spans="8:34" s="23" customFormat="1" x14ac:dyDescent="0.25">
      <c r="H231" s="78"/>
      <c r="I231" s="78"/>
      <c r="J231" s="78"/>
      <c r="K231" s="78"/>
      <c r="L231" s="78"/>
      <c r="M231" s="78"/>
      <c r="N231" s="78"/>
      <c r="O231" s="78"/>
      <c r="P231" s="78"/>
      <c r="Q231" s="78"/>
      <c r="R231" s="78"/>
      <c r="S231" s="78"/>
      <c r="T231" s="78"/>
      <c r="U231" s="78"/>
      <c r="V231" s="78"/>
      <c r="W231" s="78"/>
      <c r="X231" s="78"/>
      <c r="Y231" s="78"/>
      <c r="Z231" s="78"/>
      <c r="AA231" s="78"/>
      <c r="AB231" s="78"/>
      <c r="AC231" s="78"/>
      <c r="AD231" s="78"/>
      <c r="AE231" s="78"/>
      <c r="AH231"/>
    </row>
    <row r="232" spans="8:34" s="23" customFormat="1" x14ac:dyDescent="0.25">
      <c r="H232" s="78"/>
      <c r="I232" s="78"/>
      <c r="J232" s="78"/>
      <c r="K232" s="78"/>
      <c r="L232" s="78"/>
      <c r="M232" s="78"/>
      <c r="N232" s="78"/>
      <c r="O232" s="78"/>
      <c r="P232" s="78"/>
      <c r="Q232" s="78"/>
      <c r="R232" s="78"/>
      <c r="S232" s="78"/>
      <c r="T232" s="78"/>
      <c r="U232" s="78"/>
      <c r="V232" s="78"/>
      <c r="W232" s="78"/>
      <c r="X232" s="78"/>
      <c r="Y232" s="78"/>
      <c r="Z232" s="78"/>
      <c r="AA232" s="78"/>
      <c r="AB232" s="78"/>
      <c r="AC232" s="78"/>
      <c r="AD232" s="78"/>
      <c r="AE232" s="78"/>
      <c r="AH232"/>
    </row>
    <row r="233" spans="8:34" s="23" customFormat="1" x14ac:dyDescent="0.25">
      <c r="H233" s="78"/>
      <c r="I233" s="78"/>
      <c r="J233" s="78"/>
      <c r="K233" s="78"/>
      <c r="L233" s="78"/>
      <c r="M233" s="78"/>
      <c r="N233" s="78"/>
      <c r="O233" s="78"/>
      <c r="P233" s="78"/>
      <c r="Q233" s="78"/>
      <c r="R233" s="78"/>
      <c r="S233" s="78"/>
      <c r="T233" s="78"/>
      <c r="U233" s="78"/>
      <c r="V233" s="78"/>
      <c r="W233" s="78"/>
      <c r="X233" s="78"/>
      <c r="Y233" s="78"/>
      <c r="Z233" s="78"/>
      <c r="AA233" s="78"/>
      <c r="AB233" s="78"/>
      <c r="AC233" s="78"/>
      <c r="AD233" s="78"/>
      <c r="AE233" s="78"/>
      <c r="AH233"/>
    </row>
    <row r="234" spans="8:34" s="23" customFormat="1" x14ac:dyDescent="0.25">
      <c r="H234" s="78"/>
      <c r="I234" s="78"/>
      <c r="J234" s="78"/>
      <c r="K234" s="78"/>
      <c r="L234" s="78"/>
      <c r="M234" s="78"/>
      <c r="N234" s="78"/>
      <c r="O234" s="78"/>
      <c r="P234" s="78"/>
      <c r="Q234" s="78"/>
      <c r="R234" s="78"/>
      <c r="S234" s="78"/>
      <c r="T234" s="78"/>
      <c r="U234" s="78"/>
      <c r="V234" s="78"/>
      <c r="W234" s="78"/>
      <c r="X234" s="78"/>
      <c r="Y234" s="78"/>
      <c r="Z234" s="78"/>
      <c r="AA234" s="78"/>
      <c r="AB234" s="78"/>
      <c r="AC234" s="78"/>
      <c r="AD234" s="78"/>
      <c r="AE234" s="78"/>
      <c r="AH234"/>
    </row>
    <row r="235" spans="8:34" s="23" customFormat="1" x14ac:dyDescent="0.25">
      <c r="H235" s="78"/>
      <c r="I235" s="78"/>
      <c r="J235" s="78"/>
      <c r="K235" s="78"/>
      <c r="L235" s="78"/>
      <c r="M235" s="78"/>
      <c r="N235" s="78"/>
      <c r="O235" s="78"/>
      <c r="P235" s="78"/>
      <c r="Q235" s="78"/>
      <c r="R235" s="78"/>
      <c r="S235" s="78"/>
      <c r="T235" s="78"/>
      <c r="U235" s="78"/>
      <c r="V235" s="78"/>
      <c r="W235" s="78"/>
      <c r="X235" s="78"/>
      <c r="Y235" s="78"/>
      <c r="Z235" s="78"/>
      <c r="AA235" s="78"/>
      <c r="AB235" s="78"/>
      <c r="AC235" s="78"/>
      <c r="AD235" s="78"/>
      <c r="AE235" s="78"/>
      <c r="AH235"/>
    </row>
    <row r="236" spans="8:34" s="23" customFormat="1" x14ac:dyDescent="0.25">
      <c r="H236" s="78"/>
      <c r="I236" s="78"/>
      <c r="J236" s="78"/>
      <c r="K236" s="78"/>
      <c r="L236" s="78"/>
      <c r="M236" s="78"/>
      <c r="N236" s="78"/>
      <c r="O236" s="78"/>
      <c r="P236" s="78"/>
      <c r="Q236" s="78"/>
      <c r="R236" s="78"/>
      <c r="S236" s="78"/>
      <c r="T236" s="78"/>
      <c r="U236" s="78"/>
      <c r="V236" s="78"/>
      <c r="W236" s="78"/>
      <c r="X236" s="78"/>
      <c r="Y236" s="78"/>
      <c r="Z236" s="78"/>
      <c r="AA236" s="78"/>
      <c r="AB236" s="78"/>
      <c r="AC236" s="78"/>
      <c r="AD236" s="78"/>
      <c r="AE236" s="78"/>
      <c r="AH236"/>
    </row>
    <row r="237" spans="8:34" s="23" customFormat="1" x14ac:dyDescent="0.25">
      <c r="H237" s="78"/>
      <c r="I237" s="78"/>
      <c r="J237" s="78"/>
      <c r="K237" s="78"/>
      <c r="L237" s="78"/>
      <c r="M237" s="78"/>
      <c r="N237" s="78"/>
      <c r="O237" s="78"/>
      <c r="P237" s="78"/>
      <c r="Q237" s="78"/>
      <c r="R237" s="78"/>
      <c r="S237" s="78"/>
      <c r="T237" s="78"/>
      <c r="U237" s="78"/>
      <c r="V237" s="78"/>
      <c r="W237" s="78"/>
      <c r="X237" s="78"/>
      <c r="Y237" s="78"/>
      <c r="Z237" s="78"/>
      <c r="AA237" s="78"/>
      <c r="AB237" s="78"/>
      <c r="AC237" s="78"/>
      <c r="AD237" s="78"/>
      <c r="AE237" s="78"/>
      <c r="AH237"/>
    </row>
    <row r="238" spans="8:34" s="23" customFormat="1" x14ac:dyDescent="0.25">
      <c r="H238" s="78"/>
      <c r="I238" s="78"/>
      <c r="J238" s="78"/>
      <c r="K238" s="78"/>
      <c r="L238" s="78"/>
      <c r="M238" s="78"/>
      <c r="N238" s="78"/>
      <c r="O238" s="78"/>
      <c r="P238" s="78"/>
      <c r="Q238" s="78"/>
      <c r="R238" s="78"/>
      <c r="S238" s="78"/>
      <c r="T238" s="78"/>
      <c r="U238" s="78"/>
      <c r="V238" s="78"/>
      <c r="W238" s="78"/>
      <c r="X238" s="78"/>
      <c r="Y238" s="78"/>
      <c r="Z238" s="78"/>
      <c r="AA238" s="78"/>
      <c r="AB238" s="78"/>
      <c r="AC238" s="78"/>
      <c r="AD238" s="78"/>
      <c r="AE238" s="78"/>
      <c r="AH238"/>
    </row>
    <row r="239" spans="8:34" s="23" customFormat="1" x14ac:dyDescent="0.25">
      <c r="H239" s="78"/>
      <c r="I239" s="78"/>
      <c r="J239" s="78"/>
      <c r="K239" s="78"/>
      <c r="L239" s="78"/>
      <c r="M239" s="78"/>
      <c r="N239" s="78"/>
      <c r="O239" s="78"/>
      <c r="P239" s="78"/>
      <c r="Q239" s="78"/>
      <c r="R239" s="78"/>
      <c r="S239" s="78"/>
      <c r="T239" s="78"/>
      <c r="U239" s="78"/>
      <c r="V239" s="78"/>
      <c r="W239" s="78"/>
      <c r="X239" s="78"/>
      <c r="Y239" s="78"/>
      <c r="Z239" s="78"/>
      <c r="AA239" s="78"/>
      <c r="AB239" s="78"/>
      <c r="AC239" s="78"/>
      <c r="AD239" s="78"/>
      <c r="AE239" s="78"/>
      <c r="AH239"/>
    </row>
    <row r="240" spans="8:34" s="23" customFormat="1" x14ac:dyDescent="0.25">
      <c r="H240" s="78"/>
      <c r="I240" s="78"/>
      <c r="J240" s="78"/>
      <c r="K240" s="78"/>
      <c r="L240" s="78"/>
      <c r="M240" s="78"/>
      <c r="N240" s="78"/>
      <c r="O240" s="78"/>
      <c r="P240" s="78"/>
      <c r="Q240" s="78"/>
      <c r="R240" s="78"/>
      <c r="S240" s="78"/>
      <c r="T240" s="78"/>
      <c r="U240" s="78"/>
      <c r="V240" s="78"/>
      <c r="W240" s="78"/>
      <c r="X240" s="78"/>
      <c r="Y240" s="78"/>
      <c r="Z240" s="78"/>
      <c r="AA240" s="78"/>
      <c r="AB240" s="78"/>
      <c r="AC240" s="78"/>
      <c r="AD240" s="78"/>
      <c r="AE240" s="78"/>
      <c r="AH240"/>
    </row>
    <row r="241" spans="8:34" s="23" customFormat="1" x14ac:dyDescent="0.25">
      <c r="H241" s="78"/>
      <c r="I241" s="78"/>
      <c r="J241" s="78"/>
      <c r="K241" s="78"/>
      <c r="L241" s="78"/>
      <c r="M241" s="78"/>
      <c r="N241" s="78"/>
      <c r="O241" s="78"/>
      <c r="P241" s="78"/>
      <c r="Q241" s="78"/>
      <c r="R241" s="78"/>
      <c r="S241" s="78"/>
      <c r="T241" s="78"/>
      <c r="U241" s="78"/>
      <c r="V241" s="78"/>
      <c r="W241" s="78"/>
      <c r="X241" s="78"/>
      <c r="Y241" s="78"/>
      <c r="Z241" s="78"/>
      <c r="AA241" s="78"/>
      <c r="AB241" s="78"/>
      <c r="AC241" s="78"/>
      <c r="AD241" s="78"/>
      <c r="AE241" s="78"/>
      <c r="AH241"/>
    </row>
    <row r="242" spans="8:34" s="23" customFormat="1" x14ac:dyDescent="0.25">
      <c r="H242" s="78"/>
      <c r="I242" s="78"/>
      <c r="J242" s="78"/>
      <c r="K242" s="78"/>
      <c r="L242" s="78"/>
      <c r="M242" s="78"/>
      <c r="N242" s="78"/>
      <c r="O242" s="78"/>
      <c r="P242" s="78"/>
      <c r="Q242" s="78"/>
      <c r="R242" s="78"/>
      <c r="S242" s="78"/>
      <c r="T242" s="78"/>
      <c r="U242" s="78"/>
      <c r="V242" s="78"/>
      <c r="W242" s="78"/>
      <c r="X242" s="78"/>
      <c r="Y242" s="78"/>
      <c r="Z242" s="78"/>
      <c r="AA242" s="78"/>
      <c r="AB242" s="78"/>
      <c r="AC242" s="78"/>
      <c r="AD242" s="78"/>
      <c r="AE242" s="78"/>
      <c r="AH242"/>
    </row>
    <row r="243" spans="8:34" s="23" customFormat="1" x14ac:dyDescent="0.25">
      <c r="H243" s="78"/>
      <c r="I243" s="78"/>
      <c r="J243" s="78"/>
      <c r="K243" s="78"/>
      <c r="L243" s="78"/>
      <c r="M243" s="78"/>
      <c r="N243" s="78"/>
      <c r="O243" s="78"/>
      <c r="P243" s="78"/>
      <c r="Q243" s="78"/>
      <c r="R243" s="78"/>
      <c r="S243" s="78"/>
      <c r="T243" s="78"/>
      <c r="U243" s="78"/>
      <c r="V243" s="78"/>
      <c r="W243" s="78"/>
      <c r="X243" s="78"/>
      <c r="Y243" s="78"/>
      <c r="Z243" s="78"/>
      <c r="AA243" s="78"/>
      <c r="AB243" s="78"/>
      <c r="AC243" s="78"/>
      <c r="AD243" s="78"/>
      <c r="AE243" s="78"/>
      <c r="AH243"/>
    </row>
    <row r="244" spans="8:34" s="23" customFormat="1" x14ac:dyDescent="0.25">
      <c r="H244" s="78"/>
      <c r="I244" s="78"/>
      <c r="J244" s="78"/>
      <c r="K244" s="78"/>
      <c r="L244" s="78"/>
      <c r="M244" s="78"/>
      <c r="N244" s="78"/>
      <c r="O244" s="78"/>
      <c r="P244" s="78"/>
      <c r="Q244" s="78"/>
      <c r="R244" s="78"/>
      <c r="S244" s="78"/>
      <c r="T244" s="78"/>
      <c r="U244" s="78"/>
      <c r="V244" s="78"/>
      <c r="W244" s="78"/>
      <c r="X244" s="78"/>
      <c r="Y244" s="78"/>
      <c r="Z244" s="78"/>
      <c r="AA244" s="78"/>
      <c r="AB244" s="78"/>
      <c r="AC244" s="78"/>
      <c r="AD244" s="78"/>
      <c r="AE244" s="78"/>
      <c r="AH244"/>
    </row>
    <row r="245" spans="8:34" s="23" customFormat="1" x14ac:dyDescent="0.25">
      <c r="H245" s="78"/>
      <c r="I245" s="78"/>
      <c r="J245" s="78"/>
      <c r="K245" s="78"/>
      <c r="L245" s="78"/>
      <c r="M245" s="78"/>
      <c r="N245" s="78"/>
      <c r="O245" s="78"/>
      <c r="P245" s="78"/>
      <c r="Q245" s="78"/>
      <c r="R245" s="78"/>
      <c r="S245" s="78"/>
      <c r="T245" s="78"/>
      <c r="U245" s="78"/>
      <c r="V245" s="78"/>
      <c r="W245" s="78"/>
      <c r="X245" s="78"/>
      <c r="Y245" s="78"/>
      <c r="Z245" s="78"/>
      <c r="AA245" s="78"/>
      <c r="AB245" s="78"/>
      <c r="AC245" s="78"/>
      <c r="AD245" s="78"/>
      <c r="AE245" s="78"/>
      <c r="AH245"/>
    </row>
    <row r="246" spans="8:34" s="23" customFormat="1" x14ac:dyDescent="0.25">
      <c r="H246" s="78"/>
      <c r="I246" s="78"/>
      <c r="J246" s="78"/>
      <c r="K246" s="78"/>
      <c r="L246" s="78"/>
      <c r="M246" s="78"/>
      <c r="N246" s="78"/>
      <c r="O246" s="78"/>
      <c r="P246" s="78"/>
      <c r="Q246" s="78"/>
      <c r="R246" s="78"/>
      <c r="S246" s="78"/>
      <c r="T246" s="78"/>
      <c r="U246" s="78"/>
      <c r="V246" s="78"/>
      <c r="W246" s="78"/>
      <c r="X246" s="78"/>
      <c r="Y246" s="78"/>
      <c r="Z246" s="78"/>
      <c r="AA246" s="78"/>
      <c r="AB246" s="78"/>
      <c r="AC246" s="78"/>
      <c r="AD246" s="78"/>
      <c r="AE246" s="78"/>
      <c r="AH246"/>
    </row>
    <row r="247" spans="8:34" s="23" customFormat="1" x14ac:dyDescent="0.25">
      <c r="H247" s="78"/>
      <c r="I247" s="78"/>
      <c r="J247" s="78"/>
      <c r="K247" s="78"/>
      <c r="L247" s="78"/>
      <c r="M247" s="78"/>
      <c r="N247" s="78"/>
      <c r="O247" s="78"/>
      <c r="P247" s="78"/>
      <c r="Q247" s="78"/>
      <c r="R247" s="78"/>
      <c r="S247" s="78"/>
      <c r="T247" s="78"/>
      <c r="U247" s="78"/>
      <c r="V247" s="78"/>
      <c r="W247" s="78"/>
      <c r="X247" s="78"/>
      <c r="Y247" s="78"/>
      <c r="Z247" s="78"/>
      <c r="AA247" s="78"/>
      <c r="AB247" s="78"/>
      <c r="AC247" s="78"/>
      <c r="AD247" s="78"/>
      <c r="AE247" s="78"/>
      <c r="AH247"/>
    </row>
    <row r="248" spans="8:34" s="23" customFormat="1" x14ac:dyDescent="0.25">
      <c r="H248" s="78"/>
      <c r="I248" s="78"/>
      <c r="J248" s="78"/>
      <c r="K248" s="78"/>
      <c r="L248" s="78"/>
      <c r="M248" s="78"/>
      <c r="N248" s="78"/>
      <c r="O248" s="78"/>
      <c r="P248" s="78"/>
      <c r="Q248" s="78"/>
      <c r="R248" s="78"/>
      <c r="S248" s="78"/>
      <c r="T248" s="78"/>
      <c r="U248" s="78"/>
      <c r="V248" s="78"/>
      <c r="W248" s="78"/>
      <c r="X248" s="78"/>
      <c r="Y248" s="78"/>
      <c r="Z248" s="78"/>
      <c r="AA248" s="78"/>
      <c r="AB248" s="78"/>
      <c r="AC248" s="78"/>
      <c r="AD248" s="78"/>
      <c r="AE248" s="78"/>
      <c r="AH248"/>
    </row>
    <row r="249" spans="8:34" s="23" customFormat="1" x14ac:dyDescent="0.25">
      <c r="H249" s="78"/>
      <c r="I249" s="78"/>
      <c r="J249" s="78"/>
      <c r="K249" s="78"/>
      <c r="L249" s="78"/>
      <c r="M249" s="78"/>
      <c r="N249" s="78"/>
      <c r="O249" s="78"/>
      <c r="P249" s="78"/>
      <c r="Q249" s="78"/>
      <c r="R249" s="78"/>
      <c r="S249" s="78"/>
      <c r="T249" s="78"/>
      <c r="U249" s="78"/>
      <c r="V249" s="78"/>
      <c r="W249" s="78"/>
      <c r="X249" s="78"/>
      <c r="Y249" s="78"/>
      <c r="Z249" s="78"/>
      <c r="AA249" s="78"/>
      <c r="AB249" s="78"/>
      <c r="AC249" s="78"/>
      <c r="AD249" s="78"/>
      <c r="AE249" s="78"/>
      <c r="AH249"/>
    </row>
    <row r="250" spans="8:34" s="23" customFormat="1" x14ac:dyDescent="0.25">
      <c r="H250" s="78"/>
      <c r="I250" s="78"/>
      <c r="J250" s="78"/>
      <c r="K250" s="78"/>
      <c r="L250" s="78"/>
      <c r="M250" s="78"/>
      <c r="N250" s="78"/>
      <c r="O250" s="78"/>
      <c r="P250" s="78"/>
      <c r="Q250" s="78"/>
      <c r="R250" s="78"/>
      <c r="S250" s="78"/>
      <c r="T250" s="78"/>
      <c r="U250" s="78"/>
      <c r="V250" s="78"/>
      <c r="W250" s="78"/>
      <c r="X250" s="78"/>
      <c r="Y250" s="78"/>
      <c r="Z250" s="78"/>
      <c r="AA250" s="78"/>
      <c r="AB250" s="78"/>
      <c r="AC250" s="78"/>
      <c r="AD250" s="78"/>
      <c r="AE250" s="78"/>
      <c r="AH250"/>
    </row>
    <row r="251" spans="8:34" s="23" customFormat="1" x14ac:dyDescent="0.25">
      <c r="H251" s="78"/>
      <c r="I251" s="78"/>
      <c r="J251" s="78"/>
      <c r="K251" s="78"/>
      <c r="L251" s="78"/>
      <c r="M251" s="78"/>
      <c r="N251" s="78"/>
      <c r="O251" s="78"/>
      <c r="P251" s="78"/>
      <c r="Q251" s="78"/>
      <c r="R251" s="78"/>
      <c r="S251" s="78"/>
      <c r="T251" s="78"/>
      <c r="U251" s="78"/>
      <c r="V251" s="78"/>
      <c r="W251" s="78"/>
      <c r="X251" s="78"/>
      <c r="Y251" s="78"/>
      <c r="Z251" s="78"/>
      <c r="AA251" s="78"/>
      <c r="AB251" s="78"/>
      <c r="AC251" s="78"/>
      <c r="AD251" s="78"/>
      <c r="AE251" s="78"/>
      <c r="AH251"/>
    </row>
    <row r="252" spans="8:34" s="23" customFormat="1" x14ac:dyDescent="0.25">
      <c r="H252" s="78"/>
      <c r="I252" s="78"/>
      <c r="J252" s="78"/>
      <c r="K252" s="78"/>
      <c r="L252" s="78"/>
      <c r="M252" s="78"/>
      <c r="N252" s="78"/>
      <c r="O252" s="78"/>
      <c r="P252" s="78"/>
      <c r="Q252" s="78"/>
      <c r="R252" s="78"/>
      <c r="S252" s="78"/>
      <c r="T252" s="78"/>
      <c r="U252" s="78"/>
      <c r="V252" s="78"/>
      <c r="W252" s="78"/>
      <c r="X252" s="78"/>
      <c r="Y252" s="78"/>
      <c r="Z252" s="78"/>
      <c r="AA252" s="78"/>
      <c r="AB252" s="78"/>
      <c r="AC252" s="78"/>
      <c r="AD252" s="78"/>
      <c r="AE252" s="78"/>
      <c r="AH252"/>
    </row>
    <row r="253" spans="8:34" s="23" customFormat="1" x14ac:dyDescent="0.25">
      <c r="H253" s="78"/>
      <c r="I253" s="78"/>
      <c r="J253" s="78"/>
      <c r="K253" s="78"/>
      <c r="L253" s="78"/>
      <c r="M253" s="78"/>
      <c r="N253" s="78"/>
      <c r="O253" s="78"/>
      <c r="P253" s="78"/>
      <c r="Q253" s="78"/>
      <c r="R253" s="78"/>
      <c r="S253" s="78"/>
      <c r="T253" s="78"/>
      <c r="U253" s="78"/>
      <c r="V253" s="78"/>
      <c r="W253" s="78"/>
      <c r="X253" s="78"/>
      <c r="Y253" s="78"/>
      <c r="Z253" s="78"/>
      <c r="AA253" s="78"/>
      <c r="AB253" s="78"/>
      <c r="AC253" s="78"/>
      <c r="AD253" s="78"/>
      <c r="AE253" s="78"/>
      <c r="AH253"/>
    </row>
    <row r="254" spans="8:34" s="23" customFormat="1" x14ac:dyDescent="0.25">
      <c r="H254" s="78"/>
      <c r="I254" s="78"/>
      <c r="J254" s="78"/>
      <c r="K254" s="78"/>
      <c r="L254" s="78"/>
      <c r="M254" s="78"/>
      <c r="N254" s="78"/>
      <c r="O254" s="78"/>
      <c r="P254" s="78"/>
      <c r="Q254" s="78"/>
      <c r="R254" s="78"/>
      <c r="S254" s="78"/>
      <c r="T254" s="78"/>
      <c r="U254" s="78"/>
      <c r="V254" s="78"/>
      <c r="W254" s="78"/>
      <c r="X254" s="78"/>
      <c r="Y254" s="78"/>
      <c r="Z254" s="78"/>
      <c r="AA254" s="78"/>
      <c r="AB254" s="78"/>
      <c r="AC254" s="78"/>
      <c r="AD254" s="78"/>
      <c r="AE254" s="78"/>
      <c r="AH254"/>
    </row>
    <row r="255" spans="8:34" s="23" customFormat="1" x14ac:dyDescent="0.25">
      <c r="H255" s="78"/>
      <c r="I255" s="78"/>
      <c r="J255" s="78"/>
      <c r="K255" s="78"/>
      <c r="L255" s="78"/>
      <c r="M255" s="78"/>
      <c r="N255" s="78"/>
      <c r="O255" s="78"/>
      <c r="P255" s="78"/>
      <c r="Q255" s="78"/>
      <c r="R255" s="78"/>
      <c r="S255" s="78"/>
      <c r="T255" s="78"/>
      <c r="U255" s="78"/>
      <c r="V255" s="78"/>
      <c r="W255" s="78"/>
      <c r="X255" s="78"/>
      <c r="Y255" s="78"/>
      <c r="Z255" s="78"/>
      <c r="AA255" s="78"/>
      <c r="AB255" s="78"/>
      <c r="AC255" s="78"/>
      <c r="AD255" s="78"/>
      <c r="AE255" s="78"/>
      <c r="AH255"/>
    </row>
    <row r="256" spans="8:34" s="23" customFormat="1" x14ac:dyDescent="0.25">
      <c r="H256" s="78"/>
      <c r="I256" s="78"/>
      <c r="J256" s="78"/>
      <c r="K256" s="78"/>
      <c r="L256" s="78"/>
      <c r="M256" s="78"/>
      <c r="N256" s="78"/>
      <c r="O256" s="78"/>
      <c r="P256" s="78"/>
      <c r="Q256" s="78"/>
      <c r="R256" s="78"/>
      <c r="S256" s="78"/>
      <c r="T256" s="78"/>
      <c r="U256" s="78"/>
      <c r="V256" s="78"/>
      <c r="W256" s="78"/>
      <c r="X256" s="78"/>
      <c r="Y256" s="78"/>
      <c r="Z256" s="78"/>
      <c r="AA256" s="78"/>
      <c r="AB256" s="78"/>
      <c r="AC256" s="78"/>
      <c r="AD256" s="78"/>
      <c r="AE256" s="78"/>
      <c r="AH256"/>
    </row>
    <row r="257" spans="8:34" s="23" customFormat="1" x14ac:dyDescent="0.25">
      <c r="H257" s="78"/>
      <c r="I257" s="78"/>
      <c r="J257" s="78"/>
      <c r="K257" s="78"/>
      <c r="L257" s="78"/>
      <c r="M257" s="78"/>
      <c r="N257" s="78"/>
      <c r="O257" s="78"/>
      <c r="P257" s="78"/>
      <c r="Q257" s="78"/>
      <c r="R257" s="78"/>
      <c r="S257" s="78"/>
      <c r="T257" s="78"/>
      <c r="U257" s="78"/>
      <c r="V257" s="78"/>
      <c r="W257" s="78"/>
      <c r="X257" s="78"/>
      <c r="Y257" s="78"/>
      <c r="Z257" s="78"/>
      <c r="AA257" s="78"/>
      <c r="AB257" s="78"/>
      <c r="AC257" s="78"/>
      <c r="AD257" s="78"/>
      <c r="AE257" s="78"/>
      <c r="AH257"/>
    </row>
    <row r="258" spans="8:34" s="23" customFormat="1" x14ac:dyDescent="0.25">
      <c r="H258" s="78"/>
      <c r="I258" s="78"/>
      <c r="J258" s="78"/>
      <c r="K258" s="78"/>
      <c r="L258" s="78"/>
      <c r="M258" s="78"/>
      <c r="N258" s="78"/>
      <c r="O258" s="78"/>
      <c r="P258" s="78"/>
      <c r="Q258" s="78"/>
      <c r="R258" s="78"/>
      <c r="S258" s="78"/>
      <c r="T258" s="78"/>
      <c r="U258" s="78"/>
      <c r="V258" s="78"/>
      <c r="W258" s="78"/>
      <c r="X258" s="78"/>
      <c r="Y258" s="78"/>
      <c r="Z258" s="78"/>
      <c r="AA258" s="78"/>
      <c r="AB258" s="78"/>
      <c r="AC258" s="78"/>
      <c r="AD258" s="78"/>
      <c r="AE258" s="78"/>
      <c r="AH258"/>
    </row>
    <row r="259" spans="8:34" s="23" customFormat="1" x14ac:dyDescent="0.25">
      <c r="H259" s="78"/>
      <c r="I259" s="78"/>
      <c r="J259" s="78"/>
      <c r="K259" s="78"/>
      <c r="L259" s="78"/>
      <c r="M259" s="78"/>
      <c r="N259" s="78"/>
      <c r="O259" s="78"/>
      <c r="P259" s="78"/>
      <c r="Q259" s="78"/>
      <c r="R259" s="78"/>
      <c r="S259" s="78"/>
      <c r="T259" s="78"/>
      <c r="U259" s="78"/>
      <c r="V259" s="78"/>
      <c r="W259" s="78"/>
      <c r="X259" s="78"/>
      <c r="Y259" s="78"/>
      <c r="Z259" s="78"/>
      <c r="AA259" s="78"/>
      <c r="AB259" s="78"/>
      <c r="AC259" s="78"/>
      <c r="AD259" s="78"/>
      <c r="AE259" s="78"/>
      <c r="AH259"/>
    </row>
    <row r="260" spans="8:34" s="23" customFormat="1" x14ac:dyDescent="0.25">
      <c r="H260" s="78"/>
      <c r="I260" s="78"/>
      <c r="J260" s="78"/>
      <c r="K260" s="78"/>
      <c r="L260" s="78"/>
      <c r="M260" s="78"/>
      <c r="N260" s="78"/>
      <c r="O260" s="78"/>
      <c r="P260" s="78"/>
      <c r="Q260" s="78"/>
      <c r="R260" s="78"/>
      <c r="S260" s="78"/>
      <c r="T260" s="78"/>
      <c r="U260" s="78"/>
      <c r="V260" s="78"/>
      <c r="W260" s="78"/>
      <c r="X260" s="78"/>
      <c r="Y260" s="78"/>
      <c r="Z260" s="78"/>
      <c r="AA260" s="78"/>
      <c r="AB260" s="78"/>
      <c r="AC260" s="78"/>
      <c r="AD260" s="78"/>
      <c r="AE260" s="78"/>
      <c r="AH260"/>
    </row>
    <row r="261" spans="8:34" s="23" customFormat="1" x14ac:dyDescent="0.25">
      <c r="H261" s="78"/>
      <c r="I261" s="78"/>
      <c r="J261" s="78"/>
      <c r="K261" s="78"/>
      <c r="L261" s="78"/>
      <c r="M261" s="78"/>
      <c r="N261" s="78"/>
      <c r="O261" s="78"/>
      <c r="P261" s="78"/>
      <c r="Q261" s="78"/>
      <c r="R261" s="78"/>
      <c r="S261" s="78"/>
      <c r="T261" s="78"/>
      <c r="U261" s="78"/>
      <c r="V261" s="78"/>
      <c r="W261" s="78"/>
      <c r="X261" s="78"/>
      <c r="Y261" s="78"/>
      <c r="Z261" s="78"/>
      <c r="AA261" s="78"/>
      <c r="AB261" s="78"/>
      <c r="AC261" s="78"/>
      <c r="AD261" s="78"/>
      <c r="AE261" s="78"/>
      <c r="AH261"/>
    </row>
    <row r="262" spans="8:34" s="23" customFormat="1" x14ac:dyDescent="0.25">
      <c r="H262" s="78"/>
      <c r="I262" s="78"/>
      <c r="J262" s="78"/>
      <c r="K262" s="78"/>
      <c r="L262" s="78"/>
      <c r="M262" s="78"/>
      <c r="N262" s="78"/>
      <c r="O262" s="78"/>
      <c r="P262" s="78"/>
      <c r="Q262" s="78"/>
      <c r="R262" s="78"/>
      <c r="S262" s="78"/>
      <c r="T262" s="78"/>
      <c r="U262" s="78"/>
      <c r="V262" s="78"/>
      <c r="W262" s="78"/>
      <c r="X262" s="78"/>
      <c r="Y262" s="78"/>
      <c r="Z262" s="78"/>
      <c r="AA262" s="78"/>
      <c r="AB262" s="78"/>
      <c r="AC262" s="78"/>
      <c r="AD262" s="78"/>
      <c r="AE262" s="78"/>
      <c r="AH262"/>
    </row>
    <row r="263" spans="8:34" s="23" customFormat="1" x14ac:dyDescent="0.25">
      <c r="H263" s="78"/>
      <c r="I263" s="78"/>
      <c r="J263" s="78"/>
      <c r="K263" s="78"/>
      <c r="L263" s="78"/>
      <c r="M263" s="78"/>
      <c r="N263" s="78"/>
      <c r="O263" s="78"/>
      <c r="P263" s="78"/>
      <c r="Q263" s="78"/>
      <c r="R263" s="78"/>
      <c r="S263" s="78"/>
      <c r="T263" s="78"/>
      <c r="U263" s="78"/>
      <c r="V263" s="78"/>
      <c r="W263" s="78"/>
      <c r="X263" s="78"/>
      <c r="Y263" s="78"/>
      <c r="Z263" s="78"/>
      <c r="AA263" s="78"/>
      <c r="AB263" s="78"/>
      <c r="AC263" s="78"/>
      <c r="AD263" s="78"/>
      <c r="AE263" s="78"/>
      <c r="AH263"/>
    </row>
    <row r="264" spans="8:34" s="23" customFormat="1" x14ac:dyDescent="0.25">
      <c r="H264" s="78"/>
      <c r="I264" s="78"/>
      <c r="J264" s="78"/>
      <c r="K264" s="78"/>
      <c r="L264" s="78"/>
      <c r="M264" s="78"/>
      <c r="N264" s="78"/>
      <c r="O264" s="78"/>
      <c r="P264" s="78"/>
      <c r="Q264" s="78"/>
      <c r="R264" s="78"/>
      <c r="S264" s="78"/>
      <c r="T264" s="78"/>
      <c r="U264" s="78"/>
      <c r="V264" s="78"/>
      <c r="W264" s="78"/>
      <c r="X264" s="78"/>
      <c r="Y264" s="78"/>
      <c r="Z264" s="78"/>
      <c r="AA264" s="78"/>
      <c r="AB264" s="78"/>
      <c r="AC264" s="78"/>
      <c r="AD264" s="78"/>
      <c r="AE264" s="78"/>
      <c r="AH264"/>
    </row>
    <row r="265" spans="8:34" s="23" customFormat="1" x14ac:dyDescent="0.25">
      <c r="H265" s="78"/>
      <c r="I265" s="78"/>
      <c r="J265" s="78"/>
      <c r="K265" s="78"/>
      <c r="L265" s="78"/>
      <c r="M265" s="78"/>
      <c r="N265" s="78"/>
      <c r="O265" s="78"/>
      <c r="P265" s="78"/>
      <c r="Q265" s="78"/>
      <c r="R265" s="78"/>
      <c r="S265" s="78"/>
      <c r="T265" s="78"/>
      <c r="U265" s="78"/>
      <c r="V265" s="78"/>
      <c r="W265" s="78"/>
      <c r="X265" s="78"/>
      <c r="Y265" s="78"/>
      <c r="Z265" s="78"/>
      <c r="AA265" s="78"/>
      <c r="AB265" s="78"/>
      <c r="AC265" s="78"/>
      <c r="AD265" s="78"/>
      <c r="AE265" s="78"/>
      <c r="AH265"/>
    </row>
    <row r="266" spans="8:34" s="23" customFormat="1" x14ac:dyDescent="0.25">
      <c r="H266" s="78"/>
      <c r="I266" s="78"/>
      <c r="J266" s="78"/>
      <c r="K266" s="78"/>
      <c r="L266" s="78"/>
      <c r="M266" s="78"/>
      <c r="N266" s="78"/>
      <c r="O266" s="78"/>
      <c r="P266" s="78"/>
      <c r="Q266" s="78"/>
      <c r="R266" s="78"/>
      <c r="S266" s="78"/>
      <c r="T266" s="78"/>
      <c r="U266" s="78"/>
      <c r="V266" s="78"/>
      <c r="W266" s="78"/>
      <c r="X266" s="78"/>
      <c r="Y266" s="78"/>
      <c r="Z266" s="78"/>
      <c r="AA266" s="78"/>
      <c r="AB266" s="78"/>
      <c r="AC266" s="78"/>
      <c r="AD266" s="78"/>
      <c r="AE266" s="78"/>
      <c r="AH266"/>
    </row>
    <row r="267" spans="8:34" s="23" customFormat="1" x14ac:dyDescent="0.25">
      <c r="H267" s="78"/>
      <c r="I267" s="78"/>
      <c r="J267" s="78"/>
      <c r="K267" s="78"/>
      <c r="L267" s="78"/>
      <c r="M267" s="78"/>
      <c r="N267" s="78"/>
      <c r="O267" s="78"/>
      <c r="P267" s="78"/>
      <c r="Q267" s="78"/>
      <c r="R267" s="78"/>
      <c r="S267" s="78"/>
      <c r="T267" s="78"/>
      <c r="U267" s="78"/>
      <c r="V267" s="78"/>
      <c r="W267" s="78"/>
      <c r="X267" s="78"/>
      <c r="Y267" s="78"/>
      <c r="Z267" s="78"/>
      <c r="AA267" s="78"/>
      <c r="AB267" s="78"/>
      <c r="AC267" s="78"/>
      <c r="AD267" s="78"/>
      <c r="AE267" s="78"/>
      <c r="AH267"/>
    </row>
    <row r="268" spans="8:34" s="23" customFormat="1" x14ac:dyDescent="0.25">
      <c r="H268" s="78"/>
      <c r="I268" s="78"/>
      <c r="J268" s="78"/>
      <c r="K268" s="78"/>
      <c r="L268" s="78"/>
      <c r="M268" s="78"/>
      <c r="N268" s="78"/>
      <c r="O268" s="78"/>
      <c r="P268" s="78"/>
      <c r="Q268" s="78"/>
      <c r="R268" s="78"/>
      <c r="S268" s="78"/>
      <c r="T268" s="78"/>
      <c r="U268" s="78"/>
      <c r="V268" s="78"/>
      <c r="W268" s="78"/>
      <c r="X268" s="78"/>
      <c r="Y268" s="78"/>
      <c r="Z268" s="78"/>
      <c r="AA268" s="78"/>
      <c r="AB268" s="78"/>
      <c r="AC268" s="78"/>
      <c r="AD268" s="78"/>
      <c r="AE268" s="78"/>
      <c r="AH268"/>
    </row>
    <row r="269" spans="8:34" s="23" customFormat="1" x14ac:dyDescent="0.25">
      <c r="H269" s="78"/>
      <c r="I269" s="78"/>
      <c r="J269" s="78"/>
      <c r="K269" s="78"/>
      <c r="L269" s="78"/>
      <c r="M269" s="78"/>
      <c r="N269" s="78"/>
      <c r="O269" s="78"/>
      <c r="P269" s="78"/>
      <c r="Q269" s="78"/>
      <c r="R269" s="78"/>
      <c r="S269" s="78"/>
      <c r="T269" s="78"/>
      <c r="U269" s="78"/>
      <c r="V269" s="78"/>
      <c r="W269" s="78"/>
      <c r="X269" s="78"/>
      <c r="Y269" s="78"/>
      <c r="Z269" s="78"/>
      <c r="AA269" s="78"/>
      <c r="AB269" s="78"/>
      <c r="AC269" s="78"/>
      <c r="AD269" s="78"/>
      <c r="AE269" s="78"/>
      <c r="AH269"/>
    </row>
    <row r="270" spans="8:34" s="23" customFormat="1" x14ac:dyDescent="0.25">
      <c r="H270" s="78"/>
      <c r="I270" s="78"/>
      <c r="J270" s="78"/>
      <c r="K270" s="78"/>
      <c r="L270" s="78"/>
      <c r="M270" s="78"/>
      <c r="N270" s="78"/>
      <c r="O270" s="78"/>
      <c r="P270" s="78"/>
      <c r="Q270" s="78"/>
      <c r="R270" s="78"/>
      <c r="S270" s="78"/>
      <c r="T270" s="78"/>
      <c r="U270" s="78"/>
      <c r="V270" s="78"/>
      <c r="W270" s="78"/>
      <c r="X270" s="78"/>
      <c r="Y270" s="78"/>
      <c r="Z270" s="78"/>
      <c r="AA270" s="78"/>
      <c r="AB270" s="78"/>
      <c r="AC270" s="78"/>
      <c r="AD270" s="78"/>
      <c r="AE270" s="78"/>
      <c r="AH270"/>
    </row>
    <row r="271" spans="8:34" s="23" customFormat="1" x14ac:dyDescent="0.25">
      <c r="H271" s="78"/>
      <c r="I271" s="78"/>
      <c r="J271" s="78"/>
      <c r="K271" s="78"/>
      <c r="L271" s="78"/>
      <c r="M271" s="78"/>
      <c r="N271" s="78"/>
      <c r="O271" s="78"/>
      <c r="P271" s="78"/>
      <c r="Q271" s="78"/>
      <c r="R271" s="78"/>
      <c r="S271" s="78"/>
      <c r="T271" s="78"/>
      <c r="U271" s="78"/>
      <c r="V271" s="78"/>
      <c r="W271" s="78"/>
      <c r="X271" s="78"/>
      <c r="Y271" s="78"/>
      <c r="Z271" s="78"/>
      <c r="AA271" s="78"/>
      <c r="AB271" s="78"/>
      <c r="AC271" s="78"/>
      <c r="AD271" s="78"/>
      <c r="AE271" s="78"/>
      <c r="AH271"/>
    </row>
    <row r="272" spans="8:34" s="23" customFormat="1" x14ac:dyDescent="0.25">
      <c r="H272" s="78"/>
      <c r="I272" s="78"/>
      <c r="J272" s="78"/>
      <c r="K272" s="78"/>
      <c r="L272" s="78"/>
      <c r="M272" s="78"/>
      <c r="N272" s="78"/>
      <c r="O272" s="78"/>
      <c r="P272" s="78"/>
      <c r="Q272" s="78"/>
      <c r="R272" s="78"/>
      <c r="S272" s="78"/>
      <c r="T272" s="78"/>
      <c r="U272" s="78"/>
      <c r="V272" s="78"/>
      <c r="W272" s="78"/>
      <c r="X272" s="78"/>
      <c r="Y272" s="78"/>
      <c r="Z272" s="78"/>
      <c r="AA272" s="78"/>
      <c r="AB272" s="78"/>
      <c r="AC272" s="78"/>
      <c r="AD272" s="78"/>
      <c r="AE272" s="78"/>
      <c r="AH272"/>
    </row>
    <row r="273" spans="8:34" s="23" customFormat="1" x14ac:dyDescent="0.25">
      <c r="H273" s="78"/>
      <c r="I273" s="78"/>
      <c r="J273" s="78"/>
      <c r="K273" s="78"/>
      <c r="L273" s="78"/>
      <c r="M273" s="78"/>
      <c r="N273" s="78"/>
      <c r="O273" s="78"/>
      <c r="P273" s="78"/>
      <c r="Q273" s="78"/>
      <c r="R273" s="78"/>
      <c r="S273" s="78"/>
      <c r="T273" s="78"/>
      <c r="U273" s="78"/>
      <c r="V273" s="78"/>
      <c r="W273" s="78"/>
      <c r="X273" s="78"/>
      <c r="Y273" s="78"/>
      <c r="Z273" s="78"/>
      <c r="AA273" s="78"/>
      <c r="AB273" s="78"/>
      <c r="AC273" s="78"/>
      <c r="AD273" s="78"/>
      <c r="AE273" s="78"/>
      <c r="AH273"/>
    </row>
    <row r="274" spans="8:34" s="23" customFormat="1" x14ac:dyDescent="0.25">
      <c r="H274" s="78"/>
      <c r="I274" s="78"/>
      <c r="J274" s="78"/>
      <c r="K274" s="78"/>
      <c r="L274" s="78"/>
      <c r="M274" s="78"/>
      <c r="N274" s="78"/>
      <c r="O274" s="78"/>
      <c r="P274" s="78"/>
      <c r="Q274" s="78"/>
      <c r="R274" s="78"/>
      <c r="S274" s="78"/>
      <c r="T274" s="78"/>
      <c r="U274" s="78"/>
      <c r="V274" s="78"/>
      <c r="W274" s="78"/>
      <c r="X274" s="78"/>
      <c r="Y274" s="78"/>
      <c r="Z274" s="78"/>
      <c r="AA274" s="78"/>
      <c r="AB274" s="78"/>
      <c r="AC274" s="78"/>
      <c r="AD274" s="78"/>
      <c r="AE274" s="78"/>
      <c r="AH274"/>
    </row>
    <row r="275" spans="8:34" s="23" customFormat="1" x14ac:dyDescent="0.25">
      <c r="H275" s="78"/>
      <c r="I275" s="78"/>
      <c r="J275" s="78"/>
      <c r="K275" s="78"/>
      <c r="L275" s="78"/>
      <c r="M275" s="78"/>
      <c r="N275" s="78"/>
      <c r="O275" s="78"/>
      <c r="P275" s="78"/>
      <c r="Q275" s="78"/>
      <c r="R275" s="78"/>
      <c r="S275" s="78"/>
      <c r="T275" s="78"/>
      <c r="U275" s="78"/>
      <c r="V275" s="78"/>
      <c r="W275" s="78"/>
      <c r="X275" s="78"/>
      <c r="Y275" s="78"/>
      <c r="Z275" s="78"/>
      <c r="AA275" s="78"/>
      <c r="AB275" s="78"/>
      <c r="AC275" s="78"/>
      <c r="AD275" s="78"/>
      <c r="AE275" s="78"/>
      <c r="AH275"/>
    </row>
    <row r="276" spans="8:34" s="23" customFormat="1" x14ac:dyDescent="0.25">
      <c r="H276" s="78"/>
      <c r="I276" s="78"/>
      <c r="J276" s="78"/>
      <c r="K276" s="78"/>
      <c r="L276" s="78"/>
      <c r="M276" s="78"/>
      <c r="N276" s="78"/>
      <c r="O276" s="78"/>
      <c r="P276" s="78"/>
      <c r="Q276" s="78"/>
      <c r="R276" s="78"/>
      <c r="S276" s="78"/>
      <c r="T276" s="78"/>
      <c r="U276" s="78"/>
      <c r="V276" s="78"/>
      <c r="W276" s="78"/>
      <c r="X276" s="78"/>
      <c r="Y276" s="78"/>
      <c r="Z276" s="78"/>
      <c r="AA276" s="78"/>
      <c r="AB276" s="78"/>
      <c r="AC276" s="78"/>
      <c r="AD276" s="78"/>
      <c r="AE276" s="78"/>
      <c r="AH276"/>
    </row>
    <row r="277" spans="8:34" s="23" customFormat="1" x14ac:dyDescent="0.25">
      <c r="H277" s="78"/>
      <c r="I277" s="78"/>
      <c r="J277" s="78"/>
      <c r="K277" s="78"/>
      <c r="L277" s="78"/>
      <c r="M277" s="78"/>
      <c r="N277" s="78"/>
      <c r="O277" s="78"/>
      <c r="P277" s="78"/>
      <c r="Q277" s="78"/>
      <c r="R277" s="78"/>
      <c r="S277" s="78"/>
      <c r="T277" s="78"/>
      <c r="U277" s="78"/>
      <c r="V277" s="78"/>
      <c r="W277" s="78"/>
      <c r="X277" s="78"/>
      <c r="Y277" s="78"/>
      <c r="Z277" s="78"/>
      <c r="AA277" s="78"/>
      <c r="AB277" s="78"/>
      <c r="AC277" s="78"/>
      <c r="AD277" s="78"/>
      <c r="AE277" s="78"/>
      <c r="AH277"/>
    </row>
    <row r="278" spans="8:34" s="23" customFormat="1" x14ac:dyDescent="0.25">
      <c r="H278" s="78"/>
      <c r="I278" s="78"/>
      <c r="J278" s="78"/>
      <c r="K278" s="78"/>
      <c r="L278" s="78"/>
      <c r="M278" s="78"/>
      <c r="N278" s="78"/>
      <c r="O278" s="78"/>
      <c r="P278" s="78"/>
      <c r="Q278" s="78"/>
      <c r="R278" s="78"/>
      <c r="S278" s="78"/>
      <c r="T278" s="78"/>
      <c r="U278" s="78"/>
      <c r="V278" s="78"/>
      <c r="W278" s="78"/>
      <c r="X278" s="78"/>
      <c r="Y278" s="78"/>
      <c r="Z278" s="78"/>
      <c r="AA278" s="78"/>
      <c r="AB278" s="78"/>
      <c r="AC278" s="78"/>
      <c r="AD278" s="78"/>
      <c r="AE278" s="78"/>
      <c r="AH278"/>
    </row>
    <row r="279" spans="8:34" s="23" customFormat="1" x14ac:dyDescent="0.25">
      <c r="H279" s="78"/>
      <c r="I279" s="78"/>
      <c r="J279" s="78"/>
      <c r="K279" s="78"/>
      <c r="L279" s="78"/>
      <c r="M279" s="78"/>
      <c r="N279" s="78"/>
      <c r="O279" s="78"/>
      <c r="P279" s="78"/>
      <c r="Q279" s="78"/>
      <c r="R279" s="78"/>
      <c r="S279" s="78"/>
      <c r="T279" s="78"/>
      <c r="U279" s="78"/>
      <c r="V279" s="78"/>
      <c r="W279" s="78"/>
      <c r="X279" s="78"/>
      <c r="Y279" s="78"/>
      <c r="Z279" s="78"/>
      <c r="AA279" s="78"/>
      <c r="AB279" s="78"/>
      <c r="AC279" s="78"/>
      <c r="AD279" s="78"/>
      <c r="AE279" s="78"/>
      <c r="AH279"/>
    </row>
    <row r="280" spans="8:34" s="23" customFormat="1" x14ac:dyDescent="0.25">
      <c r="H280" s="78"/>
      <c r="I280" s="78"/>
      <c r="J280" s="78"/>
      <c r="K280" s="78"/>
      <c r="L280" s="78"/>
      <c r="M280" s="78"/>
      <c r="N280" s="78"/>
      <c r="O280" s="78"/>
      <c r="P280" s="78"/>
      <c r="Q280" s="78"/>
      <c r="R280" s="78"/>
      <c r="S280" s="78"/>
      <c r="T280" s="78"/>
      <c r="U280" s="78"/>
      <c r="V280" s="78"/>
      <c r="W280" s="78"/>
      <c r="X280" s="78"/>
      <c r="Y280" s="78"/>
      <c r="Z280" s="78"/>
      <c r="AA280" s="78"/>
      <c r="AB280" s="78"/>
      <c r="AC280" s="78"/>
      <c r="AD280" s="78"/>
      <c r="AE280" s="78"/>
      <c r="AH280"/>
    </row>
    <row r="281" spans="8:34" s="23" customFormat="1" x14ac:dyDescent="0.25">
      <c r="H281" s="78"/>
      <c r="I281" s="78"/>
      <c r="J281" s="78"/>
      <c r="K281" s="78"/>
      <c r="L281" s="78"/>
      <c r="M281" s="78"/>
      <c r="N281" s="78"/>
      <c r="O281" s="78"/>
      <c r="P281" s="78"/>
      <c r="Q281" s="78"/>
      <c r="R281" s="78"/>
      <c r="S281" s="78"/>
      <c r="T281" s="78"/>
      <c r="U281" s="78"/>
      <c r="V281" s="78"/>
      <c r="W281" s="78"/>
      <c r="X281" s="78"/>
      <c r="Y281" s="78"/>
      <c r="Z281" s="78"/>
      <c r="AA281" s="78"/>
      <c r="AB281" s="78"/>
      <c r="AC281" s="78"/>
      <c r="AD281" s="78"/>
      <c r="AE281" s="78"/>
      <c r="AH281"/>
    </row>
    <row r="282" spans="8:34" s="23" customFormat="1" x14ac:dyDescent="0.25">
      <c r="H282" s="78"/>
      <c r="I282" s="78"/>
      <c r="J282" s="78"/>
      <c r="K282" s="78"/>
      <c r="L282" s="78"/>
      <c r="M282" s="78"/>
      <c r="N282" s="78"/>
      <c r="O282" s="78"/>
      <c r="P282" s="78"/>
      <c r="Q282" s="78"/>
      <c r="R282" s="78"/>
      <c r="S282" s="78"/>
      <c r="T282" s="78"/>
      <c r="U282" s="78"/>
      <c r="V282" s="78"/>
      <c r="W282" s="78"/>
      <c r="X282" s="78"/>
      <c r="Y282" s="78"/>
      <c r="Z282" s="78"/>
      <c r="AA282" s="78"/>
      <c r="AB282" s="78"/>
      <c r="AC282" s="78"/>
      <c r="AD282" s="78"/>
      <c r="AE282" s="78"/>
      <c r="AH282"/>
    </row>
    <row r="283" spans="8:34" s="23" customFormat="1" x14ac:dyDescent="0.25">
      <c r="H283" s="78"/>
      <c r="I283" s="78"/>
      <c r="J283" s="78"/>
      <c r="K283" s="78"/>
      <c r="L283" s="78"/>
      <c r="M283" s="78"/>
      <c r="N283" s="78"/>
      <c r="O283" s="78"/>
      <c r="P283" s="78"/>
      <c r="Q283" s="78"/>
      <c r="R283" s="78"/>
      <c r="S283" s="78"/>
      <c r="T283" s="78"/>
      <c r="U283" s="78"/>
      <c r="V283" s="78"/>
      <c r="W283" s="78"/>
      <c r="X283" s="78"/>
      <c r="Y283" s="78"/>
      <c r="Z283" s="78"/>
      <c r="AA283" s="78"/>
      <c r="AB283" s="78"/>
      <c r="AC283" s="78"/>
      <c r="AD283" s="78"/>
      <c r="AE283" s="78"/>
      <c r="AH283"/>
    </row>
    <row r="284" spans="8:34" s="23" customFormat="1" x14ac:dyDescent="0.25">
      <c r="H284" s="78"/>
      <c r="I284" s="78"/>
      <c r="J284" s="78"/>
      <c r="K284" s="78"/>
      <c r="L284" s="78"/>
      <c r="M284" s="78"/>
      <c r="N284" s="78"/>
      <c r="O284" s="78"/>
      <c r="P284" s="78"/>
      <c r="Q284" s="78"/>
      <c r="R284" s="78"/>
      <c r="S284" s="78"/>
      <c r="T284" s="78"/>
      <c r="U284" s="78"/>
      <c r="V284" s="78"/>
      <c r="W284" s="78"/>
      <c r="X284" s="78"/>
      <c r="Y284" s="78"/>
      <c r="Z284" s="78"/>
      <c r="AA284" s="78"/>
      <c r="AB284" s="78"/>
      <c r="AC284" s="78"/>
      <c r="AD284" s="78"/>
      <c r="AE284" s="78"/>
      <c r="AH284"/>
    </row>
    <row r="285" spans="8:34" s="23" customFormat="1" x14ac:dyDescent="0.25">
      <c r="H285" s="78"/>
      <c r="I285" s="78"/>
      <c r="J285" s="78"/>
      <c r="K285" s="78"/>
      <c r="L285" s="78"/>
      <c r="M285" s="78"/>
      <c r="N285" s="78"/>
      <c r="O285" s="78"/>
      <c r="P285" s="78"/>
      <c r="Q285" s="78"/>
      <c r="R285" s="78"/>
      <c r="S285" s="78"/>
      <c r="T285" s="78"/>
      <c r="U285" s="78"/>
      <c r="V285" s="78"/>
      <c r="W285" s="78"/>
      <c r="X285" s="78"/>
      <c r="Y285" s="78"/>
      <c r="Z285" s="78"/>
      <c r="AA285" s="78"/>
      <c r="AB285" s="78"/>
      <c r="AC285" s="78"/>
      <c r="AD285" s="78"/>
      <c r="AE285" s="78"/>
      <c r="AH285"/>
    </row>
    <row r="286" spans="8:34" s="23" customFormat="1" x14ac:dyDescent="0.25">
      <c r="H286" s="78"/>
      <c r="I286" s="78"/>
      <c r="J286" s="78"/>
      <c r="K286" s="78"/>
      <c r="L286" s="78"/>
      <c r="M286" s="78"/>
      <c r="N286" s="78"/>
      <c r="O286" s="78"/>
      <c r="P286" s="78"/>
      <c r="Q286" s="78"/>
      <c r="R286" s="78"/>
      <c r="S286" s="78"/>
      <c r="T286" s="78"/>
      <c r="U286" s="78"/>
      <c r="V286" s="78"/>
      <c r="W286" s="78"/>
      <c r="X286" s="78"/>
      <c r="Y286" s="78"/>
      <c r="Z286" s="78"/>
      <c r="AA286" s="78"/>
      <c r="AB286" s="78"/>
      <c r="AC286" s="78"/>
      <c r="AD286" s="78"/>
      <c r="AE286" s="78"/>
      <c r="AH286"/>
    </row>
    <row r="287" spans="8:34" s="23" customFormat="1" x14ac:dyDescent="0.25">
      <c r="H287" s="78"/>
      <c r="I287" s="78"/>
      <c r="J287" s="78"/>
      <c r="K287" s="78"/>
      <c r="L287" s="78"/>
      <c r="M287" s="78"/>
      <c r="N287" s="78"/>
      <c r="O287" s="78"/>
      <c r="P287" s="78"/>
      <c r="Q287" s="78"/>
      <c r="R287" s="78"/>
      <c r="S287" s="78"/>
      <c r="T287" s="78"/>
      <c r="U287" s="78"/>
      <c r="V287" s="78"/>
      <c r="W287" s="78"/>
      <c r="X287" s="78"/>
      <c r="Y287" s="78"/>
      <c r="Z287" s="78"/>
      <c r="AA287" s="78"/>
      <c r="AB287" s="78"/>
      <c r="AC287" s="78"/>
      <c r="AD287" s="78"/>
      <c r="AE287" s="78"/>
      <c r="AH287"/>
    </row>
    <row r="288" spans="8:34" s="23" customFormat="1" x14ac:dyDescent="0.25">
      <c r="H288" s="78"/>
      <c r="I288" s="78"/>
      <c r="J288" s="78"/>
      <c r="K288" s="78"/>
      <c r="L288" s="78"/>
      <c r="M288" s="78"/>
      <c r="N288" s="78"/>
      <c r="O288" s="78"/>
      <c r="P288" s="78"/>
      <c r="Q288" s="78"/>
      <c r="R288" s="78"/>
      <c r="S288" s="78"/>
      <c r="T288" s="78"/>
      <c r="U288" s="78"/>
      <c r="V288" s="78"/>
      <c r="W288" s="78"/>
      <c r="X288" s="78"/>
      <c r="Y288" s="78"/>
      <c r="Z288" s="78"/>
      <c r="AA288" s="78"/>
      <c r="AB288" s="78"/>
      <c r="AC288" s="78"/>
      <c r="AD288" s="78"/>
      <c r="AE288" s="78"/>
      <c r="AH288"/>
    </row>
    <row r="289" spans="8:34" s="23" customFormat="1" x14ac:dyDescent="0.25">
      <c r="H289" s="78"/>
      <c r="I289" s="78"/>
      <c r="J289" s="78"/>
      <c r="K289" s="78"/>
      <c r="L289" s="78"/>
      <c r="M289" s="78"/>
      <c r="N289" s="78"/>
      <c r="O289" s="78"/>
      <c r="P289" s="78"/>
      <c r="Q289" s="78"/>
      <c r="R289" s="78"/>
      <c r="S289" s="78"/>
      <c r="T289" s="78"/>
      <c r="U289" s="78"/>
      <c r="V289" s="78"/>
      <c r="W289" s="78"/>
      <c r="X289" s="78"/>
      <c r="Y289" s="78"/>
      <c r="Z289" s="78"/>
      <c r="AA289" s="78"/>
      <c r="AB289" s="78"/>
      <c r="AC289" s="78"/>
      <c r="AD289" s="78"/>
      <c r="AE289" s="78"/>
      <c r="AH289"/>
    </row>
    <row r="290" spans="8:34" s="23" customFormat="1" x14ac:dyDescent="0.25">
      <c r="H290" s="78"/>
      <c r="I290" s="78"/>
      <c r="J290" s="78"/>
      <c r="K290" s="78"/>
      <c r="L290" s="78"/>
      <c r="M290" s="78"/>
      <c r="N290" s="78"/>
      <c r="O290" s="78"/>
      <c r="P290" s="78"/>
      <c r="Q290" s="78"/>
      <c r="R290" s="78"/>
      <c r="S290" s="78"/>
      <c r="T290" s="78"/>
      <c r="U290" s="78"/>
      <c r="V290" s="78"/>
      <c r="W290" s="78"/>
      <c r="X290" s="78"/>
      <c r="Y290" s="78"/>
      <c r="Z290" s="78"/>
      <c r="AA290" s="78"/>
      <c r="AB290" s="78"/>
      <c r="AC290" s="78"/>
      <c r="AD290" s="78"/>
      <c r="AE290" s="78"/>
      <c r="AH290"/>
    </row>
    <row r="291" spans="8:34" s="23" customFormat="1" x14ac:dyDescent="0.25">
      <c r="H291" s="78"/>
      <c r="I291" s="78"/>
      <c r="J291" s="78"/>
      <c r="K291" s="78"/>
      <c r="L291" s="78"/>
      <c r="M291" s="78"/>
      <c r="N291" s="78"/>
      <c r="O291" s="78"/>
      <c r="P291" s="78"/>
      <c r="Q291" s="78"/>
      <c r="R291" s="78"/>
      <c r="S291" s="78"/>
      <c r="T291" s="78"/>
      <c r="U291" s="78"/>
      <c r="V291" s="78"/>
      <c r="W291" s="78"/>
      <c r="X291" s="78"/>
      <c r="Y291" s="78"/>
      <c r="Z291" s="78"/>
      <c r="AA291" s="78"/>
      <c r="AB291" s="78"/>
      <c r="AC291" s="78"/>
      <c r="AD291" s="78"/>
      <c r="AE291" s="78"/>
      <c r="AH291"/>
    </row>
    <row r="292" spans="8:34" s="23" customFormat="1" x14ac:dyDescent="0.25">
      <c r="H292" s="78"/>
      <c r="I292" s="78"/>
      <c r="J292" s="78"/>
      <c r="K292" s="78"/>
      <c r="L292" s="78"/>
      <c r="M292" s="78"/>
      <c r="N292" s="78"/>
      <c r="O292" s="78"/>
      <c r="P292" s="78"/>
      <c r="Q292" s="78"/>
      <c r="R292" s="78"/>
      <c r="S292" s="78"/>
      <c r="T292" s="78"/>
      <c r="U292" s="78"/>
      <c r="V292" s="78"/>
      <c r="W292" s="78"/>
      <c r="X292" s="78"/>
      <c r="Y292" s="78"/>
      <c r="Z292" s="78"/>
      <c r="AA292" s="78"/>
      <c r="AB292" s="78"/>
      <c r="AC292" s="78"/>
      <c r="AD292" s="78"/>
      <c r="AE292" s="78"/>
      <c r="AH292"/>
    </row>
    <row r="293" spans="8:34" s="23" customFormat="1" x14ac:dyDescent="0.25">
      <c r="H293" s="78"/>
      <c r="I293" s="78"/>
      <c r="J293" s="78"/>
      <c r="K293" s="78"/>
      <c r="L293" s="78"/>
      <c r="M293" s="78"/>
      <c r="N293" s="78"/>
      <c r="O293" s="78"/>
      <c r="P293" s="78"/>
      <c r="Q293" s="78"/>
      <c r="R293" s="78"/>
      <c r="S293" s="78"/>
      <c r="T293" s="78"/>
      <c r="U293" s="78"/>
      <c r="V293" s="78"/>
      <c r="W293" s="78"/>
      <c r="X293" s="78"/>
      <c r="Y293" s="78"/>
      <c r="Z293" s="78"/>
      <c r="AA293" s="78"/>
      <c r="AB293" s="78"/>
      <c r="AC293" s="78"/>
      <c r="AD293" s="78"/>
      <c r="AE293" s="78"/>
      <c r="AH293"/>
    </row>
    <row r="294" spans="8:34" s="23" customFormat="1" x14ac:dyDescent="0.25">
      <c r="H294" s="78"/>
      <c r="I294" s="78"/>
      <c r="J294" s="78"/>
      <c r="K294" s="78"/>
      <c r="L294" s="78"/>
      <c r="M294" s="78"/>
      <c r="N294" s="78"/>
      <c r="O294" s="78"/>
      <c r="P294" s="78"/>
      <c r="Q294" s="78"/>
      <c r="R294" s="78"/>
      <c r="S294" s="78"/>
      <c r="T294" s="78"/>
      <c r="U294" s="78"/>
      <c r="V294" s="78"/>
      <c r="W294" s="78"/>
      <c r="X294" s="78"/>
      <c r="Y294" s="78"/>
      <c r="Z294" s="78"/>
      <c r="AA294" s="78"/>
      <c r="AB294" s="78"/>
      <c r="AC294" s="78"/>
      <c r="AD294" s="78"/>
      <c r="AE294" s="78"/>
      <c r="AH294"/>
    </row>
    <row r="295" spans="8:34" s="23" customFormat="1" x14ac:dyDescent="0.25">
      <c r="H295" s="78"/>
      <c r="I295" s="78"/>
      <c r="J295" s="78"/>
      <c r="K295" s="78"/>
      <c r="L295" s="78"/>
      <c r="M295" s="78"/>
      <c r="N295" s="78"/>
      <c r="O295" s="78"/>
      <c r="P295" s="78"/>
      <c r="Q295" s="78"/>
      <c r="R295" s="78"/>
      <c r="S295" s="78"/>
      <c r="T295" s="78"/>
      <c r="U295" s="78"/>
      <c r="V295" s="78"/>
      <c r="W295" s="78"/>
      <c r="X295" s="78"/>
      <c r="Y295" s="78"/>
      <c r="Z295" s="78"/>
      <c r="AA295" s="78"/>
      <c r="AB295" s="78"/>
      <c r="AC295" s="78"/>
      <c r="AD295" s="78"/>
      <c r="AE295" s="78"/>
      <c r="AH295"/>
    </row>
    <row r="296" spans="8:34" s="23" customFormat="1" x14ac:dyDescent="0.25">
      <c r="H296" s="78"/>
      <c r="I296" s="78"/>
      <c r="J296" s="78"/>
      <c r="K296" s="78"/>
      <c r="L296" s="78"/>
      <c r="M296" s="78"/>
      <c r="N296" s="78"/>
      <c r="O296" s="78"/>
      <c r="P296" s="78"/>
      <c r="Q296" s="78"/>
      <c r="R296" s="78"/>
      <c r="S296" s="78"/>
      <c r="T296" s="78"/>
      <c r="U296" s="78"/>
      <c r="V296" s="78"/>
      <c r="W296" s="78"/>
      <c r="X296" s="78"/>
      <c r="Y296" s="78"/>
      <c r="Z296" s="78"/>
      <c r="AA296" s="78"/>
      <c r="AB296" s="78"/>
      <c r="AC296" s="78"/>
      <c r="AD296" s="78"/>
      <c r="AE296" s="78"/>
      <c r="AH296"/>
    </row>
    <row r="297" spans="8:34" s="23" customFormat="1" x14ac:dyDescent="0.25">
      <c r="H297" s="78"/>
      <c r="I297" s="78"/>
      <c r="J297" s="78"/>
      <c r="K297" s="78"/>
      <c r="L297" s="78"/>
      <c r="M297" s="78"/>
      <c r="N297" s="78"/>
      <c r="O297" s="78"/>
      <c r="P297" s="78"/>
      <c r="Q297" s="78"/>
      <c r="R297" s="78"/>
      <c r="S297" s="78"/>
      <c r="T297" s="78"/>
      <c r="U297" s="78"/>
      <c r="V297" s="78"/>
      <c r="W297" s="78"/>
      <c r="X297" s="78"/>
      <c r="Y297" s="78"/>
      <c r="Z297" s="78"/>
      <c r="AA297" s="78"/>
      <c r="AB297" s="78"/>
      <c r="AC297" s="78"/>
      <c r="AD297" s="78"/>
      <c r="AE297" s="78"/>
      <c r="AH297"/>
    </row>
    <row r="298" spans="8:34" s="23" customFormat="1" x14ac:dyDescent="0.25">
      <c r="H298" s="78"/>
      <c r="I298" s="78"/>
      <c r="J298" s="78"/>
      <c r="K298" s="78"/>
      <c r="L298" s="78"/>
      <c r="M298" s="78"/>
      <c r="N298" s="78"/>
      <c r="O298" s="78"/>
      <c r="P298" s="78"/>
      <c r="Q298" s="78"/>
      <c r="R298" s="78"/>
      <c r="S298" s="78"/>
      <c r="T298" s="78"/>
      <c r="U298" s="78"/>
      <c r="V298" s="78"/>
      <c r="W298" s="78"/>
      <c r="X298" s="78"/>
      <c r="Y298" s="78"/>
      <c r="Z298" s="78"/>
      <c r="AA298" s="78"/>
      <c r="AB298" s="78"/>
      <c r="AC298" s="78"/>
      <c r="AD298" s="78"/>
      <c r="AE298" s="78"/>
      <c r="AH298"/>
    </row>
    <row r="299" spans="8:34" s="23" customFormat="1" x14ac:dyDescent="0.25">
      <c r="H299" s="78"/>
      <c r="I299" s="78"/>
      <c r="J299" s="78"/>
      <c r="K299" s="78"/>
      <c r="L299" s="78"/>
      <c r="M299" s="78"/>
      <c r="N299" s="78"/>
      <c r="O299" s="78"/>
      <c r="P299" s="78"/>
      <c r="Q299" s="78"/>
      <c r="R299" s="78"/>
      <c r="S299" s="78"/>
      <c r="T299" s="78"/>
      <c r="U299" s="78"/>
      <c r="V299" s="78"/>
      <c r="W299" s="78"/>
      <c r="X299" s="78"/>
      <c r="Y299" s="78"/>
      <c r="Z299" s="78"/>
      <c r="AA299" s="78"/>
      <c r="AB299" s="78"/>
      <c r="AC299" s="78"/>
      <c r="AD299" s="78"/>
      <c r="AE299" s="78"/>
      <c r="AH299"/>
    </row>
    <row r="300" spans="8:34" s="23" customFormat="1" x14ac:dyDescent="0.25">
      <c r="H300" s="78"/>
      <c r="I300" s="78"/>
      <c r="J300" s="78"/>
      <c r="K300" s="78"/>
      <c r="L300" s="78"/>
      <c r="M300" s="78"/>
      <c r="N300" s="78"/>
      <c r="O300" s="78"/>
      <c r="P300" s="78"/>
      <c r="Q300" s="78"/>
      <c r="R300" s="78"/>
      <c r="S300" s="78"/>
      <c r="T300" s="78"/>
      <c r="U300" s="78"/>
      <c r="V300" s="78"/>
      <c r="W300" s="78"/>
      <c r="X300" s="78"/>
      <c r="Y300" s="78"/>
      <c r="Z300" s="78"/>
      <c r="AA300" s="78"/>
      <c r="AB300" s="78"/>
      <c r="AC300" s="78"/>
      <c r="AD300" s="78"/>
      <c r="AE300" s="78"/>
      <c r="AH300"/>
    </row>
    <row r="301" spans="8:34" s="23" customFormat="1" x14ac:dyDescent="0.25">
      <c r="H301" s="78"/>
      <c r="I301" s="78"/>
      <c r="J301" s="78"/>
      <c r="K301" s="78"/>
      <c r="L301" s="78"/>
      <c r="M301" s="78"/>
      <c r="N301" s="78"/>
      <c r="O301" s="78"/>
      <c r="P301" s="78"/>
      <c r="Q301" s="78"/>
      <c r="R301" s="78"/>
      <c r="S301" s="78"/>
      <c r="T301" s="78"/>
      <c r="U301" s="78"/>
      <c r="V301" s="78"/>
      <c r="W301" s="78"/>
      <c r="X301" s="78"/>
      <c r="Y301" s="78"/>
      <c r="Z301" s="78"/>
      <c r="AA301" s="78"/>
      <c r="AB301" s="78"/>
      <c r="AC301" s="78"/>
      <c r="AD301" s="78"/>
      <c r="AE301" s="78"/>
      <c r="AH301"/>
    </row>
    <row r="302" spans="8:34" s="23" customFormat="1" x14ac:dyDescent="0.25">
      <c r="H302" s="78"/>
      <c r="I302" s="78"/>
      <c r="J302" s="78"/>
      <c r="K302" s="78"/>
      <c r="L302" s="78"/>
      <c r="M302" s="78"/>
      <c r="N302" s="78"/>
      <c r="O302" s="78"/>
      <c r="P302" s="78"/>
      <c r="Q302" s="78"/>
      <c r="R302" s="78"/>
      <c r="S302" s="78"/>
      <c r="T302" s="78"/>
      <c r="U302" s="78"/>
      <c r="V302" s="78"/>
      <c r="W302" s="78"/>
      <c r="X302" s="78"/>
      <c r="Y302" s="78"/>
      <c r="Z302" s="78"/>
      <c r="AA302" s="78"/>
      <c r="AB302" s="78"/>
      <c r="AC302" s="78"/>
      <c r="AD302" s="78"/>
      <c r="AE302" s="78"/>
      <c r="AH302"/>
    </row>
    <row r="303" spans="8:34" s="23" customFormat="1" x14ac:dyDescent="0.25">
      <c r="H303" s="78"/>
      <c r="I303" s="78"/>
      <c r="J303" s="78"/>
      <c r="K303" s="78"/>
      <c r="L303" s="78"/>
      <c r="M303" s="78"/>
      <c r="N303" s="78"/>
      <c r="O303" s="78"/>
      <c r="P303" s="78"/>
      <c r="Q303" s="78"/>
      <c r="R303" s="78"/>
      <c r="S303" s="78"/>
      <c r="T303" s="78"/>
      <c r="U303" s="78"/>
      <c r="V303" s="78"/>
      <c r="W303" s="78"/>
      <c r="X303" s="78"/>
      <c r="Y303" s="78"/>
      <c r="Z303" s="78"/>
      <c r="AA303" s="78"/>
      <c r="AB303" s="78"/>
      <c r="AC303" s="78"/>
      <c r="AD303" s="78"/>
      <c r="AE303" s="78"/>
      <c r="AH303"/>
    </row>
    <row r="304" spans="8:34" s="23" customFormat="1" x14ac:dyDescent="0.25">
      <c r="H304" s="78"/>
      <c r="I304" s="78"/>
      <c r="J304" s="78"/>
      <c r="K304" s="78"/>
      <c r="L304" s="78"/>
      <c r="M304" s="78"/>
      <c r="N304" s="78"/>
      <c r="O304" s="78"/>
      <c r="P304" s="78"/>
      <c r="Q304" s="78"/>
      <c r="R304" s="78"/>
      <c r="S304" s="78"/>
      <c r="T304" s="78"/>
      <c r="U304" s="78"/>
      <c r="V304" s="78"/>
      <c r="W304" s="78"/>
      <c r="X304" s="78"/>
      <c r="Y304" s="78"/>
      <c r="Z304" s="78"/>
      <c r="AA304" s="78"/>
      <c r="AB304" s="78"/>
      <c r="AC304" s="78"/>
      <c r="AD304" s="78"/>
      <c r="AE304" s="78"/>
      <c r="AH304"/>
    </row>
    <row r="305" spans="8:34" s="23" customFormat="1" x14ac:dyDescent="0.25">
      <c r="H305" s="78"/>
      <c r="I305" s="78"/>
      <c r="J305" s="78"/>
      <c r="K305" s="78"/>
      <c r="L305" s="78"/>
      <c r="M305" s="78"/>
      <c r="N305" s="78"/>
      <c r="O305" s="78"/>
      <c r="P305" s="78"/>
      <c r="Q305" s="78"/>
      <c r="R305" s="78"/>
      <c r="S305" s="78"/>
      <c r="T305" s="78"/>
      <c r="U305" s="78"/>
      <c r="V305" s="78"/>
      <c r="W305" s="78"/>
      <c r="X305" s="78"/>
      <c r="Y305" s="78"/>
      <c r="Z305" s="78"/>
      <c r="AA305" s="78"/>
      <c r="AB305" s="78"/>
      <c r="AC305" s="78"/>
      <c r="AD305" s="78"/>
      <c r="AE305" s="78"/>
      <c r="AH305"/>
    </row>
    <row r="306" spans="8:34" s="23" customFormat="1" x14ac:dyDescent="0.25">
      <c r="H306" s="78"/>
      <c r="I306" s="78"/>
      <c r="J306" s="78"/>
      <c r="K306" s="78"/>
      <c r="L306" s="78"/>
      <c r="M306" s="78"/>
      <c r="N306" s="78"/>
      <c r="O306" s="78"/>
      <c r="P306" s="78"/>
      <c r="Q306" s="78"/>
      <c r="R306" s="78"/>
      <c r="S306" s="78"/>
      <c r="T306" s="78"/>
      <c r="U306" s="78"/>
      <c r="V306" s="78"/>
      <c r="W306" s="78"/>
      <c r="X306" s="78"/>
      <c r="Y306" s="78"/>
      <c r="Z306" s="78"/>
      <c r="AA306" s="78"/>
      <c r="AB306" s="78"/>
      <c r="AC306" s="78"/>
      <c r="AD306" s="78"/>
      <c r="AE306" s="78"/>
      <c r="AH306"/>
    </row>
    <row r="307" spans="8:34" s="23" customFormat="1" x14ac:dyDescent="0.25">
      <c r="H307" s="78"/>
      <c r="I307" s="78"/>
      <c r="J307" s="78"/>
      <c r="K307" s="78"/>
      <c r="L307" s="78"/>
      <c r="M307" s="78"/>
      <c r="N307" s="78"/>
      <c r="O307" s="78"/>
      <c r="P307" s="78"/>
      <c r="Q307" s="78"/>
      <c r="R307" s="78"/>
      <c r="S307" s="78"/>
      <c r="T307" s="78"/>
      <c r="U307" s="78"/>
      <c r="V307" s="78"/>
      <c r="W307" s="78"/>
      <c r="X307" s="78"/>
      <c r="Y307" s="78"/>
      <c r="Z307" s="78"/>
      <c r="AA307" s="78"/>
      <c r="AB307" s="78"/>
      <c r="AC307" s="78"/>
      <c r="AD307" s="78"/>
      <c r="AE307" s="78"/>
      <c r="AH307"/>
    </row>
    <row r="308" spans="8:34" s="23" customFormat="1" x14ac:dyDescent="0.25">
      <c r="H308" s="78"/>
      <c r="I308" s="78"/>
      <c r="J308" s="78"/>
      <c r="K308" s="78"/>
      <c r="L308" s="78"/>
      <c r="M308" s="78"/>
      <c r="N308" s="78"/>
      <c r="O308" s="78"/>
      <c r="P308" s="78"/>
      <c r="Q308" s="78"/>
      <c r="R308" s="78"/>
      <c r="S308" s="78"/>
      <c r="T308" s="78"/>
      <c r="U308" s="78"/>
      <c r="V308" s="78"/>
      <c r="W308" s="78"/>
      <c r="X308" s="78"/>
      <c r="Y308" s="78"/>
      <c r="Z308" s="78"/>
      <c r="AA308" s="78"/>
      <c r="AB308" s="78"/>
      <c r="AC308" s="78"/>
      <c r="AD308" s="78"/>
      <c r="AE308" s="78"/>
      <c r="AH308"/>
    </row>
    <row r="309" spans="8:34" s="23" customFormat="1" x14ac:dyDescent="0.25">
      <c r="H309" s="78"/>
      <c r="I309" s="78"/>
      <c r="J309" s="78"/>
      <c r="K309" s="78"/>
      <c r="L309" s="78"/>
      <c r="M309" s="78"/>
      <c r="N309" s="78"/>
      <c r="O309" s="78"/>
      <c r="P309" s="78"/>
      <c r="Q309" s="78"/>
      <c r="R309" s="78"/>
      <c r="S309" s="78"/>
      <c r="T309" s="78"/>
      <c r="U309" s="78"/>
      <c r="V309" s="78"/>
      <c r="W309" s="78"/>
      <c r="X309" s="78"/>
      <c r="Y309" s="78"/>
      <c r="Z309" s="78"/>
      <c r="AA309" s="78"/>
      <c r="AB309" s="78"/>
      <c r="AC309" s="78"/>
      <c r="AD309" s="78"/>
      <c r="AE309" s="78"/>
      <c r="AH309"/>
    </row>
    <row r="310" spans="8:34" s="23" customFormat="1" x14ac:dyDescent="0.25">
      <c r="H310" s="78"/>
      <c r="I310" s="78"/>
      <c r="J310" s="78"/>
      <c r="K310" s="78"/>
      <c r="L310" s="78"/>
      <c r="M310" s="78"/>
      <c r="N310" s="78"/>
      <c r="O310" s="78"/>
      <c r="P310" s="78"/>
      <c r="Q310" s="78"/>
      <c r="R310" s="78"/>
      <c r="S310" s="78"/>
      <c r="T310" s="78"/>
      <c r="U310" s="78"/>
      <c r="V310" s="78"/>
      <c r="W310" s="78"/>
      <c r="X310" s="78"/>
      <c r="Y310" s="78"/>
      <c r="Z310" s="78"/>
      <c r="AA310" s="78"/>
      <c r="AB310" s="78"/>
      <c r="AC310" s="78"/>
      <c r="AD310" s="78"/>
      <c r="AE310" s="78"/>
      <c r="AH310"/>
    </row>
    <row r="311" spans="8:34" s="23" customFormat="1" x14ac:dyDescent="0.25">
      <c r="H311" s="78"/>
      <c r="I311" s="78"/>
      <c r="J311" s="78"/>
      <c r="K311" s="78"/>
      <c r="L311" s="78"/>
      <c r="M311" s="78"/>
      <c r="N311" s="78"/>
      <c r="O311" s="78"/>
      <c r="P311" s="78"/>
      <c r="Q311" s="78"/>
      <c r="R311" s="78"/>
      <c r="S311" s="78"/>
      <c r="T311" s="78"/>
      <c r="U311" s="78"/>
      <c r="V311" s="78"/>
      <c r="W311" s="78"/>
      <c r="X311" s="78"/>
      <c r="Y311" s="78"/>
      <c r="Z311" s="78"/>
      <c r="AA311" s="78"/>
      <c r="AB311" s="78"/>
      <c r="AC311" s="78"/>
      <c r="AD311" s="78"/>
      <c r="AE311" s="78"/>
      <c r="AH311"/>
    </row>
    <row r="312" spans="8:34" s="23" customFormat="1" x14ac:dyDescent="0.25">
      <c r="H312" s="78"/>
      <c r="I312" s="78"/>
      <c r="J312" s="78"/>
      <c r="K312" s="78"/>
      <c r="L312" s="78"/>
      <c r="M312" s="78"/>
      <c r="N312" s="78"/>
      <c r="O312" s="78"/>
      <c r="P312" s="78"/>
      <c r="Q312" s="78"/>
      <c r="R312" s="78"/>
      <c r="S312" s="78"/>
      <c r="T312" s="78"/>
      <c r="U312" s="78"/>
      <c r="V312" s="78"/>
      <c r="W312" s="78"/>
      <c r="X312" s="78"/>
      <c r="Y312" s="78"/>
      <c r="Z312" s="78"/>
      <c r="AA312" s="78"/>
      <c r="AB312" s="78"/>
      <c r="AC312" s="78"/>
      <c r="AD312" s="78"/>
      <c r="AE312" s="78"/>
      <c r="AH312"/>
    </row>
    <row r="313" spans="8:34" s="23" customFormat="1" x14ac:dyDescent="0.25">
      <c r="H313" s="78"/>
      <c r="I313" s="78"/>
      <c r="J313" s="78"/>
      <c r="K313" s="78"/>
      <c r="L313" s="78"/>
      <c r="M313" s="78"/>
      <c r="N313" s="78"/>
      <c r="O313" s="78"/>
      <c r="P313" s="78"/>
      <c r="Q313" s="78"/>
      <c r="R313" s="78"/>
      <c r="S313" s="78"/>
      <c r="T313" s="78"/>
      <c r="U313" s="78"/>
      <c r="V313" s="78"/>
      <c r="W313" s="78"/>
      <c r="X313" s="78"/>
      <c r="Y313" s="78"/>
      <c r="Z313" s="78"/>
      <c r="AA313" s="78"/>
      <c r="AB313" s="78"/>
      <c r="AC313" s="78"/>
      <c r="AD313" s="78"/>
      <c r="AE313" s="78"/>
      <c r="AH313"/>
    </row>
    <row r="314" spans="8:34" s="23" customFormat="1" x14ac:dyDescent="0.25">
      <c r="H314" s="78"/>
      <c r="I314" s="78"/>
      <c r="J314" s="78"/>
      <c r="K314" s="78"/>
      <c r="L314" s="78"/>
      <c r="M314" s="78"/>
      <c r="N314" s="78"/>
      <c r="O314" s="78"/>
      <c r="P314" s="78"/>
      <c r="Q314" s="78"/>
      <c r="R314" s="78"/>
      <c r="S314" s="78"/>
      <c r="T314" s="78"/>
      <c r="U314" s="78"/>
      <c r="V314" s="78"/>
      <c r="W314" s="78"/>
      <c r="X314" s="78"/>
      <c r="Y314" s="78"/>
      <c r="Z314" s="78"/>
      <c r="AA314" s="78"/>
      <c r="AB314" s="78"/>
      <c r="AC314" s="78"/>
      <c r="AD314" s="78"/>
      <c r="AE314" s="78"/>
      <c r="AH314"/>
    </row>
    <row r="315" spans="8:34" s="23" customFormat="1" x14ac:dyDescent="0.25">
      <c r="H315" s="78"/>
      <c r="I315" s="78"/>
      <c r="J315" s="78"/>
      <c r="K315" s="78"/>
      <c r="L315" s="78"/>
      <c r="M315" s="78"/>
      <c r="N315" s="78"/>
      <c r="O315" s="78"/>
      <c r="P315" s="78"/>
      <c r="Q315" s="78"/>
      <c r="R315" s="78"/>
      <c r="S315" s="78"/>
      <c r="T315" s="78"/>
      <c r="U315" s="78"/>
      <c r="V315" s="78"/>
      <c r="W315" s="78"/>
      <c r="X315" s="78"/>
      <c r="Y315" s="78"/>
      <c r="Z315" s="78"/>
      <c r="AA315" s="78"/>
      <c r="AB315" s="78"/>
      <c r="AC315" s="78"/>
      <c r="AD315" s="78"/>
      <c r="AE315" s="78"/>
      <c r="AH315"/>
    </row>
    <row r="316" spans="8:34" s="23" customFormat="1" x14ac:dyDescent="0.25">
      <c r="H316" s="78"/>
      <c r="I316" s="78"/>
      <c r="J316" s="78"/>
      <c r="K316" s="78"/>
      <c r="L316" s="78"/>
      <c r="M316" s="78"/>
      <c r="N316" s="78"/>
      <c r="O316" s="78"/>
      <c r="P316" s="78"/>
      <c r="Q316" s="78"/>
      <c r="R316" s="78"/>
      <c r="S316" s="78"/>
      <c r="T316" s="78"/>
      <c r="U316" s="78"/>
      <c r="V316" s="78"/>
      <c r="W316" s="78"/>
      <c r="X316" s="78"/>
      <c r="Y316" s="78"/>
      <c r="Z316" s="78"/>
      <c r="AA316" s="78"/>
      <c r="AB316" s="78"/>
      <c r="AC316" s="78"/>
      <c r="AD316" s="78"/>
      <c r="AE316" s="78"/>
      <c r="AH316"/>
    </row>
    <row r="317" spans="8:34" s="23" customFormat="1" x14ac:dyDescent="0.25">
      <c r="H317" s="78"/>
      <c r="I317" s="78"/>
      <c r="J317" s="78"/>
      <c r="K317" s="78"/>
      <c r="L317" s="78"/>
      <c r="M317" s="78"/>
      <c r="N317" s="78"/>
      <c r="O317" s="78"/>
      <c r="P317" s="78"/>
      <c r="Q317" s="78"/>
      <c r="R317" s="78"/>
      <c r="S317" s="78"/>
      <c r="T317" s="78"/>
      <c r="U317" s="78"/>
      <c r="V317" s="78"/>
      <c r="W317" s="78"/>
      <c r="X317" s="78"/>
      <c r="Y317" s="78"/>
      <c r="Z317" s="78"/>
      <c r="AA317" s="78"/>
      <c r="AB317" s="78"/>
      <c r="AC317" s="78"/>
      <c r="AD317" s="78"/>
      <c r="AE317" s="78"/>
      <c r="AH317"/>
    </row>
    <row r="318" spans="8:34" s="23" customFormat="1" x14ac:dyDescent="0.25">
      <c r="H318" s="78"/>
      <c r="I318" s="78"/>
      <c r="J318" s="78"/>
      <c r="K318" s="78"/>
      <c r="L318" s="78"/>
      <c r="M318" s="78"/>
      <c r="N318" s="78"/>
      <c r="O318" s="78"/>
      <c r="P318" s="78"/>
      <c r="Q318" s="78"/>
      <c r="R318" s="78"/>
      <c r="S318" s="78"/>
      <c r="T318" s="78"/>
      <c r="U318" s="78"/>
      <c r="V318" s="78"/>
      <c r="W318" s="78"/>
      <c r="X318" s="78"/>
      <c r="Y318" s="78"/>
      <c r="Z318" s="78"/>
      <c r="AA318" s="78"/>
      <c r="AB318" s="78"/>
      <c r="AC318" s="78"/>
      <c r="AD318" s="78"/>
      <c r="AE318" s="78"/>
      <c r="AH318"/>
    </row>
    <row r="319" spans="8:34" s="23" customFormat="1" x14ac:dyDescent="0.25">
      <c r="H319" s="78"/>
      <c r="I319" s="78"/>
      <c r="J319" s="78"/>
      <c r="K319" s="78"/>
      <c r="L319" s="78"/>
      <c r="M319" s="78"/>
      <c r="N319" s="78"/>
      <c r="O319" s="78"/>
      <c r="P319" s="78"/>
      <c r="Q319" s="78"/>
      <c r="R319" s="78"/>
      <c r="S319" s="78"/>
      <c r="T319" s="78"/>
      <c r="U319" s="78"/>
      <c r="V319" s="78"/>
      <c r="W319" s="78"/>
      <c r="X319" s="78"/>
      <c r="Y319" s="78"/>
      <c r="Z319" s="78"/>
      <c r="AA319" s="78"/>
      <c r="AB319" s="78"/>
      <c r="AC319" s="78"/>
      <c r="AD319" s="78"/>
      <c r="AE319" s="78"/>
      <c r="AH319"/>
    </row>
    <row r="320" spans="8:34" s="23" customFormat="1" x14ac:dyDescent="0.25">
      <c r="H320" s="78"/>
      <c r="I320" s="78"/>
      <c r="J320" s="78"/>
      <c r="K320" s="78"/>
      <c r="L320" s="78"/>
      <c r="M320" s="78"/>
      <c r="N320" s="78"/>
      <c r="O320" s="78"/>
      <c r="P320" s="78"/>
      <c r="Q320" s="78"/>
      <c r="R320" s="78"/>
      <c r="S320" s="78"/>
      <c r="T320" s="78"/>
      <c r="U320" s="78"/>
      <c r="V320" s="78"/>
      <c r="W320" s="78"/>
      <c r="X320" s="78"/>
      <c r="Y320" s="78"/>
      <c r="Z320" s="78"/>
      <c r="AA320" s="78"/>
      <c r="AB320" s="78"/>
      <c r="AC320" s="78"/>
      <c r="AD320" s="78"/>
      <c r="AE320" s="78"/>
      <c r="AH320"/>
    </row>
    <row r="321" spans="8:34" s="23" customFormat="1" x14ac:dyDescent="0.25">
      <c r="H321" s="78"/>
      <c r="I321" s="78"/>
      <c r="J321" s="78"/>
      <c r="K321" s="78"/>
      <c r="L321" s="78"/>
      <c r="M321" s="78"/>
      <c r="N321" s="78"/>
      <c r="O321" s="78"/>
      <c r="P321" s="78"/>
      <c r="Q321" s="78"/>
      <c r="R321" s="78"/>
      <c r="S321" s="78"/>
      <c r="T321" s="78"/>
      <c r="U321" s="78"/>
      <c r="V321" s="78"/>
      <c r="W321" s="78"/>
      <c r="X321" s="78"/>
      <c r="Y321" s="78"/>
      <c r="Z321" s="78"/>
      <c r="AA321" s="78"/>
      <c r="AB321" s="78"/>
      <c r="AC321" s="78"/>
      <c r="AD321" s="78"/>
      <c r="AE321" s="78"/>
      <c r="AH321"/>
    </row>
    <row r="322" spans="8:34" s="23" customFormat="1" x14ac:dyDescent="0.25">
      <c r="H322" s="78"/>
      <c r="I322" s="78"/>
      <c r="J322" s="78"/>
      <c r="K322" s="78"/>
      <c r="L322" s="78"/>
      <c r="M322" s="78"/>
      <c r="N322" s="78"/>
      <c r="O322" s="78"/>
      <c r="P322" s="78"/>
      <c r="Q322" s="78"/>
      <c r="R322" s="78"/>
      <c r="S322" s="78"/>
      <c r="T322" s="78"/>
      <c r="U322" s="78"/>
      <c r="V322" s="78"/>
      <c r="W322" s="78"/>
      <c r="X322" s="78"/>
      <c r="Y322" s="78"/>
      <c r="Z322" s="78"/>
      <c r="AA322" s="78"/>
      <c r="AB322" s="78"/>
      <c r="AC322" s="78"/>
      <c r="AD322" s="78"/>
      <c r="AE322" s="78"/>
      <c r="AH322"/>
    </row>
    <row r="323" spans="8:34" s="23" customFormat="1" x14ac:dyDescent="0.25">
      <c r="H323" s="78"/>
      <c r="I323" s="78"/>
      <c r="J323" s="78"/>
      <c r="K323" s="78"/>
      <c r="L323" s="78"/>
      <c r="M323" s="78"/>
      <c r="N323" s="78"/>
      <c r="O323" s="78"/>
      <c r="P323" s="78"/>
      <c r="Q323" s="78"/>
      <c r="R323" s="78"/>
      <c r="S323" s="78"/>
      <c r="T323" s="78"/>
      <c r="U323" s="78"/>
      <c r="V323" s="78"/>
      <c r="W323" s="78"/>
      <c r="X323" s="78"/>
      <c r="Y323" s="78"/>
      <c r="Z323" s="78"/>
      <c r="AA323" s="78"/>
      <c r="AB323" s="78"/>
      <c r="AC323" s="78"/>
      <c r="AD323" s="78"/>
      <c r="AE323" s="78"/>
      <c r="AH323"/>
    </row>
    <row r="324" spans="8:34" s="23" customFormat="1" x14ac:dyDescent="0.25">
      <c r="H324" s="78"/>
      <c r="I324" s="78"/>
      <c r="J324" s="78"/>
      <c r="K324" s="78"/>
      <c r="L324" s="78"/>
      <c r="M324" s="78"/>
      <c r="N324" s="78"/>
      <c r="O324" s="78"/>
      <c r="P324" s="78"/>
      <c r="Q324" s="78"/>
      <c r="R324" s="78"/>
      <c r="S324" s="78"/>
      <c r="T324" s="78"/>
      <c r="U324" s="78"/>
      <c r="V324" s="78"/>
      <c r="W324" s="78"/>
      <c r="X324" s="78"/>
      <c r="Y324" s="78"/>
      <c r="Z324" s="78"/>
      <c r="AA324" s="78"/>
      <c r="AB324" s="78"/>
      <c r="AC324" s="78"/>
      <c r="AD324" s="78"/>
      <c r="AE324" s="78"/>
      <c r="AH324"/>
    </row>
    <row r="325" spans="8:34" s="23" customFormat="1" x14ac:dyDescent="0.25">
      <c r="H325" s="78"/>
      <c r="I325" s="78"/>
      <c r="J325" s="78"/>
      <c r="K325" s="78"/>
      <c r="L325" s="78"/>
      <c r="M325" s="78"/>
      <c r="N325" s="78"/>
      <c r="O325" s="78"/>
      <c r="P325" s="78"/>
      <c r="Q325" s="78"/>
      <c r="R325" s="78"/>
      <c r="S325" s="78"/>
      <c r="T325" s="78"/>
      <c r="U325" s="78"/>
      <c r="V325" s="78"/>
      <c r="W325" s="78"/>
      <c r="X325" s="78"/>
      <c r="Y325" s="78"/>
      <c r="Z325" s="78"/>
      <c r="AA325" s="78"/>
      <c r="AB325" s="78"/>
      <c r="AC325" s="78"/>
      <c r="AD325" s="78"/>
      <c r="AE325" s="78"/>
      <c r="AH325"/>
    </row>
    <row r="326" spans="8:34" s="23" customFormat="1" x14ac:dyDescent="0.25">
      <c r="H326" s="78"/>
      <c r="I326" s="78"/>
      <c r="J326" s="78"/>
      <c r="K326" s="78"/>
      <c r="L326" s="78"/>
      <c r="M326" s="78"/>
      <c r="N326" s="78"/>
      <c r="O326" s="78"/>
      <c r="P326" s="78"/>
      <c r="Q326" s="78"/>
      <c r="R326" s="78"/>
      <c r="S326" s="78"/>
      <c r="T326" s="78"/>
      <c r="U326" s="78"/>
      <c r="V326" s="78"/>
      <c r="W326" s="78"/>
      <c r="X326" s="78"/>
      <c r="Y326" s="78"/>
      <c r="Z326" s="78"/>
      <c r="AA326" s="78"/>
      <c r="AB326" s="78"/>
      <c r="AC326" s="78"/>
      <c r="AD326" s="78"/>
      <c r="AE326" s="78"/>
      <c r="AH326"/>
    </row>
    <row r="327" spans="8:34" s="23" customFormat="1" x14ac:dyDescent="0.25">
      <c r="H327" s="78"/>
      <c r="I327" s="78"/>
      <c r="J327" s="78"/>
      <c r="K327" s="78"/>
      <c r="L327" s="78"/>
      <c r="M327" s="78"/>
      <c r="N327" s="78"/>
      <c r="O327" s="78"/>
      <c r="P327" s="78"/>
      <c r="Q327" s="78"/>
      <c r="R327" s="78"/>
      <c r="S327" s="78"/>
      <c r="T327" s="78"/>
      <c r="U327" s="78"/>
      <c r="V327" s="78"/>
      <c r="W327" s="78"/>
      <c r="X327" s="78"/>
      <c r="Y327" s="78"/>
      <c r="Z327" s="78"/>
      <c r="AA327" s="78"/>
      <c r="AB327" s="78"/>
      <c r="AC327" s="78"/>
      <c r="AD327" s="78"/>
      <c r="AE327" s="78"/>
      <c r="AH327"/>
    </row>
    <row r="328" spans="8:34" s="23" customFormat="1" x14ac:dyDescent="0.25">
      <c r="H328" s="78"/>
      <c r="I328" s="78"/>
      <c r="J328" s="78"/>
      <c r="K328" s="78"/>
      <c r="L328" s="78"/>
      <c r="M328" s="78"/>
      <c r="N328" s="78"/>
      <c r="O328" s="78"/>
      <c r="P328" s="78"/>
      <c r="Q328" s="78"/>
      <c r="R328" s="78"/>
      <c r="S328" s="78"/>
      <c r="T328" s="78"/>
      <c r="U328" s="78"/>
      <c r="V328" s="78"/>
      <c r="W328" s="78"/>
      <c r="X328" s="78"/>
      <c r="Y328" s="78"/>
      <c r="Z328" s="78"/>
      <c r="AA328" s="78"/>
      <c r="AB328" s="78"/>
      <c r="AC328" s="78"/>
      <c r="AD328" s="78"/>
      <c r="AE328" s="78"/>
      <c r="AH328"/>
    </row>
    <row r="329" spans="8:34" s="23" customFormat="1" x14ac:dyDescent="0.25">
      <c r="H329" s="78"/>
      <c r="I329" s="78"/>
      <c r="J329" s="78"/>
      <c r="K329" s="78"/>
      <c r="L329" s="78"/>
      <c r="M329" s="78"/>
      <c r="N329" s="78"/>
      <c r="O329" s="78"/>
      <c r="P329" s="78"/>
      <c r="Q329" s="78"/>
      <c r="R329" s="78"/>
      <c r="S329" s="78"/>
      <c r="T329" s="78"/>
      <c r="U329" s="78"/>
      <c r="V329" s="78"/>
      <c r="W329" s="78"/>
      <c r="X329" s="78"/>
      <c r="Y329" s="78"/>
      <c r="Z329" s="78"/>
      <c r="AA329" s="78"/>
      <c r="AB329" s="78"/>
      <c r="AC329" s="78"/>
      <c r="AD329" s="78"/>
      <c r="AE329" s="78"/>
      <c r="AH329"/>
    </row>
    <row r="330" spans="8:34" s="23" customFormat="1" x14ac:dyDescent="0.25">
      <c r="H330" s="78"/>
      <c r="I330" s="78"/>
      <c r="J330" s="78"/>
      <c r="K330" s="78"/>
      <c r="L330" s="78"/>
      <c r="M330" s="78"/>
      <c r="N330" s="78"/>
      <c r="O330" s="78"/>
      <c r="P330" s="78"/>
      <c r="Q330" s="78"/>
      <c r="R330" s="78"/>
      <c r="S330" s="78"/>
      <c r="T330" s="78"/>
      <c r="U330" s="78"/>
      <c r="V330" s="78"/>
      <c r="W330" s="78"/>
      <c r="X330" s="78"/>
      <c r="Y330" s="78"/>
      <c r="Z330" s="78"/>
      <c r="AA330" s="78"/>
      <c r="AB330" s="78"/>
      <c r="AC330" s="78"/>
      <c r="AD330" s="78"/>
      <c r="AE330" s="78"/>
      <c r="AH330"/>
    </row>
    <row r="331" spans="8:34" s="23" customFormat="1" x14ac:dyDescent="0.25">
      <c r="H331" s="78"/>
      <c r="I331" s="78"/>
      <c r="J331" s="78"/>
      <c r="K331" s="78"/>
      <c r="L331" s="78"/>
      <c r="M331" s="78"/>
      <c r="N331" s="78"/>
      <c r="O331" s="78"/>
      <c r="P331" s="78"/>
      <c r="Q331" s="78"/>
      <c r="R331" s="78"/>
      <c r="S331" s="78"/>
      <c r="T331" s="78"/>
      <c r="U331" s="78"/>
      <c r="V331" s="78"/>
      <c r="W331" s="78"/>
      <c r="X331" s="78"/>
      <c r="Y331" s="78"/>
      <c r="Z331" s="78"/>
      <c r="AA331" s="78"/>
      <c r="AB331" s="78"/>
      <c r="AC331" s="78"/>
      <c r="AD331" s="78"/>
      <c r="AE331" s="78"/>
      <c r="AH331"/>
    </row>
    <row r="332" spans="8:34" s="23" customFormat="1" x14ac:dyDescent="0.25">
      <c r="H332" s="78"/>
      <c r="I332" s="78"/>
      <c r="J332" s="78"/>
      <c r="K332" s="78"/>
      <c r="L332" s="78"/>
      <c r="M332" s="78"/>
      <c r="N332" s="78"/>
      <c r="O332" s="78"/>
      <c r="P332" s="78"/>
      <c r="Q332" s="78"/>
      <c r="R332" s="78"/>
      <c r="S332" s="78"/>
      <c r="T332" s="78"/>
      <c r="U332" s="78"/>
      <c r="V332" s="78"/>
      <c r="W332" s="78"/>
      <c r="X332" s="78"/>
      <c r="Y332" s="78"/>
      <c r="Z332" s="78"/>
      <c r="AA332" s="78"/>
      <c r="AB332" s="78"/>
      <c r="AC332" s="78"/>
      <c r="AD332" s="78"/>
      <c r="AE332" s="78"/>
      <c r="AH332"/>
    </row>
    <row r="333" spans="8:34" s="23" customFormat="1" x14ac:dyDescent="0.25">
      <c r="H333" s="78"/>
      <c r="I333" s="78"/>
      <c r="J333" s="78"/>
      <c r="K333" s="78"/>
      <c r="L333" s="78"/>
      <c r="M333" s="78"/>
      <c r="N333" s="78"/>
      <c r="O333" s="78"/>
      <c r="P333" s="78"/>
      <c r="Q333" s="78"/>
      <c r="R333" s="78"/>
      <c r="S333" s="78"/>
      <c r="T333" s="78"/>
      <c r="U333" s="78"/>
      <c r="V333" s="78"/>
      <c r="W333" s="78"/>
      <c r="X333" s="78"/>
      <c r="Y333" s="78"/>
      <c r="Z333" s="78"/>
      <c r="AA333" s="78"/>
      <c r="AB333" s="78"/>
      <c r="AC333" s="78"/>
      <c r="AD333" s="78"/>
      <c r="AE333" s="78"/>
      <c r="AH333"/>
    </row>
    <row r="334" spans="8:34" s="23" customFormat="1" x14ac:dyDescent="0.25">
      <c r="H334" s="78"/>
      <c r="I334" s="78"/>
      <c r="J334" s="78"/>
      <c r="K334" s="78"/>
      <c r="L334" s="78"/>
      <c r="M334" s="78"/>
      <c r="N334" s="78"/>
      <c r="O334" s="78"/>
      <c r="P334" s="78"/>
      <c r="Q334" s="78"/>
      <c r="R334" s="78"/>
      <c r="S334" s="78"/>
      <c r="T334" s="78"/>
      <c r="U334" s="78"/>
      <c r="V334" s="78"/>
      <c r="W334" s="78"/>
      <c r="X334" s="78"/>
      <c r="Y334" s="78"/>
      <c r="Z334" s="78"/>
      <c r="AA334" s="78"/>
      <c r="AB334" s="78"/>
      <c r="AC334" s="78"/>
      <c r="AD334" s="78"/>
      <c r="AE334" s="78"/>
      <c r="AH334"/>
    </row>
    <row r="335" spans="8:34" s="23" customFormat="1" x14ac:dyDescent="0.25">
      <c r="H335" s="78"/>
      <c r="I335" s="78"/>
      <c r="J335" s="78"/>
      <c r="K335" s="78"/>
      <c r="L335" s="78"/>
      <c r="M335" s="78"/>
      <c r="N335" s="78"/>
      <c r="O335" s="78"/>
      <c r="P335" s="78"/>
      <c r="Q335" s="78"/>
      <c r="R335" s="78"/>
      <c r="S335" s="78"/>
      <c r="T335" s="78"/>
      <c r="U335" s="78"/>
      <c r="V335" s="78"/>
      <c r="W335" s="78"/>
      <c r="X335" s="78"/>
      <c r="Y335" s="78"/>
      <c r="Z335" s="78"/>
      <c r="AA335" s="78"/>
      <c r="AB335" s="78"/>
      <c r="AC335" s="78"/>
      <c r="AD335" s="78"/>
      <c r="AE335" s="78"/>
      <c r="AH335"/>
    </row>
    <row r="336" spans="8:34" s="23" customFormat="1" x14ac:dyDescent="0.25">
      <c r="H336" s="78"/>
      <c r="I336" s="78"/>
      <c r="J336" s="78"/>
      <c r="K336" s="78"/>
      <c r="L336" s="78"/>
      <c r="M336" s="78"/>
      <c r="N336" s="78"/>
      <c r="O336" s="78"/>
      <c r="P336" s="78"/>
      <c r="Q336" s="78"/>
      <c r="R336" s="78"/>
      <c r="S336" s="78"/>
      <c r="T336" s="78"/>
      <c r="U336" s="78"/>
      <c r="V336" s="78"/>
      <c r="W336" s="78"/>
      <c r="X336" s="78"/>
      <c r="Y336" s="78"/>
      <c r="Z336" s="78"/>
      <c r="AA336" s="78"/>
      <c r="AB336" s="78"/>
      <c r="AC336" s="78"/>
      <c r="AD336" s="78"/>
      <c r="AE336" s="78"/>
      <c r="AH336"/>
    </row>
    <row r="337" spans="8:34" s="23" customFormat="1" x14ac:dyDescent="0.25">
      <c r="H337" s="78"/>
      <c r="I337" s="78"/>
      <c r="J337" s="78"/>
      <c r="K337" s="78"/>
      <c r="L337" s="78"/>
      <c r="M337" s="78"/>
      <c r="N337" s="78"/>
      <c r="O337" s="78"/>
      <c r="P337" s="78"/>
      <c r="Q337" s="78"/>
      <c r="R337" s="78"/>
      <c r="S337" s="78"/>
      <c r="T337" s="78"/>
      <c r="U337" s="78"/>
      <c r="V337" s="78"/>
      <c r="W337" s="78"/>
      <c r="X337" s="78"/>
      <c r="Y337" s="78"/>
      <c r="Z337" s="78"/>
      <c r="AA337" s="78"/>
      <c r="AB337" s="78"/>
      <c r="AC337" s="78"/>
      <c r="AD337" s="78"/>
      <c r="AE337" s="78"/>
      <c r="AH337"/>
    </row>
    <row r="338" spans="8:34" s="23" customFormat="1" x14ac:dyDescent="0.25">
      <c r="H338" s="78"/>
      <c r="I338" s="78"/>
      <c r="J338" s="78"/>
      <c r="K338" s="78"/>
      <c r="L338" s="78"/>
      <c r="M338" s="78"/>
      <c r="N338" s="78"/>
      <c r="O338" s="78"/>
      <c r="P338" s="78"/>
      <c r="Q338" s="78"/>
      <c r="R338" s="78"/>
      <c r="S338" s="78"/>
      <c r="T338" s="78"/>
      <c r="U338" s="78"/>
      <c r="V338" s="78"/>
      <c r="W338" s="78"/>
      <c r="X338" s="78"/>
      <c r="Y338" s="78"/>
      <c r="Z338" s="78"/>
      <c r="AA338" s="78"/>
      <c r="AB338" s="78"/>
      <c r="AC338" s="78"/>
      <c r="AD338" s="78"/>
      <c r="AE338" s="78"/>
      <c r="AH338"/>
    </row>
    <row r="339" spans="8:34" s="23" customFormat="1" x14ac:dyDescent="0.25">
      <c r="H339" s="78"/>
      <c r="I339" s="78"/>
      <c r="J339" s="78"/>
      <c r="K339" s="78"/>
      <c r="L339" s="78"/>
      <c r="M339" s="78"/>
      <c r="N339" s="78"/>
      <c r="O339" s="78"/>
      <c r="P339" s="78"/>
      <c r="Q339" s="78"/>
      <c r="R339" s="78"/>
      <c r="S339" s="78"/>
      <c r="T339" s="78"/>
      <c r="U339" s="78"/>
      <c r="V339" s="78"/>
      <c r="W339" s="78"/>
      <c r="X339" s="78"/>
      <c r="Y339" s="78"/>
      <c r="Z339" s="78"/>
      <c r="AA339" s="78"/>
      <c r="AB339" s="78"/>
      <c r="AC339" s="78"/>
      <c r="AD339" s="78"/>
      <c r="AE339" s="78"/>
      <c r="AH339"/>
    </row>
    <row r="340" spans="8:34" s="23" customFormat="1" x14ac:dyDescent="0.25">
      <c r="H340" s="78"/>
      <c r="I340" s="78"/>
      <c r="J340" s="78"/>
      <c r="K340" s="78"/>
      <c r="L340" s="78"/>
      <c r="M340" s="78"/>
      <c r="N340" s="78"/>
      <c r="O340" s="78"/>
      <c r="P340" s="78"/>
      <c r="Q340" s="78"/>
      <c r="R340" s="78"/>
      <c r="S340" s="78"/>
      <c r="T340" s="78"/>
      <c r="U340" s="78"/>
      <c r="V340" s="78"/>
      <c r="W340" s="78"/>
      <c r="X340" s="78"/>
      <c r="Y340" s="78"/>
      <c r="Z340" s="78"/>
      <c r="AA340" s="78"/>
      <c r="AB340" s="78"/>
      <c r="AC340" s="78"/>
      <c r="AD340" s="78"/>
      <c r="AE340" s="78"/>
      <c r="AH340"/>
    </row>
    <row r="341" spans="8:34" s="23" customFormat="1" x14ac:dyDescent="0.25">
      <c r="H341" s="78"/>
      <c r="I341" s="78"/>
      <c r="J341" s="78"/>
      <c r="K341" s="78"/>
      <c r="L341" s="78"/>
      <c r="M341" s="78"/>
      <c r="N341" s="78"/>
      <c r="O341" s="78"/>
      <c r="P341" s="78"/>
      <c r="Q341" s="78"/>
      <c r="R341" s="78"/>
      <c r="S341" s="78"/>
      <c r="T341" s="78"/>
      <c r="U341" s="78"/>
      <c r="V341" s="78"/>
      <c r="W341" s="78"/>
      <c r="X341" s="78"/>
      <c r="Y341" s="78"/>
      <c r="Z341" s="78"/>
      <c r="AA341" s="78"/>
      <c r="AB341" s="78"/>
      <c r="AC341" s="78"/>
      <c r="AD341" s="78"/>
      <c r="AE341" s="78"/>
      <c r="AH341"/>
    </row>
    <row r="342" spans="8:34" s="23" customFormat="1" x14ac:dyDescent="0.25">
      <c r="H342" s="78"/>
      <c r="I342" s="78"/>
      <c r="J342" s="78"/>
      <c r="K342" s="78"/>
      <c r="L342" s="78"/>
      <c r="M342" s="78"/>
      <c r="N342" s="78"/>
      <c r="O342" s="78"/>
      <c r="P342" s="78"/>
      <c r="Q342" s="78"/>
      <c r="R342" s="78"/>
      <c r="S342" s="78"/>
      <c r="T342" s="78"/>
      <c r="U342" s="78"/>
      <c r="V342" s="78"/>
      <c r="W342" s="78"/>
      <c r="X342" s="78"/>
      <c r="Y342" s="78"/>
      <c r="Z342" s="78"/>
      <c r="AA342" s="78"/>
      <c r="AB342" s="78"/>
      <c r="AC342" s="78"/>
      <c r="AD342" s="78"/>
      <c r="AE342" s="78"/>
      <c r="AH342"/>
    </row>
    <row r="343" spans="8:34" s="23" customFormat="1" x14ac:dyDescent="0.25">
      <c r="H343" s="78"/>
      <c r="I343" s="78"/>
      <c r="J343" s="78"/>
      <c r="K343" s="78"/>
      <c r="L343" s="78"/>
      <c r="M343" s="78"/>
      <c r="N343" s="78"/>
      <c r="O343" s="78"/>
      <c r="P343" s="78"/>
      <c r="Q343" s="78"/>
      <c r="R343" s="78"/>
      <c r="S343" s="78"/>
      <c r="T343" s="78"/>
      <c r="U343" s="78"/>
      <c r="V343" s="78"/>
      <c r="W343" s="78"/>
      <c r="X343" s="78"/>
      <c r="Y343" s="78"/>
      <c r="Z343" s="78"/>
      <c r="AA343" s="78"/>
      <c r="AB343" s="78"/>
      <c r="AC343" s="78"/>
      <c r="AD343" s="78"/>
      <c r="AE343" s="78"/>
      <c r="AH343"/>
    </row>
    <row r="344" spans="8:34" s="23" customFormat="1" x14ac:dyDescent="0.25">
      <c r="H344" s="78"/>
      <c r="I344" s="78"/>
      <c r="J344" s="78"/>
      <c r="K344" s="78"/>
      <c r="L344" s="78"/>
      <c r="M344" s="78"/>
      <c r="N344" s="78"/>
      <c r="O344" s="78"/>
      <c r="P344" s="78"/>
      <c r="Q344" s="78"/>
      <c r="R344" s="78"/>
      <c r="S344" s="78"/>
      <c r="T344" s="78"/>
      <c r="U344" s="78"/>
      <c r="V344" s="78"/>
      <c r="W344" s="78"/>
      <c r="X344" s="78"/>
      <c r="Y344" s="78"/>
      <c r="Z344" s="78"/>
      <c r="AA344" s="78"/>
      <c r="AB344" s="78"/>
      <c r="AC344" s="78"/>
      <c r="AD344" s="78"/>
      <c r="AE344" s="78"/>
      <c r="AH344"/>
    </row>
    <row r="345" spans="8:34" s="23" customFormat="1" x14ac:dyDescent="0.25">
      <c r="H345" s="78"/>
      <c r="I345" s="78"/>
      <c r="J345" s="78"/>
      <c r="K345" s="78"/>
      <c r="L345" s="78"/>
      <c r="M345" s="78"/>
      <c r="N345" s="78"/>
      <c r="O345" s="78"/>
      <c r="P345" s="78"/>
      <c r="Q345" s="78"/>
      <c r="R345" s="78"/>
      <c r="S345" s="78"/>
      <c r="T345" s="78"/>
      <c r="U345" s="78"/>
      <c r="V345" s="78"/>
      <c r="W345" s="78"/>
      <c r="X345" s="78"/>
      <c r="Y345" s="78"/>
      <c r="Z345" s="78"/>
      <c r="AA345" s="78"/>
      <c r="AB345" s="78"/>
      <c r="AC345" s="78"/>
      <c r="AD345" s="78"/>
      <c r="AE345" s="78"/>
      <c r="AH345"/>
    </row>
    <row r="346" spans="8:34" s="23" customFormat="1" x14ac:dyDescent="0.25">
      <c r="H346" s="78"/>
      <c r="I346" s="78"/>
      <c r="J346" s="78"/>
      <c r="K346" s="78"/>
      <c r="L346" s="78"/>
      <c r="M346" s="78"/>
      <c r="N346" s="78"/>
      <c r="O346" s="78"/>
      <c r="P346" s="78"/>
      <c r="Q346" s="78"/>
      <c r="R346" s="78"/>
      <c r="S346" s="78"/>
      <c r="T346" s="78"/>
      <c r="U346" s="78"/>
      <c r="V346" s="78"/>
      <c r="W346" s="78"/>
      <c r="X346" s="78"/>
      <c r="Y346" s="78"/>
      <c r="Z346" s="78"/>
      <c r="AA346" s="78"/>
      <c r="AB346" s="78"/>
      <c r="AC346" s="78"/>
      <c r="AD346" s="78"/>
      <c r="AE346" s="78"/>
      <c r="AH346"/>
    </row>
    <row r="347" spans="8:34" s="23" customFormat="1" x14ac:dyDescent="0.25">
      <c r="H347" s="78"/>
      <c r="I347" s="78"/>
      <c r="J347" s="78"/>
      <c r="K347" s="78"/>
      <c r="L347" s="78"/>
      <c r="M347" s="78"/>
      <c r="N347" s="78"/>
      <c r="O347" s="78"/>
      <c r="P347" s="78"/>
      <c r="Q347" s="78"/>
      <c r="R347" s="78"/>
      <c r="S347" s="78"/>
      <c r="T347" s="78"/>
      <c r="U347" s="78"/>
      <c r="V347" s="78"/>
      <c r="W347" s="78"/>
      <c r="X347" s="78"/>
      <c r="Y347" s="78"/>
      <c r="Z347" s="78"/>
      <c r="AA347" s="78"/>
      <c r="AB347" s="78"/>
      <c r="AC347" s="78"/>
      <c r="AD347" s="78"/>
      <c r="AE347" s="78"/>
      <c r="AH347"/>
    </row>
    <row r="348" spans="8:34" s="23" customFormat="1" x14ac:dyDescent="0.25">
      <c r="H348" s="78"/>
      <c r="I348" s="78"/>
      <c r="J348" s="78"/>
      <c r="K348" s="78"/>
      <c r="L348" s="78"/>
      <c r="M348" s="78"/>
      <c r="N348" s="78"/>
      <c r="O348" s="78"/>
      <c r="P348" s="78"/>
      <c r="Q348" s="78"/>
      <c r="R348" s="78"/>
      <c r="S348" s="78"/>
      <c r="T348" s="78"/>
      <c r="U348" s="78"/>
      <c r="V348" s="78"/>
      <c r="W348" s="78"/>
      <c r="X348" s="78"/>
      <c r="Y348" s="78"/>
      <c r="Z348" s="78"/>
      <c r="AA348" s="78"/>
      <c r="AB348" s="78"/>
      <c r="AC348" s="78"/>
      <c r="AD348" s="78"/>
      <c r="AE348" s="78"/>
      <c r="AH348"/>
    </row>
    <row r="349" spans="8:34" s="23" customFormat="1" x14ac:dyDescent="0.25">
      <c r="H349" s="78"/>
      <c r="I349" s="78"/>
      <c r="J349" s="78"/>
      <c r="K349" s="78"/>
      <c r="L349" s="78"/>
      <c r="M349" s="78"/>
      <c r="N349" s="78"/>
      <c r="O349" s="78"/>
      <c r="P349" s="78"/>
      <c r="Q349" s="78"/>
      <c r="R349" s="78"/>
      <c r="S349" s="78"/>
      <c r="T349" s="78"/>
      <c r="U349" s="78"/>
      <c r="V349" s="78"/>
      <c r="W349" s="78"/>
      <c r="X349" s="78"/>
      <c r="Y349" s="78"/>
      <c r="Z349" s="78"/>
      <c r="AA349" s="78"/>
      <c r="AB349" s="78"/>
      <c r="AC349" s="78"/>
      <c r="AD349" s="78"/>
      <c r="AE349" s="78"/>
      <c r="AH349"/>
    </row>
    <row r="350" spans="8:34" s="23" customFormat="1" x14ac:dyDescent="0.25">
      <c r="H350" s="78"/>
      <c r="I350" s="78"/>
      <c r="J350" s="78"/>
      <c r="K350" s="78"/>
      <c r="L350" s="78"/>
      <c r="M350" s="78"/>
      <c r="N350" s="78"/>
      <c r="O350" s="78"/>
      <c r="P350" s="78"/>
      <c r="Q350" s="78"/>
      <c r="R350" s="78"/>
      <c r="S350" s="78"/>
      <c r="T350" s="78"/>
      <c r="U350" s="78"/>
      <c r="V350" s="78"/>
      <c r="W350" s="78"/>
      <c r="X350" s="78"/>
      <c r="Y350" s="78"/>
      <c r="Z350" s="78"/>
      <c r="AA350" s="78"/>
      <c r="AB350" s="78"/>
      <c r="AC350" s="78"/>
      <c r="AD350" s="78"/>
      <c r="AE350" s="78"/>
      <c r="AH350"/>
    </row>
    <row r="351" spans="8:34" s="23" customFormat="1" x14ac:dyDescent="0.25">
      <c r="H351" s="78"/>
      <c r="I351" s="78"/>
      <c r="J351" s="78"/>
      <c r="K351" s="78"/>
      <c r="L351" s="78"/>
      <c r="M351" s="78"/>
      <c r="N351" s="78"/>
      <c r="O351" s="78"/>
      <c r="P351" s="78"/>
      <c r="Q351" s="78"/>
      <c r="R351" s="78"/>
      <c r="S351" s="78"/>
      <c r="T351" s="78"/>
      <c r="U351" s="78"/>
      <c r="V351" s="78"/>
      <c r="W351" s="78"/>
      <c r="X351" s="78"/>
      <c r="Y351" s="78"/>
      <c r="Z351" s="78"/>
      <c r="AA351" s="78"/>
      <c r="AB351" s="78"/>
      <c r="AC351" s="78"/>
      <c r="AD351" s="78"/>
      <c r="AE351" s="78"/>
      <c r="AH351"/>
    </row>
    <row r="352" spans="8:34" s="23" customFormat="1" x14ac:dyDescent="0.25">
      <c r="H352" s="78"/>
      <c r="I352" s="78"/>
      <c r="J352" s="78"/>
      <c r="K352" s="78"/>
      <c r="L352" s="78"/>
      <c r="M352" s="78"/>
      <c r="N352" s="78"/>
      <c r="O352" s="78"/>
      <c r="P352" s="78"/>
      <c r="Q352" s="78"/>
      <c r="R352" s="78"/>
      <c r="S352" s="78"/>
      <c r="T352" s="78"/>
      <c r="U352" s="78"/>
      <c r="V352" s="78"/>
      <c r="W352" s="78"/>
      <c r="X352" s="78"/>
      <c r="Y352" s="78"/>
      <c r="Z352" s="78"/>
      <c r="AA352" s="78"/>
      <c r="AB352" s="78"/>
      <c r="AC352" s="78"/>
      <c r="AD352" s="78"/>
      <c r="AE352" s="78"/>
      <c r="AH352"/>
    </row>
    <row r="353" spans="8:34" s="23" customFormat="1" x14ac:dyDescent="0.25">
      <c r="H353" s="78"/>
      <c r="I353" s="78"/>
      <c r="J353" s="78"/>
      <c r="K353" s="78"/>
      <c r="L353" s="78"/>
      <c r="M353" s="78"/>
      <c r="N353" s="78"/>
      <c r="O353" s="78"/>
      <c r="P353" s="78"/>
      <c r="Q353" s="78"/>
      <c r="R353" s="78"/>
      <c r="S353" s="78"/>
      <c r="T353" s="78"/>
      <c r="U353" s="78"/>
      <c r="V353" s="78"/>
      <c r="W353" s="78"/>
      <c r="X353" s="78"/>
      <c r="Y353" s="78"/>
      <c r="Z353" s="78"/>
      <c r="AA353" s="78"/>
      <c r="AB353" s="78"/>
      <c r="AC353" s="78"/>
      <c r="AD353" s="78"/>
      <c r="AE353" s="78"/>
      <c r="AH353"/>
    </row>
    <row r="354" spans="8:34" s="23" customFormat="1" x14ac:dyDescent="0.25">
      <c r="H354" s="78"/>
      <c r="I354" s="78"/>
      <c r="J354" s="78"/>
      <c r="K354" s="78"/>
      <c r="L354" s="78"/>
      <c r="M354" s="78"/>
      <c r="N354" s="78"/>
      <c r="O354" s="78"/>
      <c r="P354" s="78"/>
      <c r="Q354" s="78"/>
      <c r="R354" s="78"/>
      <c r="S354" s="78"/>
      <c r="T354" s="78"/>
      <c r="U354" s="78"/>
      <c r="V354" s="78"/>
      <c r="W354" s="78"/>
      <c r="X354" s="78"/>
      <c r="Y354" s="78"/>
      <c r="Z354" s="78"/>
      <c r="AA354" s="78"/>
      <c r="AB354" s="78"/>
      <c r="AC354" s="78"/>
      <c r="AD354" s="78"/>
      <c r="AE354" s="78"/>
      <c r="AH354"/>
    </row>
    <row r="355" spans="8:34" s="23" customFormat="1" x14ac:dyDescent="0.25">
      <c r="H355" s="78"/>
      <c r="I355" s="78"/>
      <c r="J355" s="78"/>
      <c r="K355" s="78"/>
      <c r="L355" s="78"/>
      <c r="M355" s="78"/>
      <c r="N355" s="78"/>
      <c r="O355" s="78"/>
      <c r="P355" s="78"/>
      <c r="Q355" s="78"/>
      <c r="R355" s="78"/>
      <c r="S355" s="78"/>
      <c r="T355" s="78"/>
      <c r="U355" s="78"/>
      <c r="V355" s="78"/>
      <c r="W355" s="78"/>
      <c r="X355" s="78"/>
      <c r="Y355" s="78"/>
      <c r="Z355" s="78"/>
      <c r="AA355" s="78"/>
      <c r="AB355" s="78"/>
      <c r="AC355" s="78"/>
      <c r="AD355" s="78"/>
      <c r="AE355" s="78"/>
      <c r="AH355"/>
    </row>
    <row r="356" spans="8:34" s="23" customFormat="1" x14ac:dyDescent="0.25">
      <c r="H356" s="78"/>
      <c r="I356" s="78"/>
      <c r="J356" s="78"/>
      <c r="K356" s="78"/>
      <c r="L356" s="78"/>
      <c r="M356" s="78"/>
      <c r="N356" s="78"/>
      <c r="O356" s="78"/>
      <c r="P356" s="78"/>
      <c r="Q356" s="78"/>
      <c r="R356" s="78"/>
      <c r="S356" s="78"/>
      <c r="T356" s="78"/>
      <c r="U356" s="78"/>
      <c r="V356" s="78"/>
      <c r="W356" s="78"/>
      <c r="X356" s="78"/>
      <c r="Y356" s="78"/>
      <c r="Z356" s="78"/>
      <c r="AA356" s="78"/>
      <c r="AB356" s="78"/>
      <c r="AC356" s="78"/>
      <c r="AD356" s="78"/>
      <c r="AE356" s="78"/>
      <c r="AH356"/>
    </row>
    <row r="357" spans="8:34" s="23" customFormat="1" x14ac:dyDescent="0.25">
      <c r="H357" s="78"/>
      <c r="I357" s="78"/>
      <c r="J357" s="78"/>
      <c r="K357" s="78"/>
      <c r="L357" s="78"/>
      <c r="M357" s="78"/>
      <c r="N357" s="78"/>
      <c r="O357" s="78"/>
      <c r="P357" s="78"/>
      <c r="Q357" s="78"/>
      <c r="R357" s="78"/>
      <c r="S357" s="78"/>
      <c r="T357" s="78"/>
      <c r="U357" s="78"/>
      <c r="V357" s="78"/>
      <c r="W357" s="78"/>
      <c r="X357" s="78"/>
      <c r="Y357" s="78"/>
      <c r="Z357" s="78"/>
      <c r="AA357" s="78"/>
      <c r="AB357" s="78"/>
      <c r="AC357" s="78"/>
      <c r="AD357" s="78"/>
      <c r="AE357" s="78"/>
      <c r="AH357"/>
    </row>
    <row r="358" spans="8:34" s="23" customFormat="1" x14ac:dyDescent="0.25">
      <c r="H358" s="78"/>
      <c r="I358" s="78"/>
      <c r="J358" s="78"/>
      <c r="K358" s="78"/>
      <c r="L358" s="78"/>
      <c r="M358" s="78"/>
      <c r="N358" s="78"/>
      <c r="O358" s="78"/>
      <c r="P358" s="78"/>
      <c r="Q358" s="78"/>
      <c r="R358" s="78"/>
      <c r="S358" s="78"/>
      <c r="T358" s="78"/>
      <c r="U358" s="78"/>
      <c r="V358" s="78"/>
      <c r="W358" s="78"/>
      <c r="X358" s="78"/>
      <c r="Y358" s="78"/>
      <c r="Z358" s="78"/>
      <c r="AA358" s="78"/>
      <c r="AB358" s="78"/>
      <c r="AC358" s="78"/>
      <c r="AD358" s="78"/>
      <c r="AE358" s="78"/>
      <c r="AH358"/>
    </row>
    <row r="359" spans="8:34" s="23" customFormat="1" x14ac:dyDescent="0.25">
      <c r="H359" s="78"/>
      <c r="I359" s="78"/>
      <c r="J359" s="78"/>
      <c r="K359" s="78"/>
      <c r="L359" s="78"/>
      <c r="M359" s="78"/>
      <c r="N359" s="78"/>
      <c r="O359" s="78"/>
      <c r="P359" s="78"/>
      <c r="Q359" s="78"/>
      <c r="R359" s="78"/>
      <c r="S359" s="78"/>
      <c r="T359" s="78"/>
      <c r="U359" s="78"/>
      <c r="V359" s="78"/>
      <c r="W359" s="78"/>
      <c r="X359" s="78"/>
      <c r="Y359" s="78"/>
      <c r="Z359" s="78"/>
      <c r="AA359" s="78"/>
      <c r="AB359" s="78"/>
      <c r="AC359" s="78"/>
      <c r="AD359" s="78"/>
      <c r="AE359" s="78"/>
      <c r="AH359"/>
    </row>
    <row r="360" spans="8:34" s="23" customFormat="1" x14ac:dyDescent="0.25">
      <c r="H360" s="78"/>
      <c r="I360" s="78"/>
      <c r="J360" s="78"/>
      <c r="K360" s="78"/>
      <c r="L360" s="78"/>
      <c r="M360" s="78"/>
      <c r="N360" s="78"/>
      <c r="O360" s="78"/>
      <c r="P360" s="78"/>
      <c r="Q360" s="78"/>
      <c r="R360" s="78"/>
      <c r="S360" s="78"/>
      <c r="T360" s="78"/>
      <c r="U360" s="78"/>
      <c r="V360" s="78"/>
      <c r="W360" s="78"/>
      <c r="X360" s="78"/>
      <c r="Y360" s="78"/>
      <c r="Z360" s="78"/>
      <c r="AA360" s="78"/>
      <c r="AB360" s="78"/>
      <c r="AC360" s="78"/>
      <c r="AD360" s="78"/>
      <c r="AE360" s="78"/>
      <c r="AH360"/>
    </row>
    <row r="361" spans="8:34" s="23" customFormat="1" x14ac:dyDescent="0.25">
      <c r="H361" s="78"/>
      <c r="I361" s="78"/>
      <c r="J361" s="78"/>
      <c r="K361" s="78"/>
      <c r="L361" s="78"/>
      <c r="M361" s="78"/>
      <c r="N361" s="78"/>
      <c r="O361" s="78"/>
      <c r="P361" s="78"/>
      <c r="Q361" s="78"/>
      <c r="R361" s="78"/>
      <c r="S361" s="78"/>
      <c r="T361" s="78"/>
      <c r="U361" s="78"/>
      <c r="V361" s="78"/>
      <c r="W361" s="78"/>
      <c r="X361" s="78"/>
      <c r="Y361" s="78"/>
      <c r="Z361" s="78"/>
      <c r="AA361" s="78"/>
      <c r="AB361" s="78"/>
      <c r="AC361" s="78"/>
      <c r="AD361" s="78"/>
      <c r="AE361" s="78"/>
      <c r="AH361"/>
    </row>
    <row r="362" spans="8:34" s="23" customFormat="1" x14ac:dyDescent="0.25">
      <c r="H362" s="78"/>
      <c r="I362" s="78"/>
      <c r="J362" s="78"/>
      <c r="K362" s="78"/>
      <c r="L362" s="78"/>
      <c r="M362" s="78"/>
      <c r="N362" s="78"/>
      <c r="O362" s="78"/>
      <c r="P362" s="78"/>
      <c r="Q362" s="78"/>
      <c r="R362" s="78"/>
      <c r="S362" s="78"/>
      <c r="T362" s="78"/>
      <c r="U362" s="78"/>
      <c r="V362" s="78"/>
      <c r="W362" s="78"/>
      <c r="X362" s="78"/>
      <c r="Y362" s="78"/>
      <c r="Z362" s="78"/>
      <c r="AA362" s="78"/>
      <c r="AB362" s="78"/>
      <c r="AC362" s="78"/>
      <c r="AD362" s="78"/>
      <c r="AE362" s="78"/>
      <c r="AH362"/>
    </row>
    <row r="363" spans="8:34" s="23" customFormat="1" x14ac:dyDescent="0.25">
      <c r="H363" s="78"/>
      <c r="I363" s="78"/>
      <c r="J363" s="78"/>
      <c r="K363" s="78"/>
      <c r="L363" s="78"/>
      <c r="M363" s="78"/>
      <c r="N363" s="78"/>
      <c r="O363" s="78"/>
      <c r="P363" s="78"/>
      <c r="Q363" s="78"/>
      <c r="R363" s="78"/>
      <c r="S363" s="78"/>
      <c r="T363" s="78"/>
      <c r="U363" s="78"/>
      <c r="V363" s="78"/>
      <c r="W363" s="78"/>
      <c r="X363" s="78"/>
      <c r="Y363" s="78"/>
      <c r="Z363" s="78"/>
      <c r="AA363" s="78"/>
      <c r="AB363" s="78"/>
      <c r="AC363" s="78"/>
      <c r="AD363" s="78"/>
      <c r="AE363" s="78"/>
      <c r="AH363"/>
    </row>
    <row r="364" spans="8:34" s="23" customFormat="1" x14ac:dyDescent="0.25">
      <c r="H364" s="78"/>
      <c r="I364" s="78"/>
      <c r="J364" s="78"/>
      <c r="K364" s="78"/>
      <c r="L364" s="78"/>
      <c r="M364" s="78"/>
      <c r="N364" s="78"/>
      <c r="O364" s="78"/>
      <c r="P364" s="78"/>
      <c r="Q364" s="78"/>
      <c r="R364" s="78"/>
      <c r="S364" s="78"/>
      <c r="T364" s="78"/>
      <c r="U364" s="78"/>
      <c r="V364" s="78"/>
      <c r="W364" s="78"/>
      <c r="X364" s="78"/>
      <c r="Y364" s="78"/>
      <c r="Z364" s="78"/>
      <c r="AA364" s="78"/>
      <c r="AB364" s="78"/>
      <c r="AC364" s="78"/>
      <c r="AD364" s="78"/>
      <c r="AE364" s="78"/>
      <c r="AH364"/>
    </row>
    <row r="365" spans="8:34" s="23" customFormat="1" x14ac:dyDescent="0.25">
      <c r="H365" s="78"/>
      <c r="I365" s="78"/>
      <c r="J365" s="78"/>
      <c r="K365" s="78"/>
      <c r="L365" s="78"/>
      <c r="M365" s="78"/>
      <c r="N365" s="78"/>
      <c r="O365" s="78"/>
      <c r="P365" s="78"/>
      <c r="Q365" s="78"/>
      <c r="R365" s="78"/>
      <c r="S365" s="78"/>
      <c r="T365" s="78"/>
      <c r="U365" s="78"/>
      <c r="V365" s="78"/>
      <c r="W365" s="78"/>
      <c r="X365" s="78"/>
      <c r="Y365" s="78"/>
      <c r="Z365" s="78"/>
      <c r="AA365" s="78"/>
      <c r="AB365" s="78"/>
      <c r="AC365" s="78"/>
      <c r="AD365" s="78"/>
      <c r="AE365" s="78"/>
      <c r="AH365"/>
    </row>
    <row r="366" spans="8:34" s="23" customFormat="1" x14ac:dyDescent="0.25">
      <c r="H366" s="78"/>
      <c r="I366" s="78"/>
      <c r="J366" s="78"/>
      <c r="K366" s="78"/>
      <c r="L366" s="78"/>
      <c r="M366" s="78"/>
      <c r="N366" s="78"/>
      <c r="O366" s="78"/>
      <c r="P366" s="78"/>
      <c r="Q366" s="78"/>
      <c r="R366" s="78"/>
      <c r="S366" s="78"/>
      <c r="T366" s="78"/>
      <c r="U366" s="78"/>
      <c r="V366" s="78"/>
      <c r="W366" s="78"/>
      <c r="X366" s="78"/>
      <c r="Y366" s="78"/>
      <c r="Z366" s="78"/>
      <c r="AA366" s="78"/>
      <c r="AB366" s="78"/>
      <c r="AC366" s="78"/>
      <c r="AD366" s="78"/>
      <c r="AE366" s="78"/>
      <c r="AH366"/>
    </row>
    <row r="367" spans="8:34" s="23" customFormat="1" x14ac:dyDescent="0.25">
      <c r="H367" s="78"/>
      <c r="I367" s="78"/>
      <c r="J367" s="78"/>
      <c r="K367" s="78"/>
      <c r="L367" s="78"/>
      <c r="M367" s="78"/>
      <c r="N367" s="78"/>
      <c r="O367" s="78"/>
      <c r="P367" s="78"/>
      <c r="Q367" s="78"/>
      <c r="R367" s="78"/>
      <c r="S367" s="78"/>
      <c r="T367" s="78"/>
      <c r="U367" s="78"/>
      <c r="V367" s="78"/>
      <c r="W367" s="78"/>
      <c r="X367" s="78"/>
      <c r="Y367" s="78"/>
      <c r="Z367" s="78"/>
      <c r="AA367" s="78"/>
      <c r="AB367" s="78"/>
      <c r="AC367" s="78"/>
      <c r="AD367" s="78"/>
      <c r="AE367" s="78"/>
      <c r="AH367"/>
    </row>
    <row r="368" spans="8:34" s="23" customFormat="1" x14ac:dyDescent="0.25">
      <c r="H368" s="78"/>
      <c r="I368" s="78"/>
      <c r="J368" s="78"/>
      <c r="K368" s="78"/>
      <c r="L368" s="78"/>
      <c r="M368" s="78"/>
      <c r="N368" s="78"/>
      <c r="O368" s="78"/>
      <c r="P368" s="78"/>
      <c r="Q368" s="78"/>
      <c r="R368" s="78"/>
      <c r="S368" s="78"/>
      <c r="T368" s="78"/>
      <c r="U368" s="78"/>
      <c r="V368" s="78"/>
      <c r="W368" s="78"/>
      <c r="X368" s="78"/>
      <c r="Y368" s="78"/>
      <c r="Z368" s="78"/>
      <c r="AA368" s="78"/>
      <c r="AB368" s="78"/>
      <c r="AC368" s="78"/>
      <c r="AD368" s="78"/>
      <c r="AE368" s="78"/>
      <c r="AH368"/>
    </row>
    <row r="369" spans="8:34" s="23" customFormat="1" x14ac:dyDescent="0.25">
      <c r="H369" s="78"/>
      <c r="I369" s="78"/>
      <c r="J369" s="78"/>
      <c r="K369" s="78"/>
      <c r="L369" s="78"/>
      <c r="M369" s="78"/>
      <c r="N369" s="78"/>
      <c r="O369" s="78"/>
      <c r="P369" s="78"/>
      <c r="Q369" s="78"/>
      <c r="R369" s="78"/>
      <c r="S369" s="78"/>
      <c r="T369" s="78"/>
      <c r="U369" s="78"/>
      <c r="V369" s="78"/>
      <c r="W369" s="78"/>
      <c r="X369" s="78"/>
      <c r="Y369" s="78"/>
      <c r="Z369" s="78"/>
      <c r="AA369" s="78"/>
      <c r="AB369" s="78"/>
      <c r="AC369" s="78"/>
      <c r="AD369" s="78"/>
      <c r="AE369" s="78"/>
      <c r="AH369"/>
    </row>
    <row r="370" spans="8:34" s="23" customFormat="1" x14ac:dyDescent="0.25">
      <c r="H370" s="78"/>
      <c r="I370" s="78"/>
      <c r="J370" s="78"/>
      <c r="K370" s="78"/>
      <c r="L370" s="78"/>
      <c r="M370" s="78"/>
      <c r="N370" s="78"/>
      <c r="O370" s="78"/>
      <c r="P370" s="78"/>
      <c r="Q370" s="78"/>
      <c r="R370" s="78"/>
      <c r="S370" s="78"/>
      <c r="T370" s="78"/>
      <c r="U370" s="78"/>
      <c r="V370" s="78"/>
      <c r="W370" s="78"/>
      <c r="X370" s="78"/>
      <c r="Y370" s="78"/>
      <c r="Z370" s="78"/>
      <c r="AA370" s="78"/>
      <c r="AB370" s="78"/>
      <c r="AC370" s="78"/>
      <c r="AD370" s="78"/>
      <c r="AE370" s="78"/>
      <c r="AH370"/>
    </row>
    <row r="371" spans="8:34" s="23" customFormat="1" x14ac:dyDescent="0.25">
      <c r="H371" s="78"/>
      <c r="I371" s="78"/>
      <c r="J371" s="78"/>
      <c r="K371" s="78"/>
      <c r="L371" s="78"/>
      <c r="M371" s="78"/>
      <c r="N371" s="78"/>
      <c r="O371" s="78"/>
      <c r="P371" s="78"/>
      <c r="Q371" s="78"/>
      <c r="R371" s="78"/>
      <c r="S371" s="78"/>
      <c r="T371" s="78"/>
      <c r="U371" s="78"/>
      <c r="V371" s="78"/>
      <c r="W371" s="78"/>
      <c r="X371" s="78"/>
      <c r="Y371" s="78"/>
      <c r="Z371" s="78"/>
      <c r="AA371" s="78"/>
      <c r="AB371" s="78"/>
      <c r="AC371" s="78"/>
      <c r="AD371" s="78"/>
      <c r="AE371" s="78"/>
      <c r="AH371"/>
    </row>
    <row r="372" spans="8:34" s="23" customFormat="1" x14ac:dyDescent="0.25">
      <c r="H372" s="78"/>
      <c r="I372" s="78"/>
      <c r="J372" s="78"/>
      <c r="K372" s="78"/>
      <c r="L372" s="78"/>
      <c r="M372" s="78"/>
      <c r="N372" s="78"/>
      <c r="O372" s="78"/>
      <c r="P372" s="78"/>
      <c r="Q372" s="78"/>
      <c r="R372" s="78"/>
      <c r="S372" s="78"/>
      <c r="T372" s="78"/>
      <c r="U372" s="78"/>
      <c r="V372" s="78"/>
      <c r="W372" s="78"/>
      <c r="X372" s="78"/>
      <c r="Y372" s="78"/>
      <c r="Z372" s="78"/>
      <c r="AA372" s="78"/>
      <c r="AB372" s="78"/>
      <c r="AC372" s="78"/>
      <c r="AD372" s="78"/>
      <c r="AE372" s="78"/>
      <c r="AH372"/>
    </row>
    <row r="373" spans="8:34" s="23" customFormat="1" x14ac:dyDescent="0.25">
      <c r="H373" s="78"/>
      <c r="I373" s="78"/>
      <c r="J373" s="78"/>
      <c r="K373" s="78"/>
      <c r="L373" s="78"/>
      <c r="M373" s="78"/>
      <c r="N373" s="78"/>
      <c r="O373" s="78"/>
      <c r="P373" s="78"/>
      <c r="Q373" s="78"/>
      <c r="R373" s="78"/>
      <c r="S373" s="78"/>
      <c r="T373" s="78"/>
      <c r="U373" s="78"/>
      <c r="V373" s="78"/>
      <c r="W373" s="78"/>
      <c r="X373" s="78"/>
      <c r="Y373" s="78"/>
      <c r="Z373" s="78"/>
      <c r="AA373" s="78"/>
      <c r="AB373" s="78"/>
      <c r="AC373" s="78"/>
      <c r="AD373" s="78"/>
      <c r="AE373" s="78"/>
      <c r="AH373"/>
    </row>
    <row r="374" spans="8:34" s="23" customFormat="1" x14ac:dyDescent="0.25">
      <c r="H374" s="78"/>
      <c r="I374" s="78"/>
      <c r="J374" s="78"/>
      <c r="K374" s="78"/>
      <c r="L374" s="78"/>
      <c r="M374" s="78"/>
      <c r="N374" s="78"/>
      <c r="O374" s="78"/>
      <c r="P374" s="78"/>
      <c r="Q374" s="78"/>
      <c r="R374" s="78"/>
      <c r="S374" s="78"/>
      <c r="T374" s="78"/>
      <c r="U374" s="78"/>
      <c r="V374" s="78"/>
      <c r="W374" s="78"/>
      <c r="X374" s="78"/>
      <c r="Y374" s="78"/>
      <c r="Z374" s="78"/>
      <c r="AA374" s="78"/>
      <c r="AB374" s="78"/>
      <c r="AC374" s="78"/>
      <c r="AD374" s="78"/>
      <c r="AE374" s="78"/>
      <c r="AH374"/>
    </row>
    <row r="375" spans="8:34" s="23" customFormat="1" x14ac:dyDescent="0.25">
      <c r="H375" s="78"/>
      <c r="I375" s="78"/>
      <c r="J375" s="78"/>
      <c r="K375" s="78"/>
      <c r="L375" s="78"/>
      <c r="M375" s="78"/>
      <c r="N375" s="78"/>
      <c r="O375" s="78"/>
      <c r="P375" s="78"/>
      <c r="Q375" s="78"/>
      <c r="R375" s="78"/>
      <c r="S375" s="78"/>
      <c r="T375" s="78"/>
      <c r="U375" s="78"/>
      <c r="V375" s="78"/>
      <c r="W375" s="78"/>
      <c r="X375" s="78"/>
      <c r="Y375" s="78"/>
      <c r="Z375" s="78"/>
      <c r="AA375" s="78"/>
      <c r="AB375" s="78"/>
      <c r="AC375" s="78"/>
      <c r="AD375" s="78"/>
      <c r="AE375" s="78"/>
      <c r="AH375"/>
    </row>
    <row r="376" spans="8:34" s="23" customFormat="1" x14ac:dyDescent="0.25">
      <c r="H376" s="78"/>
      <c r="I376" s="78"/>
      <c r="J376" s="78"/>
      <c r="K376" s="78"/>
      <c r="L376" s="78"/>
      <c r="M376" s="78"/>
      <c r="N376" s="78"/>
      <c r="O376" s="78"/>
      <c r="P376" s="78"/>
      <c r="Q376" s="78"/>
      <c r="R376" s="78"/>
      <c r="S376" s="78"/>
      <c r="T376" s="78"/>
      <c r="U376" s="78"/>
      <c r="V376" s="78"/>
      <c r="W376" s="78"/>
      <c r="X376" s="78"/>
      <c r="Y376" s="78"/>
      <c r="Z376" s="78"/>
      <c r="AA376" s="78"/>
      <c r="AB376" s="78"/>
      <c r="AC376" s="78"/>
      <c r="AD376" s="78"/>
      <c r="AE376" s="78"/>
      <c r="AH376"/>
    </row>
    <row r="377" spans="8:34" s="23" customFormat="1" x14ac:dyDescent="0.25">
      <c r="H377" s="78"/>
      <c r="I377" s="78"/>
      <c r="J377" s="78"/>
      <c r="K377" s="78"/>
      <c r="L377" s="78"/>
      <c r="M377" s="78"/>
      <c r="N377" s="78"/>
      <c r="O377" s="78"/>
      <c r="P377" s="78"/>
      <c r="Q377" s="78"/>
      <c r="R377" s="78"/>
      <c r="S377" s="78"/>
      <c r="T377" s="78"/>
      <c r="U377" s="78"/>
      <c r="V377" s="78"/>
      <c r="W377" s="78"/>
      <c r="X377" s="78"/>
      <c r="Y377" s="78"/>
      <c r="Z377" s="78"/>
      <c r="AA377" s="78"/>
      <c r="AB377" s="78"/>
      <c r="AC377" s="78"/>
      <c r="AD377" s="78"/>
      <c r="AE377" s="78"/>
      <c r="AH377"/>
    </row>
    <row r="378" spans="8:34" s="23" customFormat="1" x14ac:dyDescent="0.25">
      <c r="H378" s="78"/>
      <c r="I378" s="78"/>
      <c r="J378" s="78"/>
      <c r="K378" s="78"/>
      <c r="L378" s="78"/>
      <c r="M378" s="78"/>
      <c r="N378" s="78"/>
      <c r="O378" s="78"/>
      <c r="P378" s="78"/>
      <c r="Q378" s="78"/>
      <c r="R378" s="78"/>
      <c r="S378" s="78"/>
      <c r="T378" s="78"/>
      <c r="U378" s="78"/>
      <c r="V378" s="78"/>
      <c r="W378" s="78"/>
      <c r="X378" s="78"/>
      <c r="Y378" s="78"/>
      <c r="Z378" s="78"/>
      <c r="AA378" s="78"/>
      <c r="AB378" s="78"/>
      <c r="AC378" s="78"/>
      <c r="AD378" s="78"/>
      <c r="AE378" s="78"/>
      <c r="AH378"/>
    </row>
    <row r="379" spans="8:34" s="23" customFormat="1" x14ac:dyDescent="0.25">
      <c r="H379" s="78"/>
      <c r="I379" s="78"/>
      <c r="J379" s="78"/>
      <c r="K379" s="78"/>
      <c r="L379" s="78"/>
      <c r="M379" s="78"/>
      <c r="N379" s="78"/>
      <c r="O379" s="78"/>
      <c r="P379" s="78"/>
      <c r="Q379" s="78"/>
      <c r="R379" s="78"/>
      <c r="S379" s="78"/>
      <c r="T379" s="78"/>
      <c r="U379" s="78"/>
      <c r="V379" s="78"/>
      <c r="W379" s="78"/>
      <c r="X379" s="78"/>
      <c r="Y379" s="78"/>
      <c r="Z379" s="78"/>
      <c r="AA379" s="78"/>
      <c r="AB379" s="78"/>
      <c r="AC379" s="78"/>
      <c r="AD379" s="78"/>
      <c r="AE379" s="78"/>
      <c r="AH379"/>
    </row>
    <row r="380" spans="8:34" s="23" customFormat="1" x14ac:dyDescent="0.25">
      <c r="H380" s="78"/>
      <c r="I380" s="78"/>
      <c r="J380" s="78"/>
      <c r="K380" s="78"/>
      <c r="L380" s="78"/>
      <c r="M380" s="78"/>
      <c r="N380" s="78"/>
      <c r="O380" s="78"/>
      <c r="P380" s="78"/>
      <c r="Q380" s="78"/>
      <c r="R380" s="78"/>
      <c r="S380" s="78"/>
      <c r="T380" s="78"/>
      <c r="U380" s="78"/>
      <c r="V380" s="78"/>
      <c r="W380" s="78"/>
      <c r="X380" s="78"/>
      <c r="Y380" s="78"/>
      <c r="Z380" s="78"/>
      <c r="AA380" s="78"/>
      <c r="AB380" s="78"/>
      <c r="AC380" s="78"/>
      <c r="AD380" s="78"/>
      <c r="AE380" s="78"/>
      <c r="AH380"/>
    </row>
    <row r="381" spans="8:34" s="23" customFormat="1" x14ac:dyDescent="0.25">
      <c r="H381" s="78"/>
      <c r="I381" s="78"/>
      <c r="J381" s="78"/>
      <c r="K381" s="78"/>
      <c r="L381" s="78"/>
      <c r="M381" s="78"/>
      <c r="N381" s="78"/>
      <c r="O381" s="78"/>
      <c r="P381" s="78"/>
      <c r="Q381" s="78"/>
      <c r="R381" s="78"/>
      <c r="S381" s="78"/>
      <c r="T381" s="78"/>
      <c r="U381" s="78"/>
      <c r="V381" s="78"/>
      <c r="W381" s="78"/>
      <c r="X381" s="78"/>
      <c r="Y381" s="78"/>
      <c r="Z381" s="78"/>
      <c r="AA381" s="78"/>
      <c r="AB381" s="78"/>
      <c r="AC381" s="78"/>
      <c r="AD381" s="78"/>
      <c r="AE381" s="78"/>
      <c r="AH381"/>
    </row>
    <row r="382" spans="8:34" s="23" customFormat="1" x14ac:dyDescent="0.25">
      <c r="H382" s="78"/>
      <c r="I382" s="78"/>
      <c r="J382" s="78"/>
      <c r="K382" s="78"/>
      <c r="L382" s="78"/>
      <c r="M382" s="78"/>
      <c r="N382" s="78"/>
      <c r="O382" s="78"/>
      <c r="P382" s="78"/>
      <c r="Q382" s="78"/>
      <c r="R382" s="78"/>
      <c r="S382" s="78"/>
      <c r="T382" s="78"/>
      <c r="U382" s="78"/>
      <c r="V382" s="78"/>
      <c r="W382" s="78"/>
      <c r="X382" s="78"/>
      <c r="Y382" s="78"/>
      <c r="Z382" s="78"/>
      <c r="AA382" s="78"/>
      <c r="AB382" s="78"/>
      <c r="AC382" s="78"/>
      <c r="AD382" s="78"/>
      <c r="AE382" s="78"/>
      <c r="AH382"/>
    </row>
    <row r="383" spans="8:34" s="23" customFormat="1" x14ac:dyDescent="0.25">
      <c r="H383" s="78"/>
      <c r="I383" s="78"/>
      <c r="J383" s="78"/>
      <c r="K383" s="78"/>
      <c r="L383" s="78"/>
      <c r="M383" s="78"/>
      <c r="N383" s="78"/>
      <c r="O383" s="78"/>
      <c r="P383" s="78"/>
      <c r="Q383" s="78"/>
      <c r="R383" s="78"/>
      <c r="S383" s="78"/>
      <c r="T383" s="78"/>
      <c r="U383" s="78"/>
      <c r="V383" s="78"/>
      <c r="W383" s="78"/>
      <c r="X383" s="78"/>
      <c r="Y383" s="78"/>
      <c r="Z383" s="78"/>
      <c r="AA383" s="78"/>
      <c r="AB383" s="78"/>
      <c r="AC383" s="78"/>
      <c r="AD383" s="78"/>
      <c r="AE383" s="78"/>
      <c r="AH383"/>
    </row>
    <row r="384" spans="8:34" s="23" customFormat="1" x14ac:dyDescent="0.25">
      <c r="H384" s="78"/>
      <c r="I384" s="78"/>
      <c r="J384" s="78"/>
      <c r="K384" s="78"/>
      <c r="L384" s="78"/>
      <c r="M384" s="78"/>
      <c r="N384" s="78"/>
      <c r="O384" s="78"/>
      <c r="P384" s="78"/>
      <c r="Q384" s="78"/>
      <c r="R384" s="78"/>
      <c r="S384" s="78"/>
      <c r="T384" s="78"/>
      <c r="U384" s="78"/>
      <c r="V384" s="78"/>
      <c r="W384" s="78"/>
      <c r="X384" s="78"/>
      <c r="Y384" s="78"/>
      <c r="Z384" s="78"/>
      <c r="AA384" s="78"/>
      <c r="AB384" s="78"/>
      <c r="AC384" s="78"/>
      <c r="AD384" s="78"/>
      <c r="AE384" s="78"/>
      <c r="AH384"/>
    </row>
    <row r="385" spans="8:34" s="23" customFormat="1" x14ac:dyDescent="0.25">
      <c r="H385" s="78"/>
      <c r="I385" s="78"/>
      <c r="J385" s="78"/>
      <c r="K385" s="78"/>
      <c r="L385" s="78"/>
      <c r="M385" s="78"/>
      <c r="N385" s="78"/>
      <c r="O385" s="78"/>
      <c r="P385" s="78"/>
      <c r="Q385" s="78"/>
      <c r="R385" s="78"/>
      <c r="S385" s="78"/>
      <c r="T385" s="78"/>
      <c r="U385" s="78"/>
      <c r="V385" s="78"/>
      <c r="W385" s="78"/>
      <c r="X385" s="78"/>
      <c r="Y385" s="78"/>
      <c r="Z385" s="78"/>
      <c r="AA385" s="78"/>
      <c r="AB385" s="78"/>
      <c r="AC385" s="78"/>
      <c r="AD385" s="78"/>
      <c r="AE385" s="78"/>
      <c r="AH385"/>
    </row>
    <row r="386" spans="8:34" s="23" customFormat="1" x14ac:dyDescent="0.25">
      <c r="H386" s="78"/>
      <c r="I386" s="78"/>
      <c r="J386" s="78"/>
      <c r="K386" s="78"/>
      <c r="L386" s="78"/>
      <c r="M386" s="78"/>
      <c r="N386" s="78"/>
      <c r="O386" s="78"/>
      <c r="P386" s="78"/>
      <c r="Q386" s="78"/>
      <c r="R386" s="78"/>
      <c r="S386" s="78"/>
      <c r="T386" s="78"/>
      <c r="U386" s="78"/>
      <c r="V386" s="78"/>
      <c r="W386" s="78"/>
      <c r="X386" s="78"/>
      <c r="Y386" s="78"/>
      <c r="Z386" s="78"/>
      <c r="AA386" s="78"/>
      <c r="AB386" s="78"/>
      <c r="AC386" s="78"/>
      <c r="AD386" s="78"/>
      <c r="AE386" s="78"/>
      <c r="AH386"/>
    </row>
    <row r="387" spans="8:34" s="23" customFormat="1" x14ac:dyDescent="0.25">
      <c r="H387" s="78"/>
      <c r="I387" s="78"/>
      <c r="J387" s="78"/>
      <c r="K387" s="78"/>
      <c r="L387" s="78"/>
      <c r="M387" s="78"/>
      <c r="N387" s="78"/>
      <c r="O387" s="78"/>
      <c r="P387" s="78"/>
      <c r="Q387" s="78"/>
      <c r="R387" s="78"/>
      <c r="S387" s="78"/>
      <c r="T387" s="78"/>
      <c r="U387" s="78"/>
      <c r="V387" s="78"/>
      <c r="W387" s="78"/>
      <c r="X387" s="78"/>
      <c r="Y387" s="78"/>
      <c r="Z387" s="78"/>
      <c r="AA387" s="78"/>
      <c r="AB387" s="78"/>
      <c r="AC387" s="78"/>
      <c r="AD387" s="78"/>
      <c r="AE387" s="78"/>
      <c r="AH387"/>
    </row>
    <row r="388" spans="8:34" s="23" customFormat="1" x14ac:dyDescent="0.25">
      <c r="H388" s="78"/>
      <c r="I388" s="78"/>
      <c r="J388" s="78"/>
      <c r="K388" s="78"/>
      <c r="L388" s="78"/>
      <c r="M388" s="78"/>
      <c r="N388" s="78"/>
      <c r="O388" s="78"/>
      <c r="P388" s="78"/>
      <c r="Q388" s="78"/>
      <c r="R388" s="78"/>
      <c r="S388" s="78"/>
      <c r="T388" s="78"/>
      <c r="U388" s="78"/>
      <c r="V388" s="78"/>
      <c r="W388" s="78"/>
      <c r="X388" s="78"/>
      <c r="Y388" s="78"/>
      <c r="Z388" s="78"/>
      <c r="AA388" s="78"/>
      <c r="AB388" s="78"/>
      <c r="AC388" s="78"/>
      <c r="AD388" s="78"/>
      <c r="AE388" s="78"/>
      <c r="AH388"/>
    </row>
    <row r="389" spans="8:34" s="23" customFormat="1" x14ac:dyDescent="0.25">
      <c r="H389" s="78"/>
      <c r="I389" s="78"/>
      <c r="J389" s="78"/>
      <c r="K389" s="78"/>
      <c r="L389" s="78"/>
      <c r="M389" s="78"/>
      <c r="N389" s="78"/>
      <c r="O389" s="78"/>
      <c r="P389" s="78"/>
      <c r="Q389" s="78"/>
      <c r="R389" s="78"/>
      <c r="S389" s="78"/>
      <c r="T389" s="78"/>
      <c r="U389" s="78"/>
      <c r="V389" s="78"/>
      <c r="W389" s="78"/>
      <c r="X389" s="78"/>
      <c r="Y389" s="78"/>
      <c r="Z389" s="78"/>
      <c r="AA389" s="78"/>
      <c r="AB389" s="78"/>
      <c r="AC389" s="78"/>
      <c r="AD389" s="78"/>
      <c r="AE389" s="78"/>
      <c r="AH389"/>
    </row>
    <row r="390" spans="8:34" s="23" customFormat="1" x14ac:dyDescent="0.25">
      <c r="H390" s="78"/>
      <c r="I390" s="78"/>
      <c r="J390" s="78"/>
      <c r="K390" s="78"/>
      <c r="L390" s="78"/>
      <c r="M390" s="78"/>
      <c r="N390" s="78"/>
      <c r="O390" s="78"/>
      <c r="P390" s="78"/>
      <c r="Q390" s="78"/>
      <c r="R390" s="78"/>
      <c r="S390" s="78"/>
      <c r="T390" s="78"/>
      <c r="U390" s="78"/>
      <c r="V390" s="78"/>
      <c r="W390" s="78"/>
      <c r="X390" s="78"/>
      <c r="Y390" s="78"/>
      <c r="Z390" s="78"/>
      <c r="AA390" s="78"/>
      <c r="AB390" s="78"/>
      <c r="AC390" s="78"/>
      <c r="AD390" s="78"/>
      <c r="AE390" s="78"/>
      <c r="AH390"/>
    </row>
    <row r="391" spans="8:34" s="23" customFormat="1" x14ac:dyDescent="0.25">
      <c r="H391" s="78"/>
      <c r="I391" s="78"/>
      <c r="J391" s="78"/>
      <c r="K391" s="78"/>
      <c r="L391" s="78"/>
      <c r="M391" s="78"/>
      <c r="N391" s="78"/>
      <c r="O391" s="78"/>
      <c r="P391" s="78"/>
      <c r="Q391" s="78"/>
      <c r="R391" s="78"/>
      <c r="S391" s="78"/>
      <c r="T391" s="78"/>
      <c r="U391" s="78"/>
      <c r="V391" s="78"/>
      <c r="W391" s="78"/>
      <c r="X391" s="78"/>
      <c r="Y391" s="78"/>
      <c r="Z391" s="78"/>
      <c r="AA391" s="78"/>
      <c r="AB391" s="78"/>
      <c r="AC391" s="78"/>
      <c r="AD391" s="78"/>
      <c r="AE391" s="78"/>
      <c r="AH391"/>
    </row>
    <row r="392" spans="8:34" s="23" customFormat="1" x14ac:dyDescent="0.25">
      <c r="H392" s="78"/>
      <c r="I392" s="78"/>
      <c r="J392" s="78"/>
      <c r="K392" s="78"/>
      <c r="L392" s="78"/>
      <c r="M392" s="78"/>
      <c r="N392" s="78"/>
      <c r="O392" s="78"/>
      <c r="P392" s="78"/>
      <c r="Q392" s="78"/>
      <c r="R392" s="78"/>
      <c r="S392" s="78"/>
      <c r="T392" s="78"/>
      <c r="U392" s="78"/>
      <c r="V392" s="78"/>
      <c r="W392" s="78"/>
      <c r="X392" s="78"/>
      <c r="Y392" s="78"/>
      <c r="Z392" s="78"/>
      <c r="AA392" s="78"/>
      <c r="AB392" s="78"/>
      <c r="AC392" s="78"/>
      <c r="AD392" s="78"/>
      <c r="AE392" s="78"/>
      <c r="AH392"/>
    </row>
    <row r="393" spans="8:34" s="23" customFormat="1" x14ac:dyDescent="0.25">
      <c r="H393" s="78"/>
      <c r="I393" s="78"/>
      <c r="J393" s="78"/>
      <c r="K393" s="78"/>
      <c r="L393" s="78"/>
      <c r="M393" s="78"/>
      <c r="N393" s="78"/>
      <c r="O393" s="78"/>
      <c r="P393" s="78"/>
      <c r="Q393" s="78"/>
      <c r="R393" s="78"/>
      <c r="S393" s="78"/>
      <c r="T393" s="78"/>
      <c r="U393" s="78"/>
      <c r="V393" s="78"/>
      <c r="W393" s="78"/>
      <c r="X393" s="78"/>
      <c r="Y393" s="78"/>
      <c r="Z393" s="78"/>
      <c r="AA393" s="78"/>
      <c r="AB393" s="78"/>
      <c r="AC393" s="78"/>
      <c r="AD393" s="78"/>
      <c r="AE393" s="78"/>
      <c r="AH393"/>
    </row>
    <row r="394" spans="8:34" s="23" customFormat="1" x14ac:dyDescent="0.25">
      <c r="H394" s="78"/>
      <c r="I394" s="78"/>
      <c r="J394" s="78"/>
      <c r="K394" s="78"/>
      <c r="L394" s="78"/>
      <c r="M394" s="78"/>
      <c r="N394" s="78"/>
      <c r="O394" s="78"/>
      <c r="P394" s="78"/>
      <c r="Q394" s="78"/>
      <c r="R394" s="78"/>
      <c r="S394" s="78"/>
      <c r="T394" s="78"/>
      <c r="U394" s="78"/>
      <c r="V394" s="78"/>
      <c r="W394" s="78"/>
      <c r="X394" s="78"/>
      <c r="Y394" s="78"/>
      <c r="Z394" s="78"/>
      <c r="AA394" s="78"/>
      <c r="AB394" s="78"/>
      <c r="AC394" s="78"/>
      <c r="AD394" s="78"/>
      <c r="AE394" s="78"/>
      <c r="AH394"/>
    </row>
    <row r="395" spans="8:34" s="23" customFormat="1" x14ac:dyDescent="0.25">
      <c r="H395" s="78"/>
      <c r="I395" s="78"/>
      <c r="J395" s="78"/>
      <c r="K395" s="78"/>
      <c r="L395" s="78"/>
      <c r="M395" s="78"/>
      <c r="N395" s="78"/>
      <c r="O395" s="78"/>
      <c r="P395" s="78"/>
      <c r="Q395" s="78"/>
      <c r="R395" s="78"/>
      <c r="S395" s="78"/>
      <c r="T395" s="78"/>
      <c r="U395" s="78"/>
      <c r="V395" s="78"/>
      <c r="W395" s="78"/>
      <c r="X395" s="78"/>
      <c r="Y395" s="78"/>
      <c r="Z395" s="78"/>
      <c r="AA395" s="78"/>
      <c r="AB395" s="78"/>
      <c r="AC395" s="78"/>
      <c r="AD395" s="78"/>
      <c r="AE395" s="78"/>
      <c r="AH395"/>
    </row>
    <row r="396" spans="8:34" s="23" customFormat="1" x14ac:dyDescent="0.25">
      <c r="H396" s="78"/>
      <c r="I396" s="78"/>
      <c r="J396" s="78"/>
      <c r="K396" s="78"/>
      <c r="L396" s="78"/>
      <c r="M396" s="78"/>
      <c r="N396" s="78"/>
      <c r="O396" s="78"/>
      <c r="P396" s="78"/>
      <c r="Q396" s="78"/>
      <c r="R396" s="78"/>
      <c r="S396" s="78"/>
      <c r="T396" s="78"/>
      <c r="U396" s="78"/>
      <c r="V396" s="78"/>
      <c r="W396" s="78"/>
      <c r="X396" s="78"/>
      <c r="Y396" s="78"/>
      <c r="Z396" s="78"/>
      <c r="AA396" s="78"/>
      <c r="AB396" s="78"/>
      <c r="AC396" s="78"/>
      <c r="AD396" s="78"/>
      <c r="AE396" s="78"/>
      <c r="AH396"/>
    </row>
    <row r="397" spans="8:34" s="23" customFormat="1" x14ac:dyDescent="0.25">
      <c r="H397" s="78"/>
      <c r="I397" s="78"/>
      <c r="J397" s="78"/>
      <c r="K397" s="78"/>
      <c r="L397" s="78"/>
      <c r="M397" s="78"/>
      <c r="N397" s="78"/>
      <c r="O397" s="78"/>
      <c r="P397" s="78"/>
      <c r="Q397" s="78"/>
      <c r="R397" s="78"/>
      <c r="S397" s="78"/>
      <c r="T397" s="78"/>
      <c r="U397" s="78"/>
      <c r="V397" s="78"/>
      <c r="W397" s="78"/>
      <c r="X397" s="78"/>
      <c r="Y397" s="78"/>
      <c r="Z397" s="78"/>
      <c r="AA397" s="78"/>
      <c r="AB397" s="78"/>
      <c r="AC397" s="78"/>
      <c r="AD397" s="78"/>
      <c r="AE397" s="78"/>
      <c r="AH397"/>
    </row>
    <row r="398" spans="8:34" s="23" customFormat="1" x14ac:dyDescent="0.25">
      <c r="H398" s="78"/>
      <c r="I398" s="78"/>
      <c r="J398" s="78"/>
      <c r="K398" s="78"/>
      <c r="L398" s="78"/>
      <c r="M398" s="78"/>
      <c r="N398" s="78"/>
      <c r="O398" s="78"/>
      <c r="P398" s="78"/>
      <c r="Q398" s="78"/>
      <c r="R398" s="78"/>
      <c r="S398" s="78"/>
      <c r="T398" s="78"/>
      <c r="U398" s="78"/>
      <c r="V398" s="78"/>
      <c r="W398" s="78"/>
      <c r="X398" s="78"/>
      <c r="Y398" s="78"/>
      <c r="Z398" s="78"/>
      <c r="AA398" s="78"/>
      <c r="AB398" s="78"/>
      <c r="AC398" s="78"/>
      <c r="AD398" s="78"/>
      <c r="AE398" s="78"/>
      <c r="AH398"/>
    </row>
    <row r="399" spans="8:34" s="23" customFormat="1" x14ac:dyDescent="0.25">
      <c r="H399" s="78"/>
      <c r="I399" s="78"/>
      <c r="J399" s="78"/>
      <c r="K399" s="78"/>
      <c r="L399" s="78"/>
      <c r="M399" s="78"/>
      <c r="N399" s="78"/>
      <c r="O399" s="78"/>
      <c r="P399" s="78"/>
      <c r="Q399" s="78"/>
      <c r="R399" s="78"/>
      <c r="S399" s="78"/>
      <c r="T399" s="78"/>
      <c r="U399" s="78"/>
      <c r="V399" s="78"/>
      <c r="W399" s="78"/>
      <c r="X399" s="78"/>
      <c r="Y399" s="78"/>
      <c r="Z399" s="78"/>
      <c r="AA399" s="78"/>
      <c r="AB399" s="78"/>
      <c r="AC399" s="78"/>
      <c r="AD399" s="78"/>
      <c r="AE399" s="78"/>
      <c r="AH399"/>
    </row>
    <row r="400" spans="8:34" s="23" customFormat="1" x14ac:dyDescent="0.25">
      <c r="H400" s="78"/>
      <c r="I400" s="78"/>
      <c r="J400" s="78"/>
      <c r="K400" s="78"/>
      <c r="L400" s="78"/>
      <c r="M400" s="78"/>
      <c r="N400" s="78"/>
      <c r="O400" s="78"/>
      <c r="P400" s="78"/>
      <c r="Q400" s="78"/>
      <c r="R400" s="78"/>
      <c r="S400" s="78"/>
      <c r="T400" s="78"/>
      <c r="U400" s="78"/>
      <c r="V400" s="78"/>
      <c r="W400" s="78"/>
      <c r="X400" s="78"/>
      <c r="Y400" s="78"/>
      <c r="Z400" s="78"/>
      <c r="AA400" s="78"/>
      <c r="AB400" s="78"/>
      <c r="AC400" s="78"/>
      <c r="AD400" s="78"/>
      <c r="AE400" s="78"/>
      <c r="AH400"/>
    </row>
    <row r="401" spans="8:34" s="23" customFormat="1" x14ac:dyDescent="0.25">
      <c r="H401" s="78"/>
      <c r="I401" s="78"/>
      <c r="J401" s="78"/>
      <c r="K401" s="78"/>
      <c r="L401" s="78"/>
      <c r="M401" s="78"/>
      <c r="N401" s="78"/>
      <c r="O401" s="78"/>
      <c r="P401" s="78"/>
      <c r="Q401" s="78"/>
      <c r="R401" s="78"/>
      <c r="S401" s="78"/>
      <c r="T401" s="78"/>
      <c r="U401" s="78"/>
      <c r="V401" s="78"/>
      <c r="W401" s="78"/>
      <c r="X401" s="78"/>
      <c r="Y401" s="78"/>
      <c r="Z401" s="78"/>
      <c r="AA401" s="78"/>
      <c r="AB401" s="78"/>
      <c r="AC401" s="78"/>
      <c r="AD401" s="78"/>
      <c r="AE401" s="78"/>
      <c r="AH401"/>
    </row>
    <row r="402" spans="8:34" s="23" customFormat="1" x14ac:dyDescent="0.25">
      <c r="H402" s="78"/>
      <c r="I402" s="78"/>
      <c r="J402" s="78"/>
      <c r="K402" s="78"/>
      <c r="L402" s="78"/>
      <c r="M402" s="78"/>
      <c r="N402" s="78"/>
      <c r="O402" s="78"/>
      <c r="P402" s="78"/>
      <c r="Q402" s="78"/>
      <c r="R402" s="78"/>
      <c r="S402" s="78"/>
      <c r="T402" s="78"/>
      <c r="U402" s="78"/>
      <c r="V402" s="78"/>
      <c r="W402" s="78"/>
      <c r="X402" s="78"/>
      <c r="Y402" s="78"/>
      <c r="Z402" s="78"/>
      <c r="AA402" s="78"/>
      <c r="AB402" s="78"/>
      <c r="AC402" s="78"/>
      <c r="AD402" s="78"/>
      <c r="AE402" s="78"/>
      <c r="AH402"/>
    </row>
    <row r="403" spans="8:34" s="23" customFormat="1" x14ac:dyDescent="0.25">
      <c r="H403" s="78"/>
      <c r="I403" s="78"/>
      <c r="J403" s="78"/>
      <c r="K403" s="78"/>
      <c r="L403" s="78"/>
      <c r="M403" s="78"/>
      <c r="N403" s="78"/>
      <c r="O403" s="78"/>
      <c r="P403" s="78"/>
      <c r="Q403" s="78"/>
      <c r="R403" s="78"/>
      <c r="S403" s="78"/>
      <c r="T403" s="78"/>
      <c r="U403" s="78"/>
      <c r="V403" s="78"/>
      <c r="W403" s="78"/>
      <c r="X403" s="78"/>
      <c r="Y403" s="78"/>
      <c r="Z403" s="78"/>
      <c r="AA403" s="78"/>
      <c r="AB403" s="78"/>
      <c r="AC403" s="78"/>
      <c r="AD403" s="78"/>
      <c r="AE403" s="78"/>
      <c r="AH403"/>
    </row>
    <row r="404" spans="8:34" s="23" customFormat="1" x14ac:dyDescent="0.25">
      <c r="H404" s="78"/>
      <c r="I404" s="78"/>
      <c r="J404" s="78"/>
      <c r="K404" s="78"/>
      <c r="L404" s="78"/>
      <c r="M404" s="78"/>
      <c r="N404" s="78"/>
      <c r="O404" s="78"/>
      <c r="P404" s="78"/>
      <c r="Q404" s="78"/>
      <c r="R404" s="78"/>
      <c r="S404" s="78"/>
      <c r="T404" s="78"/>
      <c r="U404" s="78"/>
      <c r="V404" s="78"/>
      <c r="W404" s="78"/>
      <c r="X404" s="78"/>
      <c r="Y404" s="78"/>
      <c r="Z404" s="78"/>
      <c r="AA404" s="78"/>
      <c r="AB404" s="78"/>
      <c r="AC404" s="78"/>
      <c r="AD404" s="78"/>
      <c r="AE404" s="78"/>
      <c r="AH404"/>
    </row>
    <row r="405" spans="8:34" s="23" customFormat="1" x14ac:dyDescent="0.25">
      <c r="H405" s="78"/>
      <c r="I405" s="78"/>
      <c r="J405" s="78"/>
      <c r="K405" s="78"/>
      <c r="L405" s="78"/>
      <c r="M405" s="78"/>
      <c r="N405" s="78"/>
      <c r="O405" s="78"/>
      <c r="P405" s="78"/>
      <c r="Q405" s="78"/>
      <c r="R405" s="78"/>
      <c r="S405" s="78"/>
      <c r="T405" s="78"/>
      <c r="U405" s="78"/>
      <c r="V405" s="78"/>
      <c r="W405" s="78"/>
      <c r="X405" s="78"/>
      <c r="Y405" s="78"/>
      <c r="Z405" s="78"/>
      <c r="AA405" s="78"/>
      <c r="AB405" s="78"/>
      <c r="AC405" s="78"/>
      <c r="AD405" s="78"/>
      <c r="AE405" s="78"/>
      <c r="AH405"/>
    </row>
    <row r="406" spans="8:34" s="23" customFormat="1" x14ac:dyDescent="0.25">
      <c r="H406" s="78"/>
      <c r="I406" s="78"/>
      <c r="J406" s="78"/>
      <c r="K406" s="78"/>
      <c r="L406" s="78"/>
      <c r="M406" s="78"/>
      <c r="N406" s="78"/>
      <c r="O406" s="78"/>
      <c r="P406" s="78"/>
      <c r="Q406" s="78"/>
      <c r="R406" s="78"/>
      <c r="S406" s="78"/>
      <c r="T406" s="78"/>
      <c r="U406" s="78"/>
      <c r="V406" s="78"/>
      <c r="W406" s="78"/>
      <c r="X406" s="78"/>
      <c r="Y406" s="78"/>
      <c r="Z406" s="78"/>
      <c r="AA406" s="78"/>
      <c r="AB406" s="78"/>
      <c r="AC406" s="78"/>
      <c r="AD406" s="78"/>
      <c r="AE406" s="78"/>
      <c r="AH406"/>
    </row>
    <row r="407" spans="8:34" s="23" customFormat="1" x14ac:dyDescent="0.25">
      <c r="H407" s="78"/>
      <c r="I407" s="78"/>
      <c r="J407" s="78"/>
      <c r="K407" s="78"/>
      <c r="L407" s="78"/>
      <c r="M407" s="78"/>
      <c r="N407" s="78"/>
      <c r="O407" s="78"/>
      <c r="P407" s="78"/>
      <c r="Q407" s="78"/>
      <c r="R407" s="78"/>
      <c r="S407" s="78"/>
      <c r="T407" s="78"/>
      <c r="U407" s="78"/>
      <c r="V407" s="78"/>
      <c r="W407" s="78"/>
      <c r="X407" s="78"/>
      <c r="Y407" s="78"/>
      <c r="Z407" s="78"/>
      <c r="AA407" s="78"/>
      <c r="AB407" s="78"/>
      <c r="AC407" s="78"/>
      <c r="AD407" s="78"/>
      <c r="AE407" s="78"/>
      <c r="AH407"/>
    </row>
    <row r="408" spans="8:34" s="23" customFormat="1" x14ac:dyDescent="0.25">
      <c r="H408" s="78"/>
      <c r="I408" s="78"/>
      <c r="J408" s="78"/>
      <c r="K408" s="78"/>
      <c r="L408" s="78"/>
      <c r="M408" s="78"/>
      <c r="N408" s="78"/>
      <c r="O408" s="78"/>
      <c r="P408" s="78"/>
      <c r="Q408" s="78"/>
      <c r="R408" s="78"/>
      <c r="S408" s="78"/>
      <c r="T408" s="78"/>
      <c r="U408" s="78"/>
      <c r="V408" s="78"/>
      <c r="W408" s="78"/>
      <c r="X408" s="78"/>
      <c r="Y408" s="78"/>
      <c r="Z408" s="78"/>
      <c r="AA408" s="78"/>
      <c r="AB408" s="78"/>
      <c r="AC408" s="78"/>
      <c r="AD408" s="78"/>
      <c r="AE408" s="78"/>
      <c r="AH408"/>
    </row>
    <row r="409" spans="8:34" s="23" customFormat="1" x14ac:dyDescent="0.25">
      <c r="H409" s="78"/>
      <c r="I409" s="78"/>
      <c r="J409" s="78"/>
      <c r="K409" s="78"/>
      <c r="L409" s="78"/>
      <c r="M409" s="78"/>
      <c r="N409" s="78"/>
      <c r="O409" s="78"/>
      <c r="P409" s="78"/>
      <c r="Q409" s="78"/>
      <c r="R409" s="78"/>
      <c r="S409" s="78"/>
      <c r="T409" s="78"/>
      <c r="U409" s="78"/>
      <c r="V409" s="78"/>
      <c r="W409" s="78"/>
      <c r="X409" s="78"/>
      <c r="Y409" s="78"/>
      <c r="Z409" s="78"/>
      <c r="AA409" s="78"/>
      <c r="AB409" s="78"/>
      <c r="AC409" s="78"/>
      <c r="AD409" s="78"/>
      <c r="AE409" s="78"/>
      <c r="AH409"/>
    </row>
    <row r="410" spans="8:34" s="23" customFormat="1" x14ac:dyDescent="0.25">
      <c r="H410" s="78"/>
      <c r="I410" s="78"/>
      <c r="J410" s="78"/>
      <c r="K410" s="78"/>
      <c r="L410" s="78"/>
      <c r="M410" s="78"/>
      <c r="N410" s="78"/>
      <c r="O410" s="78"/>
      <c r="P410" s="78"/>
      <c r="Q410" s="78"/>
      <c r="R410" s="78"/>
      <c r="S410" s="78"/>
      <c r="T410" s="78"/>
      <c r="U410" s="78"/>
      <c r="V410" s="78"/>
      <c r="W410" s="78"/>
      <c r="X410" s="78"/>
      <c r="Y410" s="78"/>
      <c r="Z410" s="78"/>
      <c r="AA410" s="78"/>
      <c r="AB410" s="78"/>
      <c r="AC410" s="78"/>
      <c r="AD410" s="78"/>
      <c r="AE410" s="78"/>
      <c r="AH410"/>
    </row>
    <row r="411" spans="8:34" s="23" customFormat="1" x14ac:dyDescent="0.25">
      <c r="H411" s="78"/>
      <c r="I411" s="78"/>
      <c r="J411" s="78"/>
      <c r="K411" s="78"/>
      <c r="L411" s="78"/>
      <c r="M411" s="78"/>
      <c r="N411" s="78"/>
      <c r="O411" s="78"/>
      <c r="P411" s="78"/>
      <c r="Q411" s="78"/>
      <c r="R411" s="78"/>
      <c r="S411" s="78"/>
      <c r="T411" s="78"/>
      <c r="U411" s="78"/>
      <c r="V411" s="78"/>
      <c r="W411" s="78"/>
      <c r="X411" s="78"/>
      <c r="Y411" s="78"/>
      <c r="Z411" s="78"/>
      <c r="AA411" s="78"/>
      <c r="AB411" s="78"/>
      <c r="AC411" s="78"/>
      <c r="AD411" s="78"/>
      <c r="AE411" s="78"/>
      <c r="AH411"/>
    </row>
    <row r="412" spans="8:34" s="23" customFormat="1" x14ac:dyDescent="0.25">
      <c r="H412" s="78"/>
      <c r="I412" s="78"/>
      <c r="J412" s="78"/>
      <c r="K412" s="78"/>
      <c r="L412" s="78"/>
      <c r="M412" s="78"/>
      <c r="N412" s="78"/>
      <c r="O412" s="78"/>
      <c r="P412" s="78"/>
      <c r="Q412" s="78"/>
      <c r="R412" s="78"/>
      <c r="S412" s="78"/>
      <c r="T412" s="78"/>
      <c r="U412" s="78"/>
      <c r="V412" s="78"/>
      <c r="W412" s="78"/>
      <c r="X412" s="78"/>
      <c r="Y412" s="78"/>
      <c r="Z412" s="78"/>
      <c r="AA412" s="78"/>
      <c r="AB412" s="78"/>
      <c r="AC412" s="78"/>
      <c r="AD412" s="78"/>
      <c r="AE412" s="78"/>
      <c r="AH412"/>
    </row>
    <row r="413" spans="8:34" s="23" customFormat="1" x14ac:dyDescent="0.25">
      <c r="H413" s="78"/>
      <c r="I413" s="78"/>
      <c r="J413" s="78"/>
      <c r="K413" s="78"/>
      <c r="L413" s="78"/>
      <c r="M413" s="78"/>
      <c r="N413" s="78"/>
      <c r="O413" s="78"/>
      <c r="P413" s="78"/>
      <c r="Q413" s="78"/>
      <c r="R413" s="78"/>
      <c r="S413" s="78"/>
      <c r="T413" s="78"/>
      <c r="U413" s="78"/>
      <c r="V413" s="78"/>
      <c r="W413" s="78"/>
      <c r="X413" s="78"/>
      <c r="Y413" s="78"/>
      <c r="Z413" s="78"/>
      <c r="AA413" s="78"/>
      <c r="AB413" s="78"/>
      <c r="AC413" s="78"/>
      <c r="AD413" s="78"/>
      <c r="AE413" s="78"/>
      <c r="AH413"/>
    </row>
    <row r="414" spans="8:34" s="23" customFormat="1" x14ac:dyDescent="0.25">
      <c r="H414" s="78"/>
      <c r="I414" s="78"/>
      <c r="J414" s="78"/>
      <c r="K414" s="78"/>
      <c r="L414" s="78"/>
      <c r="M414" s="78"/>
      <c r="N414" s="78"/>
      <c r="O414" s="78"/>
      <c r="P414" s="78"/>
      <c r="Q414" s="78"/>
      <c r="R414" s="78"/>
      <c r="S414" s="78"/>
      <c r="T414" s="78"/>
      <c r="U414" s="78"/>
      <c r="V414" s="78"/>
      <c r="W414" s="78"/>
      <c r="X414" s="78"/>
      <c r="Y414" s="78"/>
      <c r="Z414" s="78"/>
      <c r="AA414" s="78"/>
      <c r="AB414" s="78"/>
      <c r="AC414" s="78"/>
      <c r="AD414" s="78"/>
      <c r="AE414" s="78"/>
      <c r="AH414"/>
    </row>
    <row r="415" spans="8:34" s="23" customFormat="1" x14ac:dyDescent="0.25">
      <c r="H415" s="78"/>
      <c r="I415" s="78"/>
      <c r="J415" s="78"/>
      <c r="K415" s="78"/>
      <c r="L415" s="78"/>
      <c r="M415" s="78"/>
      <c r="N415" s="78"/>
      <c r="O415" s="78"/>
      <c r="P415" s="78"/>
      <c r="Q415" s="78"/>
      <c r="R415" s="78"/>
      <c r="S415" s="78"/>
      <c r="T415" s="78"/>
      <c r="U415" s="78"/>
      <c r="V415" s="78"/>
      <c r="W415" s="78"/>
      <c r="X415" s="78"/>
      <c r="Y415" s="78"/>
      <c r="Z415" s="78"/>
      <c r="AA415" s="78"/>
      <c r="AB415" s="78"/>
      <c r="AC415" s="78"/>
      <c r="AD415" s="78"/>
      <c r="AE415" s="78"/>
      <c r="AH415"/>
    </row>
    <row r="416" spans="8:34" s="23" customFormat="1" x14ac:dyDescent="0.25">
      <c r="H416" s="78"/>
      <c r="I416" s="78"/>
      <c r="J416" s="78"/>
      <c r="K416" s="78"/>
      <c r="L416" s="78"/>
      <c r="M416" s="78"/>
      <c r="N416" s="78"/>
      <c r="O416" s="78"/>
      <c r="P416" s="78"/>
      <c r="Q416" s="78"/>
      <c r="R416" s="78"/>
      <c r="S416" s="78"/>
      <c r="T416" s="78"/>
      <c r="U416" s="78"/>
      <c r="V416" s="78"/>
      <c r="W416" s="78"/>
      <c r="X416" s="78"/>
      <c r="Y416" s="78"/>
      <c r="Z416" s="78"/>
      <c r="AA416" s="78"/>
      <c r="AB416" s="78"/>
      <c r="AC416" s="78"/>
      <c r="AD416" s="78"/>
      <c r="AE416" s="78"/>
      <c r="AH416"/>
    </row>
    <row r="417" spans="8:34" s="23" customFormat="1" x14ac:dyDescent="0.25">
      <c r="H417" s="78"/>
      <c r="I417" s="78"/>
      <c r="J417" s="78"/>
      <c r="K417" s="78"/>
      <c r="L417" s="78"/>
      <c r="M417" s="78"/>
      <c r="N417" s="78"/>
      <c r="O417" s="78"/>
      <c r="P417" s="78"/>
      <c r="Q417" s="78"/>
      <c r="R417" s="78"/>
      <c r="S417" s="78"/>
      <c r="T417" s="78"/>
      <c r="U417" s="78"/>
      <c r="V417" s="78"/>
      <c r="W417" s="78"/>
      <c r="X417" s="78"/>
      <c r="Y417" s="78"/>
      <c r="Z417" s="78"/>
      <c r="AA417" s="78"/>
      <c r="AB417" s="78"/>
      <c r="AC417" s="78"/>
      <c r="AD417" s="78"/>
      <c r="AE417" s="78"/>
      <c r="AH417"/>
    </row>
    <row r="418" spans="8:34" s="23" customFormat="1" x14ac:dyDescent="0.25">
      <c r="H418" s="78"/>
      <c r="I418" s="78"/>
      <c r="J418" s="78"/>
      <c r="K418" s="78"/>
      <c r="L418" s="78"/>
      <c r="M418" s="78"/>
      <c r="N418" s="78"/>
      <c r="O418" s="78"/>
      <c r="P418" s="78"/>
      <c r="Q418" s="78"/>
      <c r="R418" s="78"/>
      <c r="S418" s="78"/>
      <c r="T418" s="78"/>
      <c r="U418" s="78"/>
      <c r="V418" s="78"/>
      <c r="W418" s="78"/>
      <c r="X418" s="78"/>
      <c r="Y418" s="78"/>
      <c r="Z418" s="78"/>
      <c r="AA418" s="78"/>
      <c r="AB418" s="78"/>
      <c r="AC418" s="78"/>
      <c r="AD418" s="78"/>
      <c r="AE418" s="78"/>
      <c r="AH418"/>
    </row>
    <row r="419" spans="8:34" s="23" customFormat="1" x14ac:dyDescent="0.25">
      <c r="H419" s="78"/>
      <c r="I419" s="78"/>
      <c r="J419" s="78"/>
      <c r="K419" s="78"/>
      <c r="L419" s="78"/>
      <c r="M419" s="78"/>
      <c r="N419" s="78"/>
      <c r="O419" s="78"/>
      <c r="P419" s="78"/>
      <c r="Q419" s="78"/>
      <c r="R419" s="78"/>
      <c r="S419" s="78"/>
      <c r="T419" s="78"/>
      <c r="U419" s="78"/>
      <c r="V419" s="78"/>
      <c r="W419" s="78"/>
      <c r="X419" s="78"/>
      <c r="Y419" s="78"/>
      <c r="Z419" s="78"/>
      <c r="AA419" s="78"/>
      <c r="AB419" s="78"/>
      <c r="AC419" s="78"/>
      <c r="AD419" s="78"/>
      <c r="AE419" s="78"/>
      <c r="AH419"/>
    </row>
    <row r="420" spans="8:34" s="23" customFormat="1" x14ac:dyDescent="0.25">
      <c r="H420" s="78"/>
      <c r="I420" s="78"/>
      <c r="J420" s="78"/>
      <c r="K420" s="78"/>
      <c r="L420" s="78"/>
      <c r="M420" s="78"/>
      <c r="N420" s="78"/>
      <c r="O420" s="78"/>
      <c r="P420" s="78"/>
      <c r="Q420" s="78"/>
      <c r="R420" s="78"/>
      <c r="S420" s="78"/>
      <c r="T420" s="78"/>
      <c r="U420" s="78"/>
      <c r="V420" s="78"/>
      <c r="W420" s="78"/>
      <c r="X420" s="78"/>
      <c r="Y420" s="78"/>
      <c r="Z420" s="78"/>
      <c r="AA420" s="78"/>
      <c r="AB420" s="78"/>
      <c r="AC420" s="78"/>
      <c r="AD420" s="78"/>
      <c r="AE420" s="78"/>
      <c r="AH420"/>
    </row>
    <row r="421" spans="8:34" s="23" customFormat="1" x14ac:dyDescent="0.25">
      <c r="H421" s="78"/>
      <c r="I421" s="78"/>
      <c r="J421" s="78"/>
      <c r="K421" s="78"/>
      <c r="L421" s="78"/>
      <c r="M421" s="78"/>
      <c r="N421" s="78"/>
      <c r="O421" s="78"/>
      <c r="P421" s="78"/>
      <c r="Q421" s="78"/>
      <c r="R421" s="78"/>
      <c r="S421" s="78"/>
      <c r="T421" s="78"/>
      <c r="U421" s="78"/>
      <c r="V421" s="78"/>
      <c r="W421" s="78"/>
      <c r="X421" s="78"/>
      <c r="Y421" s="78"/>
      <c r="Z421" s="78"/>
      <c r="AA421" s="78"/>
      <c r="AB421" s="78"/>
      <c r="AC421" s="78"/>
      <c r="AD421" s="78"/>
      <c r="AE421" s="78"/>
      <c r="AH421"/>
    </row>
    <row r="422" spans="8:34" s="23" customFormat="1" x14ac:dyDescent="0.25">
      <c r="H422" s="78"/>
      <c r="I422" s="78"/>
      <c r="J422" s="78"/>
      <c r="K422" s="78"/>
      <c r="L422" s="78"/>
      <c r="M422" s="78"/>
      <c r="N422" s="78"/>
      <c r="O422" s="78"/>
      <c r="P422" s="78"/>
      <c r="Q422" s="78"/>
      <c r="R422" s="78"/>
      <c r="S422" s="78"/>
      <c r="T422" s="78"/>
      <c r="U422" s="78"/>
      <c r="V422" s="78"/>
      <c r="W422" s="78"/>
      <c r="X422" s="78"/>
      <c r="Y422" s="78"/>
      <c r="Z422" s="78"/>
      <c r="AA422" s="78"/>
      <c r="AB422" s="78"/>
      <c r="AC422" s="78"/>
      <c r="AD422" s="78"/>
      <c r="AE422" s="78"/>
      <c r="AH422"/>
    </row>
    <row r="423" spans="8:34" s="23" customFormat="1" x14ac:dyDescent="0.25">
      <c r="H423" s="78"/>
      <c r="I423" s="78"/>
      <c r="J423" s="78"/>
      <c r="K423" s="78"/>
      <c r="L423" s="78"/>
      <c r="M423" s="78"/>
      <c r="N423" s="78"/>
      <c r="O423" s="78"/>
      <c r="P423" s="78"/>
      <c r="Q423" s="78"/>
      <c r="R423" s="78"/>
      <c r="S423" s="78"/>
      <c r="T423" s="78"/>
      <c r="U423" s="78"/>
      <c r="V423" s="78"/>
      <c r="W423" s="78"/>
      <c r="X423" s="78"/>
      <c r="Y423" s="78"/>
      <c r="Z423" s="78"/>
      <c r="AA423" s="78"/>
      <c r="AB423" s="78"/>
      <c r="AC423" s="78"/>
      <c r="AD423" s="78"/>
      <c r="AE423" s="78"/>
      <c r="AH423"/>
    </row>
    <row r="424" spans="8:34" s="23" customFormat="1" x14ac:dyDescent="0.25">
      <c r="H424" s="78"/>
      <c r="I424" s="78"/>
      <c r="J424" s="78"/>
      <c r="K424" s="78"/>
      <c r="L424" s="78"/>
      <c r="M424" s="78"/>
      <c r="N424" s="78"/>
      <c r="O424" s="78"/>
      <c r="P424" s="78"/>
      <c r="Q424" s="78"/>
      <c r="R424" s="78"/>
      <c r="S424" s="78"/>
      <c r="T424" s="78"/>
      <c r="U424" s="78"/>
      <c r="V424" s="78"/>
      <c r="W424" s="78"/>
      <c r="X424" s="78"/>
      <c r="Y424" s="78"/>
      <c r="Z424" s="78"/>
      <c r="AA424" s="78"/>
      <c r="AB424" s="78"/>
      <c r="AC424" s="78"/>
      <c r="AD424" s="78"/>
      <c r="AE424" s="78"/>
      <c r="AH424"/>
    </row>
    <row r="425" spans="8:34" s="23" customFormat="1" x14ac:dyDescent="0.25">
      <c r="H425" s="78"/>
      <c r="I425" s="78"/>
      <c r="J425" s="78"/>
      <c r="K425" s="78"/>
      <c r="L425" s="78"/>
      <c r="M425" s="78"/>
      <c r="N425" s="78"/>
      <c r="O425" s="78"/>
      <c r="P425" s="78"/>
      <c r="Q425" s="78"/>
      <c r="R425" s="78"/>
      <c r="S425" s="78"/>
      <c r="T425" s="78"/>
      <c r="U425" s="78"/>
      <c r="V425" s="78"/>
      <c r="W425" s="78"/>
      <c r="X425" s="78"/>
      <c r="Y425" s="78"/>
      <c r="Z425" s="78"/>
      <c r="AA425" s="78"/>
      <c r="AB425" s="78"/>
      <c r="AC425" s="78"/>
      <c r="AD425" s="78"/>
      <c r="AE425" s="78"/>
      <c r="AH425"/>
    </row>
    <row r="426" spans="8:34" s="23" customFormat="1" x14ac:dyDescent="0.25">
      <c r="H426" s="78"/>
      <c r="I426" s="78"/>
      <c r="J426" s="78"/>
      <c r="K426" s="78"/>
      <c r="L426" s="78"/>
      <c r="M426" s="78"/>
      <c r="N426" s="78"/>
      <c r="O426" s="78"/>
      <c r="P426" s="78"/>
      <c r="Q426" s="78"/>
      <c r="R426" s="78"/>
      <c r="S426" s="78"/>
      <c r="T426" s="78"/>
      <c r="U426" s="78"/>
      <c r="V426" s="78"/>
      <c r="W426" s="78"/>
      <c r="X426" s="78"/>
      <c r="Y426" s="78"/>
      <c r="Z426" s="78"/>
      <c r="AA426" s="78"/>
      <c r="AB426" s="78"/>
      <c r="AC426" s="78"/>
      <c r="AD426" s="78"/>
      <c r="AE426" s="78"/>
      <c r="AH426"/>
    </row>
    <row r="427" spans="8:34" s="23" customFormat="1" x14ac:dyDescent="0.25">
      <c r="H427" s="78"/>
      <c r="I427" s="78"/>
      <c r="J427" s="78"/>
      <c r="K427" s="78"/>
      <c r="L427" s="78"/>
      <c r="M427" s="78"/>
      <c r="N427" s="78"/>
      <c r="O427" s="78"/>
      <c r="P427" s="78"/>
      <c r="Q427" s="78"/>
      <c r="R427" s="78"/>
      <c r="S427" s="78"/>
      <c r="T427" s="78"/>
      <c r="U427" s="78"/>
      <c r="V427" s="78"/>
      <c r="W427" s="78"/>
      <c r="X427" s="78"/>
      <c r="Y427" s="78"/>
      <c r="Z427" s="78"/>
      <c r="AA427" s="78"/>
      <c r="AB427" s="78"/>
      <c r="AC427" s="78"/>
      <c r="AD427" s="78"/>
      <c r="AE427" s="78"/>
      <c r="AH427"/>
    </row>
    <row r="428" spans="8:34" s="23" customFormat="1" x14ac:dyDescent="0.25">
      <c r="H428" s="78"/>
      <c r="I428" s="78"/>
      <c r="J428" s="78"/>
      <c r="K428" s="78"/>
      <c r="L428" s="78"/>
      <c r="M428" s="78"/>
      <c r="N428" s="78"/>
      <c r="O428" s="78"/>
      <c r="P428" s="78"/>
      <c r="Q428" s="78"/>
      <c r="R428" s="78"/>
      <c r="S428" s="78"/>
      <c r="T428" s="78"/>
      <c r="U428" s="78"/>
      <c r="V428" s="78"/>
      <c r="W428" s="78"/>
      <c r="X428" s="78"/>
      <c r="Y428" s="78"/>
      <c r="Z428" s="78"/>
      <c r="AA428" s="78"/>
      <c r="AB428" s="78"/>
      <c r="AC428" s="78"/>
      <c r="AD428" s="78"/>
      <c r="AE428" s="78"/>
      <c r="AH428"/>
    </row>
    <row r="429" spans="8:34" s="23" customFormat="1" x14ac:dyDescent="0.25">
      <c r="H429" s="78"/>
      <c r="I429" s="78"/>
      <c r="J429" s="78"/>
      <c r="K429" s="78"/>
      <c r="L429" s="78"/>
      <c r="M429" s="78"/>
      <c r="N429" s="78"/>
      <c r="O429" s="78"/>
      <c r="P429" s="78"/>
      <c r="Q429" s="78"/>
      <c r="R429" s="78"/>
      <c r="S429" s="78"/>
      <c r="T429" s="78"/>
      <c r="U429" s="78"/>
      <c r="V429" s="78"/>
      <c r="W429" s="78"/>
      <c r="X429" s="78"/>
      <c r="Y429" s="78"/>
      <c r="Z429" s="78"/>
      <c r="AA429" s="78"/>
      <c r="AB429" s="78"/>
      <c r="AC429" s="78"/>
      <c r="AD429" s="78"/>
      <c r="AE429" s="78"/>
      <c r="AH429"/>
    </row>
    <row r="430" spans="8:34" s="23" customFormat="1" x14ac:dyDescent="0.25">
      <c r="H430" s="78"/>
      <c r="I430" s="78"/>
      <c r="J430" s="78"/>
      <c r="K430" s="78"/>
      <c r="L430" s="78"/>
      <c r="M430" s="78"/>
      <c r="N430" s="78"/>
      <c r="O430" s="78"/>
      <c r="P430" s="78"/>
      <c r="Q430" s="78"/>
      <c r="R430" s="78"/>
      <c r="S430" s="78"/>
      <c r="T430" s="78"/>
      <c r="U430" s="78"/>
      <c r="V430" s="78"/>
      <c r="W430" s="78"/>
      <c r="X430" s="78"/>
      <c r="Y430" s="78"/>
      <c r="Z430" s="78"/>
      <c r="AA430" s="78"/>
      <c r="AB430" s="78"/>
      <c r="AC430" s="78"/>
      <c r="AD430" s="78"/>
      <c r="AE430" s="78"/>
      <c r="AH430"/>
    </row>
    <row r="431" spans="8:34" s="23" customFormat="1" x14ac:dyDescent="0.25">
      <c r="H431" s="78"/>
      <c r="I431" s="78"/>
      <c r="J431" s="78"/>
      <c r="K431" s="78"/>
      <c r="L431" s="78"/>
      <c r="M431" s="78"/>
      <c r="N431" s="78"/>
      <c r="O431" s="78"/>
      <c r="P431" s="78"/>
      <c r="Q431" s="78"/>
      <c r="R431" s="78"/>
      <c r="S431" s="78"/>
      <c r="T431" s="78"/>
      <c r="U431" s="78"/>
      <c r="V431" s="78"/>
      <c r="W431" s="78"/>
      <c r="X431" s="78"/>
      <c r="Y431" s="78"/>
      <c r="Z431" s="78"/>
      <c r="AA431" s="78"/>
      <c r="AB431" s="78"/>
      <c r="AC431" s="78"/>
      <c r="AD431" s="78"/>
      <c r="AE431" s="78"/>
      <c r="AH431"/>
    </row>
    <row r="432" spans="8:34" s="23" customFormat="1" x14ac:dyDescent="0.25">
      <c r="H432" s="78"/>
      <c r="I432" s="78"/>
      <c r="J432" s="78"/>
      <c r="K432" s="78"/>
      <c r="L432" s="78"/>
      <c r="M432" s="78"/>
      <c r="N432" s="78"/>
      <c r="O432" s="78"/>
      <c r="P432" s="78"/>
      <c r="Q432" s="78"/>
      <c r="R432" s="78"/>
      <c r="S432" s="78"/>
      <c r="T432" s="78"/>
      <c r="U432" s="78"/>
      <c r="V432" s="78"/>
      <c r="W432" s="78"/>
      <c r="X432" s="78"/>
      <c r="Y432" s="78"/>
      <c r="Z432" s="78"/>
      <c r="AA432" s="78"/>
      <c r="AB432" s="78"/>
      <c r="AC432" s="78"/>
      <c r="AD432" s="78"/>
      <c r="AE432" s="78"/>
      <c r="AH432"/>
    </row>
    <row r="433" spans="8:34" s="23" customFormat="1" x14ac:dyDescent="0.25">
      <c r="H433" s="78"/>
      <c r="I433" s="78"/>
      <c r="J433" s="78"/>
      <c r="K433" s="78"/>
      <c r="L433" s="78"/>
      <c r="M433" s="78"/>
      <c r="N433" s="78"/>
      <c r="O433" s="78"/>
      <c r="P433" s="78"/>
      <c r="Q433" s="78"/>
      <c r="R433" s="78"/>
      <c r="S433" s="78"/>
      <c r="T433" s="78"/>
      <c r="U433" s="78"/>
      <c r="V433" s="78"/>
      <c r="W433" s="78"/>
      <c r="X433" s="78"/>
      <c r="Y433" s="78"/>
      <c r="Z433" s="78"/>
      <c r="AA433" s="78"/>
      <c r="AB433" s="78"/>
      <c r="AC433" s="78"/>
      <c r="AD433" s="78"/>
      <c r="AE433" s="78"/>
      <c r="AH433"/>
    </row>
    <row r="434" spans="8:34" s="23" customFormat="1" x14ac:dyDescent="0.25">
      <c r="H434" s="78"/>
      <c r="I434" s="78"/>
      <c r="J434" s="78"/>
      <c r="K434" s="78"/>
      <c r="L434" s="78"/>
      <c r="M434" s="78"/>
      <c r="N434" s="78"/>
      <c r="O434" s="78"/>
      <c r="P434" s="78"/>
      <c r="Q434" s="78"/>
      <c r="R434" s="78"/>
      <c r="S434" s="78"/>
      <c r="T434" s="78"/>
      <c r="U434" s="78"/>
      <c r="V434" s="78"/>
      <c r="W434" s="78"/>
      <c r="X434" s="78"/>
      <c r="Y434" s="78"/>
      <c r="Z434" s="78"/>
      <c r="AA434" s="78"/>
      <c r="AB434" s="78"/>
      <c r="AC434" s="78"/>
      <c r="AD434" s="78"/>
      <c r="AE434" s="78"/>
      <c r="AH434"/>
    </row>
    <row r="435" spans="8:34" s="23" customFormat="1" x14ac:dyDescent="0.25">
      <c r="H435" s="78"/>
      <c r="I435" s="78"/>
      <c r="J435" s="78"/>
      <c r="K435" s="78"/>
      <c r="L435" s="78"/>
      <c r="M435" s="78"/>
      <c r="N435" s="78"/>
      <c r="O435" s="78"/>
      <c r="P435" s="78"/>
      <c r="Q435" s="78"/>
      <c r="R435" s="78"/>
      <c r="S435" s="78"/>
      <c r="T435" s="78"/>
      <c r="U435" s="78"/>
      <c r="V435" s="78"/>
      <c r="W435" s="78"/>
      <c r="X435" s="78"/>
      <c r="Y435" s="78"/>
      <c r="Z435" s="78"/>
      <c r="AA435" s="78"/>
      <c r="AB435" s="78"/>
      <c r="AC435" s="78"/>
      <c r="AD435" s="78"/>
      <c r="AE435" s="78"/>
      <c r="AH435"/>
    </row>
    <row r="436" spans="8:34" s="23" customFormat="1" x14ac:dyDescent="0.25">
      <c r="H436" s="78"/>
      <c r="I436" s="78"/>
      <c r="J436" s="78"/>
      <c r="K436" s="78"/>
      <c r="L436" s="78"/>
      <c r="M436" s="78"/>
      <c r="N436" s="78"/>
      <c r="O436" s="78"/>
      <c r="P436" s="78"/>
      <c r="Q436" s="78"/>
      <c r="R436" s="78"/>
      <c r="S436" s="78"/>
      <c r="T436" s="78"/>
      <c r="U436" s="78"/>
      <c r="V436" s="78"/>
      <c r="W436" s="78"/>
      <c r="X436" s="78"/>
      <c r="Y436" s="78"/>
      <c r="Z436" s="78"/>
      <c r="AA436" s="78"/>
      <c r="AB436" s="78"/>
      <c r="AC436" s="78"/>
      <c r="AD436" s="78"/>
      <c r="AE436" s="78"/>
      <c r="AH436"/>
    </row>
    <row r="437" spans="8:34" s="23" customFormat="1" x14ac:dyDescent="0.25">
      <c r="H437" s="78"/>
      <c r="I437" s="78"/>
      <c r="J437" s="78"/>
      <c r="K437" s="78"/>
      <c r="L437" s="78"/>
      <c r="M437" s="78"/>
      <c r="N437" s="78"/>
      <c r="O437" s="78"/>
      <c r="P437" s="78"/>
      <c r="Q437" s="78"/>
      <c r="R437" s="78"/>
      <c r="S437" s="78"/>
      <c r="T437" s="78"/>
      <c r="U437" s="78"/>
      <c r="V437" s="78"/>
      <c r="W437" s="78"/>
      <c r="X437" s="78"/>
      <c r="Y437" s="78"/>
      <c r="Z437" s="78"/>
      <c r="AA437" s="78"/>
      <c r="AB437" s="78"/>
      <c r="AC437" s="78"/>
      <c r="AD437" s="78"/>
      <c r="AE437" s="78"/>
      <c r="AH437"/>
    </row>
    <row r="438" spans="8:34" s="23" customFormat="1" x14ac:dyDescent="0.25">
      <c r="H438" s="78"/>
      <c r="I438" s="78"/>
      <c r="J438" s="78"/>
      <c r="K438" s="78"/>
      <c r="L438" s="78"/>
      <c r="M438" s="78"/>
      <c r="N438" s="78"/>
      <c r="O438" s="78"/>
      <c r="P438" s="78"/>
      <c r="Q438" s="78"/>
      <c r="R438" s="78"/>
      <c r="S438" s="78"/>
      <c r="T438" s="78"/>
      <c r="U438" s="78"/>
      <c r="V438" s="78"/>
      <c r="W438" s="78"/>
      <c r="X438" s="78"/>
      <c r="Y438" s="78"/>
      <c r="Z438" s="78"/>
      <c r="AA438" s="78"/>
      <c r="AB438" s="78"/>
      <c r="AC438" s="78"/>
      <c r="AD438" s="78"/>
      <c r="AE438" s="78"/>
      <c r="AH438"/>
    </row>
    <row r="439" spans="8:34" s="23" customFormat="1" x14ac:dyDescent="0.25">
      <c r="H439" s="78"/>
      <c r="I439" s="78"/>
      <c r="J439" s="78"/>
      <c r="K439" s="78"/>
      <c r="L439" s="78"/>
      <c r="M439" s="78"/>
      <c r="N439" s="78"/>
      <c r="O439" s="78"/>
      <c r="P439" s="78"/>
      <c r="Q439" s="78"/>
      <c r="R439" s="78"/>
      <c r="S439" s="78"/>
      <c r="T439" s="78"/>
      <c r="U439" s="78"/>
      <c r="V439" s="78"/>
      <c r="W439" s="78"/>
      <c r="X439" s="78"/>
      <c r="Y439" s="78"/>
      <c r="Z439" s="78"/>
      <c r="AA439" s="78"/>
      <c r="AB439" s="78"/>
      <c r="AC439" s="78"/>
      <c r="AD439" s="78"/>
      <c r="AE439" s="78"/>
      <c r="AH439"/>
    </row>
    <row r="440" spans="8:34" s="23" customFormat="1" x14ac:dyDescent="0.25">
      <c r="H440" s="78"/>
      <c r="I440" s="78"/>
      <c r="J440" s="78"/>
      <c r="K440" s="78"/>
      <c r="L440" s="78"/>
      <c r="M440" s="78"/>
      <c r="N440" s="78"/>
      <c r="O440" s="78"/>
      <c r="P440" s="78"/>
      <c r="Q440" s="78"/>
      <c r="R440" s="78"/>
      <c r="S440" s="78"/>
      <c r="T440" s="78"/>
      <c r="U440" s="78"/>
      <c r="V440" s="78"/>
      <c r="W440" s="78"/>
      <c r="X440" s="78"/>
      <c r="Y440" s="78"/>
      <c r="Z440" s="78"/>
      <c r="AA440" s="78"/>
      <c r="AB440" s="78"/>
      <c r="AC440" s="78"/>
      <c r="AD440" s="78"/>
      <c r="AE440" s="78"/>
      <c r="AH440"/>
    </row>
    <row r="441" spans="8:34" s="23" customFormat="1" x14ac:dyDescent="0.25">
      <c r="H441" s="78"/>
      <c r="I441" s="78"/>
      <c r="J441" s="78"/>
      <c r="K441" s="78"/>
      <c r="L441" s="78"/>
      <c r="M441" s="78"/>
      <c r="N441" s="78"/>
      <c r="O441" s="78"/>
      <c r="P441" s="78"/>
      <c r="Q441" s="78"/>
      <c r="R441" s="78"/>
      <c r="S441" s="78"/>
      <c r="T441" s="78"/>
      <c r="U441" s="78"/>
      <c r="V441" s="78"/>
      <c r="W441" s="78"/>
      <c r="X441" s="78"/>
      <c r="Y441" s="78"/>
      <c r="Z441" s="78"/>
      <c r="AA441" s="78"/>
      <c r="AB441" s="78"/>
      <c r="AC441" s="78"/>
      <c r="AD441" s="78"/>
      <c r="AE441" s="78"/>
      <c r="AH441"/>
    </row>
    <row r="442" spans="8:34" s="23" customFormat="1" x14ac:dyDescent="0.25">
      <c r="H442" s="78"/>
      <c r="I442" s="78"/>
      <c r="J442" s="78"/>
      <c r="K442" s="78"/>
      <c r="L442" s="78"/>
      <c r="M442" s="78"/>
      <c r="N442" s="78"/>
      <c r="O442" s="78"/>
      <c r="P442" s="78"/>
      <c r="Q442" s="78"/>
      <c r="R442" s="78"/>
      <c r="S442" s="78"/>
      <c r="T442" s="78"/>
      <c r="U442" s="78"/>
      <c r="V442" s="78"/>
      <c r="W442" s="78"/>
      <c r="X442" s="78"/>
      <c r="Y442" s="78"/>
      <c r="Z442" s="78"/>
      <c r="AA442" s="78"/>
      <c r="AB442" s="78"/>
      <c r="AC442" s="78"/>
      <c r="AD442" s="78"/>
      <c r="AE442" s="78"/>
      <c r="AH442"/>
    </row>
    <row r="443" spans="8:34" s="23" customFormat="1" x14ac:dyDescent="0.25">
      <c r="H443" s="78"/>
      <c r="I443" s="78"/>
      <c r="J443" s="78"/>
      <c r="K443" s="78"/>
      <c r="L443" s="78"/>
      <c r="M443" s="78"/>
      <c r="N443" s="78"/>
      <c r="O443" s="78"/>
      <c r="P443" s="78"/>
      <c r="Q443" s="78"/>
      <c r="R443" s="78"/>
      <c r="S443" s="78"/>
      <c r="T443" s="78"/>
      <c r="U443" s="78"/>
      <c r="V443" s="78"/>
      <c r="W443" s="78"/>
      <c r="X443" s="78"/>
      <c r="Y443" s="78"/>
      <c r="Z443" s="78"/>
      <c r="AA443" s="78"/>
      <c r="AB443" s="78"/>
      <c r="AC443" s="78"/>
      <c r="AD443" s="78"/>
      <c r="AE443" s="78"/>
      <c r="AH443"/>
    </row>
    <row r="444" spans="8:34" s="23" customFormat="1" x14ac:dyDescent="0.25">
      <c r="H444" s="78"/>
      <c r="I444" s="78"/>
      <c r="J444" s="78"/>
      <c r="K444" s="78"/>
      <c r="L444" s="78"/>
      <c r="M444" s="78"/>
      <c r="N444" s="78"/>
      <c r="O444" s="78"/>
      <c r="P444" s="78"/>
      <c r="Q444" s="78"/>
      <c r="R444" s="78"/>
      <c r="S444" s="78"/>
      <c r="T444" s="78"/>
      <c r="U444" s="78"/>
      <c r="V444" s="78"/>
      <c r="W444" s="78"/>
      <c r="X444" s="78"/>
      <c r="Y444" s="78"/>
      <c r="Z444" s="78"/>
      <c r="AA444" s="78"/>
      <c r="AB444" s="78"/>
      <c r="AC444" s="78"/>
      <c r="AD444" s="78"/>
      <c r="AE444" s="78"/>
      <c r="AH444"/>
    </row>
    <row r="445" spans="8:34" s="23" customFormat="1" x14ac:dyDescent="0.25">
      <c r="H445" s="78"/>
      <c r="I445" s="78"/>
      <c r="J445" s="78"/>
      <c r="K445" s="78"/>
      <c r="L445" s="78"/>
      <c r="M445" s="78"/>
      <c r="N445" s="78"/>
      <c r="O445" s="78"/>
      <c r="P445" s="78"/>
      <c r="Q445" s="78"/>
      <c r="R445" s="78"/>
      <c r="S445" s="78"/>
      <c r="T445" s="78"/>
      <c r="U445" s="78"/>
      <c r="V445" s="78"/>
      <c r="W445" s="78"/>
      <c r="X445" s="78"/>
      <c r="Y445" s="78"/>
      <c r="Z445" s="78"/>
      <c r="AA445" s="78"/>
      <c r="AB445" s="78"/>
      <c r="AC445" s="78"/>
      <c r="AD445" s="78"/>
      <c r="AE445" s="78"/>
      <c r="AH445"/>
    </row>
    <row r="446" spans="8:34" s="23" customFormat="1" x14ac:dyDescent="0.25">
      <c r="H446" s="78"/>
      <c r="I446" s="78"/>
      <c r="J446" s="78"/>
      <c r="K446" s="78"/>
      <c r="L446" s="78"/>
      <c r="M446" s="78"/>
      <c r="N446" s="78"/>
      <c r="O446" s="78"/>
      <c r="P446" s="78"/>
      <c r="Q446" s="78"/>
      <c r="R446" s="78"/>
      <c r="S446" s="78"/>
      <c r="T446" s="78"/>
      <c r="U446" s="78"/>
      <c r="V446" s="78"/>
      <c r="W446" s="78"/>
      <c r="X446" s="78"/>
      <c r="Y446" s="78"/>
      <c r="Z446" s="78"/>
      <c r="AA446" s="78"/>
      <c r="AB446" s="78"/>
      <c r="AC446" s="78"/>
      <c r="AD446" s="78"/>
      <c r="AE446" s="78"/>
      <c r="AH446"/>
    </row>
    <row r="447" spans="8:34" s="23" customFormat="1" x14ac:dyDescent="0.25">
      <c r="H447" s="78"/>
      <c r="I447" s="78"/>
      <c r="J447" s="78"/>
      <c r="K447" s="78"/>
      <c r="L447" s="78"/>
      <c r="M447" s="78"/>
      <c r="N447" s="78"/>
      <c r="O447" s="78"/>
      <c r="P447" s="78"/>
      <c r="Q447" s="78"/>
      <c r="R447" s="78"/>
      <c r="S447" s="78"/>
      <c r="T447" s="78"/>
      <c r="U447" s="78"/>
      <c r="V447" s="78"/>
      <c r="W447" s="78"/>
      <c r="X447" s="78"/>
      <c r="Y447" s="78"/>
      <c r="Z447" s="78"/>
      <c r="AA447" s="78"/>
      <c r="AB447" s="78"/>
      <c r="AC447" s="78"/>
      <c r="AD447" s="78"/>
      <c r="AE447" s="78"/>
      <c r="AH447"/>
    </row>
    <row r="448" spans="8:34" s="23" customFormat="1" x14ac:dyDescent="0.25">
      <c r="H448" s="78"/>
      <c r="I448" s="78"/>
      <c r="J448" s="78"/>
      <c r="K448" s="78"/>
      <c r="L448" s="78"/>
      <c r="M448" s="78"/>
      <c r="N448" s="78"/>
      <c r="O448" s="78"/>
      <c r="P448" s="78"/>
      <c r="Q448" s="78"/>
      <c r="R448" s="78"/>
      <c r="S448" s="78"/>
      <c r="T448" s="78"/>
      <c r="U448" s="78"/>
      <c r="V448" s="78"/>
      <c r="W448" s="78"/>
      <c r="X448" s="78"/>
      <c r="Y448" s="78"/>
      <c r="Z448" s="78"/>
      <c r="AA448" s="78"/>
      <c r="AB448" s="78"/>
      <c r="AC448" s="78"/>
      <c r="AD448" s="78"/>
      <c r="AE448" s="78"/>
      <c r="AH448"/>
    </row>
    <row r="449" spans="8:34" s="23" customFormat="1" x14ac:dyDescent="0.25">
      <c r="H449" s="78"/>
      <c r="I449" s="78"/>
      <c r="J449" s="78"/>
      <c r="K449" s="78"/>
      <c r="L449" s="78"/>
      <c r="M449" s="78"/>
      <c r="N449" s="78"/>
      <c r="O449" s="78"/>
      <c r="P449" s="78"/>
      <c r="Q449" s="78"/>
      <c r="R449" s="78"/>
      <c r="S449" s="78"/>
      <c r="T449" s="78"/>
      <c r="U449" s="78"/>
      <c r="V449" s="78"/>
      <c r="W449" s="78"/>
      <c r="X449" s="78"/>
      <c r="Y449" s="78"/>
      <c r="Z449" s="78"/>
      <c r="AA449" s="78"/>
      <c r="AB449" s="78"/>
      <c r="AC449" s="78"/>
      <c r="AD449" s="78"/>
      <c r="AE449" s="78"/>
      <c r="AH449"/>
    </row>
    <row r="450" spans="8:34" s="23" customFormat="1" x14ac:dyDescent="0.25">
      <c r="H450" s="78"/>
      <c r="I450" s="78"/>
      <c r="J450" s="78"/>
      <c r="K450" s="78"/>
      <c r="L450" s="78"/>
      <c r="M450" s="78"/>
      <c r="N450" s="78"/>
      <c r="O450" s="78"/>
      <c r="P450" s="78"/>
      <c r="Q450" s="78"/>
      <c r="R450" s="78"/>
      <c r="S450" s="78"/>
      <c r="T450" s="78"/>
      <c r="U450" s="78"/>
      <c r="V450" s="78"/>
      <c r="W450" s="78"/>
      <c r="X450" s="78"/>
      <c r="Y450" s="78"/>
      <c r="Z450" s="78"/>
      <c r="AA450" s="78"/>
      <c r="AB450" s="78"/>
      <c r="AC450" s="78"/>
      <c r="AD450" s="78"/>
      <c r="AE450" s="78"/>
      <c r="AH450"/>
    </row>
    <row r="451" spans="8:34" s="23" customFormat="1" x14ac:dyDescent="0.25">
      <c r="H451" s="78"/>
      <c r="I451" s="78"/>
      <c r="J451" s="78"/>
      <c r="K451" s="78"/>
      <c r="L451" s="78"/>
      <c r="M451" s="78"/>
      <c r="N451" s="78"/>
      <c r="O451" s="78"/>
      <c r="P451" s="78"/>
      <c r="Q451" s="78"/>
      <c r="R451" s="78"/>
      <c r="S451" s="78"/>
      <c r="T451" s="78"/>
      <c r="U451" s="78"/>
      <c r="V451" s="78"/>
      <c r="W451" s="78"/>
      <c r="X451" s="78"/>
      <c r="Y451" s="78"/>
      <c r="Z451" s="78"/>
      <c r="AA451" s="78"/>
      <c r="AB451" s="78"/>
      <c r="AC451" s="78"/>
      <c r="AD451" s="78"/>
      <c r="AE451" s="78"/>
      <c r="AH451"/>
    </row>
    <row r="452" spans="8:34" s="23" customFormat="1" x14ac:dyDescent="0.25">
      <c r="H452" s="78"/>
      <c r="I452" s="78"/>
      <c r="J452" s="78"/>
      <c r="K452" s="78"/>
      <c r="L452" s="78"/>
      <c r="M452" s="78"/>
      <c r="N452" s="78"/>
      <c r="O452" s="78"/>
      <c r="P452" s="78"/>
      <c r="Q452" s="78"/>
      <c r="R452" s="78"/>
      <c r="S452" s="78"/>
      <c r="T452" s="78"/>
      <c r="U452" s="78"/>
      <c r="V452" s="78"/>
      <c r="W452" s="78"/>
      <c r="X452" s="78"/>
      <c r="Y452" s="78"/>
      <c r="Z452" s="78"/>
      <c r="AA452" s="78"/>
      <c r="AB452" s="78"/>
      <c r="AC452" s="78"/>
      <c r="AD452" s="78"/>
      <c r="AE452" s="78"/>
      <c r="AH452"/>
    </row>
    <row r="453" spans="8:34" s="23" customFormat="1" x14ac:dyDescent="0.25">
      <c r="H453" s="78"/>
      <c r="I453" s="78"/>
      <c r="J453" s="78"/>
      <c r="K453" s="78"/>
      <c r="L453" s="78"/>
      <c r="M453" s="78"/>
      <c r="N453" s="78"/>
      <c r="O453" s="78"/>
      <c r="P453" s="78"/>
      <c r="Q453" s="78"/>
      <c r="R453" s="78"/>
      <c r="S453" s="78"/>
      <c r="T453" s="78"/>
      <c r="U453" s="78"/>
      <c r="V453" s="78"/>
      <c r="W453" s="78"/>
      <c r="X453" s="78"/>
      <c r="Y453" s="78"/>
      <c r="Z453" s="78"/>
      <c r="AA453" s="78"/>
      <c r="AB453" s="78"/>
      <c r="AC453" s="78"/>
      <c r="AD453" s="78"/>
      <c r="AE453" s="78"/>
      <c r="AH453"/>
    </row>
    <row r="454" spans="8:34" s="23" customFormat="1" x14ac:dyDescent="0.25">
      <c r="H454" s="78"/>
      <c r="I454" s="78"/>
      <c r="J454" s="78"/>
      <c r="K454" s="78"/>
      <c r="L454" s="78"/>
      <c r="M454" s="78"/>
      <c r="N454" s="78"/>
      <c r="O454" s="78"/>
      <c r="P454" s="78"/>
      <c r="Q454" s="78"/>
      <c r="R454" s="78"/>
      <c r="S454" s="78"/>
      <c r="T454" s="78"/>
      <c r="U454" s="78"/>
      <c r="V454" s="78"/>
      <c r="W454" s="78"/>
      <c r="X454" s="78"/>
      <c r="Y454" s="78"/>
      <c r="Z454" s="78"/>
      <c r="AA454" s="78"/>
      <c r="AB454" s="78"/>
      <c r="AC454" s="78"/>
      <c r="AD454" s="78"/>
      <c r="AE454" s="78"/>
      <c r="AH454"/>
    </row>
    <row r="455" spans="8:34" s="23" customFormat="1" x14ac:dyDescent="0.25">
      <c r="H455" s="78"/>
      <c r="I455" s="78"/>
      <c r="J455" s="78"/>
      <c r="K455" s="78"/>
      <c r="L455" s="78"/>
      <c r="M455" s="78"/>
      <c r="N455" s="78"/>
      <c r="O455" s="78"/>
      <c r="P455" s="78"/>
      <c r="Q455" s="78"/>
      <c r="R455" s="78"/>
      <c r="S455" s="78"/>
      <c r="T455" s="78"/>
      <c r="U455" s="78"/>
      <c r="V455" s="78"/>
      <c r="W455" s="78"/>
      <c r="X455" s="78"/>
      <c r="Y455" s="78"/>
      <c r="Z455" s="78"/>
      <c r="AA455" s="78"/>
      <c r="AB455" s="78"/>
      <c r="AC455" s="78"/>
      <c r="AD455" s="78"/>
      <c r="AE455" s="78"/>
      <c r="AH455"/>
    </row>
    <row r="456" spans="8:34" s="23" customFormat="1" x14ac:dyDescent="0.25">
      <c r="H456" s="78"/>
      <c r="I456" s="78"/>
      <c r="J456" s="78"/>
      <c r="K456" s="78"/>
      <c r="L456" s="78"/>
      <c r="M456" s="78"/>
      <c r="N456" s="78"/>
      <c r="O456" s="78"/>
      <c r="P456" s="78"/>
      <c r="Q456" s="78"/>
      <c r="R456" s="78"/>
      <c r="S456" s="78"/>
      <c r="T456" s="78"/>
      <c r="U456" s="78"/>
      <c r="V456" s="78"/>
      <c r="W456" s="78"/>
      <c r="X456" s="78"/>
      <c r="Y456" s="78"/>
      <c r="Z456" s="78"/>
      <c r="AA456" s="78"/>
      <c r="AB456" s="78"/>
      <c r="AC456" s="78"/>
      <c r="AD456" s="78"/>
      <c r="AE456" s="78"/>
      <c r="AH456"/>
    </row>
    <row r="457" spans="8:34" s="23" customFormat="1" x14ac:dyDescent="0.25">
      <c r="H457" s="78"/>
      <c r="I457" s="78"/>
      <c r="J457" s="78"/>
      <c r="K457" s="78"/>
      <c r="L457" s="78"/>
      <c r="M457" s="78"/>
      <c r="N457" s="78"/>
      <c r="O457" s="78"/>
      <c r="P457" s="78"/>
      <c r="Q457" s="78"/>
      <c r="R457" s="78"/>
      <c r="S457" s="78"/>
      <c r="T457" s="78"/>
      <c r="U457" s="78"/>
      <c r="V457" s="78"/>
      <c r="W457" s="78"/>
      <c r="X457" s="78"/>
      <c r="Y457" s="78"/>
      <c r="Z457" s="78"/>
      <c r="AA457" s="78"/>
      <c r="AB457" s="78"/>
      <c r="AC457" s="78"/>
      <c r="AD457" s="78"/>
      <c r="AE457" s="78"/>
      <c r="AH457"/>
    </row>
    <row r="458" spans="8:34" s="23" customFormat="1" x14ac:dyDescent="0.25">
      <c r="H458" s="78"/>
      <c r="I458" s="78"/>
      <c r="J458" s="78"/>
      <c r="K458" s="78"/>
      <c r="L458" s="78"/>
      <c r="M458" s="78"/>
      <c r="N458" s="78"/>
      <c r="O458" s="78"/>
      <c r="P458" s="78"/>
      <c r="Q458" s="78"/>
      <c r="R458" s="78"/>
      <c r="S458" s="78"/>
      <c r="T458" s="78"/>
      <c r="U458" s="78"/>
      <c r="V458" s="78"/>
      <c r="W458" s="78"/>
      <c r="X458" s="78"/>
      <c r="Y458" s="78"/>
      <c r="Z458" s="78"/>
      <c r="AA458" s="78"/>
      <c r="AB458" s="78"/>
      <c r="AC458" s="78"/>
      <c r="AD458" s="78"/>
      <c r="AE458" s="78"/>
      <c r="AH458"/>
    </row>
    <row r="459" spans="8:34" s="23" customFormat="1" x14ac:dyDescent="0.25">
      <c r="H459" s="78"/>
      <c r="I459" s="78"/>
      <c r="J459" s="78"/>
      <c r="K459" s="78"/>
      <c r="L459" s="78"/>
      <c r="M459" s="78"/>
      <c r="N459" s="78"/>
      <c r="O459" s="78"/>
      <c r="P459" s="78"/>
      <c r="Q459" s="78"/>
      <c r="R459" s="78"/>
      <c r="S459" s="78"/>
      <c r="T459" s="78"/>
      <c r="U459" s="78"/>
      <c r="V459" s="78"/>
      <c r="W459" s="78"/>
      <c r="X459" s="78"/>
      <c r="Y459" s="78"/>
      <c r="Z459" s="78"/>
      <c r="AA459" s="78"/>
      <c r="AB459" s="78"/>
      <c r="AC459" s="78"/>
      <c r="AD459" s="78"/>
      <c r="AE459" s="78"/>
      <c r="AH459"/>
    </row>
    <row r="460" spans="8:34" s="23" customFormat="1" x14ac:dyDescent="0.25">
      <c r="H460" s="78"/>
      <c r="I460" s="78"/>
      <c r="J460" s="78"/>
      <c r="K460" s="78"/>
      <c r="L460" s="78"/>
      <c r="M460" s="78"/>
      <c r="N460" s="78"/>
      <c r="O460" s="78"/>
      <c r="P460" s="78"/>
      <c r="Q460" s="78"/>
      <c r="R460" s="78"/>
      <c r="S460" s="78"/>
      <c r="T460" s="78"/>
      <c r="U460" s="78"/>
      <c r="V460" s="78"/>
      <c r="W460" s="78"/>
      <c r="X460" s="78"/>
      <c r="Y460" s="78"/>
      <c r="Z460" s="78"/>
      <c r="AA460" s="78"/>
      <c r="AB460" s="78"/>
      <c r="AC460" s="78"/>
      <c r="AD460" s="78"/>
      <c r="AE460" s="78"/>
      <c r="AH460"/>
    </row>
    <row r="461" spans="8:34" s="23" customFormat="1" x14ac:dyDescent="0.25">
      <c r="H461" s="78"/>
      <c r="I461" s="78"/>
      <c r="J461" s="78"/>
      <c r="K461" s="78"/>
      <c r="L461" s="78"/>
      <c r="M461" s="78"/>
      <c r="N461" s="78"/>
      <c r="O461" s="78"/>
      <c r="P461" s="78"/>
      <c r="Q461" s="78"/>
      <c r="R461" s="78"/>
      <c r="S461" s="78"/>
      <c r="T461" s="78"/>
      <c r="U461" s="78"/>
      <c r="V461" s="78"/>
      <c r="W461" s="78"/>
      <c r="X461" s="78"/>
      <c r="Y461" s="78"/>
      <c r="Z461" s="78"/>
      <c r="AA461" s="78"/>
      <c r="AB461" s="78"/>
      <c r="AC461" s="78"/>
      <c r="AD461" s="78"/>
      <c r="AE461" s="78"/>
      <c r="AH461"/>
    </row>
    <row r="462" spans="8:34" s="23" customFormat="1" x14ac:dyDescent="0.25">
      <c r="H462" s="78"/>
      <c r="I462" s="78"/>
      <c r="J462" s="78"/>
      <c r="K462" s="78"/>
      <c r="L462" s="78"/>
      <c r="M462" s="78"/>
      <c r="N462" s="78"/>
      <c r="O462" s="78"/>
      <c r="P462" s="78"/>
      <c r="Q462" s="78"/>
      <c r="R462" s="78"/>
      <c r="S462" s="78"/>
      <c r="T462" s="78"/>
      <c r="U462" s="78"/>
      <c r="V462" s="78"/>
      <c r="W462" s="78"/>
      <c r="X462" s="78"/>
      <c r="Y462" s="78"/>
      <c r="Z462" s="78"/>
      <c r="AA462" s="78"/>
      <c r="AB462" s="78"/>
      <c r="AC462" s="78"/>
      <c r="AD462" s="78"/>
      <c r="AE462" s="78"/>
      <c r="AH462"/>
    </row>
    <row r="463" spans="8:34" s="23" customFormat="1" x14ac:dyDescent="0.25">
      <c r="H463" s="78"/>
      <c r="I463" s="78"/>
      <c r="J463" s="78"/>
      <c r="K463" s="78"/>
      <c r="L463" s="78"/>
      <c r="M463" s="78"/>
      <c r="N463" s="78"/>
      <c r="O463" s="78"/>
      <c r="P463" s="78"/>
      <c r="Q463" s="78"/>
      <c r="R463" s="78"/>
      <c r="S463" s="78"/>
      <c r="T463" s="78"/>
      <c r="U463" s="78"/>
      <c r="V463" s="78"/>
      <c r="W463" s="78"/>
      <c r="X463" s="78"/>
      <c r="Y463" s="78"/>
      <c r="Z463" s="78"/>
      <c r="AA463" s="78"/>
      <c r="AB463" s="78"/>
      <c r="AC463" s="78"/>
      <c r="AD463" s="78"/>
      <c r="AE463" s="78"/>
      <c r="AH463"/>
    </row>
    <row r="464" spans="8:34" s="23" customFormat="1" x14ac:dyDescent="0.25">
      <c r="H464" s="78"/>
      <c r="I464" s="78"/>
      <c r="J464" s="78"/>
      <c r="K464" s="78"/>
      <c r="L464" s="78"/>
      <c r="M464" s="78"/>
      <c r="N464" s="78"/>
      <c r="O464" s="78"/>
      <c r="P464" s="78"/>
      <c r="Q464" s="78"/>
      <c r="R464" s="78"/>
      <c r="S464" s="78"/>
      <c r="T464" s="78"/>
      <c r="U464" s="78"/>
      <c r="V464" s="78"/>
      <c r="W464" s="78"/>
      <c r="X464" s="78"/>
      <c r="Y464" s="78"/>
      <c r="Z464" s="78"/>
      <c r="AA464" s="78"/>
      <c r="AB464" s="78"/>
      <c r="AC464" s="78"/>
      <c r="AD464" s="78"/>
      <c r="AE464" s="78"/>
      <c r="AH464"/>
    </row>
    <row r="465" spans="8:34" s="23" customFormat="1" x14ac:dyDescent="0.25">
      <c r="H465" s="78"/>
      <c r="I465" s="78"/>
      <c r="J465" s="78"/>
      <c r="K465" s="78"/>
      <c r="L465" s="78"/>
      <c r="M465" s="78"/>
      <c r="N465" s="78"/>
      <c r="O465" s="78"/>
      <c r="P465" s="78"/>
      <c r="Q465" s="78"/>
      <c r="R465" s="78"/>
      <c r="S465" s="78"/>
      <c r="T465" s="78"/>
      <c r="U465" s="78"/>
      <c r="V465" s="78"/>
      <c r="W465" s="78"/>
      <c r="X465" s="78"/>
      <c r="Y465" s="78"/>
      <c r="Z465" s="78"/>
      <c r="AA465" s="78"/>
      <c r="AB465" s="78"/>
      <c r="AC465" s="78"/>
      <c r="AD465" s="78"/>
      <c r="AE465" s="78"/>
      <c r="AH465"/>
    </row>
    <row r="466" spans="8:34" s="23" customFormat="1" x14ac:dyDescent="0.25">
      <c r="H466" s="78"/>
      <c r="I466" s="78"/>
      <c r="J466" s="78"/>
      <c r="K466" s="78"/>
      <c r="L466" s="78"/>
      <c r="M466" s="78"/>
      <c r="N466" s="78"/>
      <c r="O466" s="78"/>
      <c r="P466" s="78"/>
      <c r="Q466" s="78"/>
      <c r="R466" s="78"/>
      <c r="S466" s="78"/>
      <c r="T466" s="78"/>
      <c r="U466" s="78"/>
      <c r="V466" s="78"/>
      <c r="W466" s="78"/>
      <c r="X466" s="78"/>
      <c r="Y466" s="78"/>
      <c r="Z466" s="78"/>
      <c r="AA466" s="78"/>
      <c r="AB466" s="78"/>
      <c r="AC466" s="78"/>
      <c r="AD466" s="78"/>
      <c r="AE466" s="78"/>
      <c r="AH466"/>
    </row>
    <row r="467" spans="8:34" s="23" customFormat="1" x14ac:dyDescent="0.25">
      <c r="H467" s="78"/>
      <c r="I467" s="78"/>
      <c r="J467" s="78"/>
      <c r="K467" s="78"/>
      <c r="L467" s="78"/>
      <c r="M467" s="78"/>
      <c r="N467" s="78"/>
      <c r="O467" s="78"/>
      <c r="P467" s="78"/>
      <c r="Q467" s="78"/>
      <c r="R467" s="78"/>
      <c r="S467" s="78"/>
      <c r="T467" s="78"/>
      <c r="U467" s="78"/>
      <c r="V467" s="78"/>
      <c r="W467" s="78"/>
      <c r="X467" s="78"/>
      <c r="Y467" s="78"/>
      <c r="Z467" s="78"/>
      <c r="AA467" s="78"/>
      <c r="AB467" s="78"/>
      <c r="AC467" s="78"/>
      <c r="AD467" s="78"/>
      <c r="AE467" s="78"/>
      <c r="AH467"/>
    </row>
    <row r="468" spans="8:34" s="23" customFormat="1" x14ac:dyDescent="0.25">
      <c r="H468" s="78"/>
      <c r="I468" s="78"/>
      <c r="J468" s="78"/>
      <c r="K468" s="78"/>
      <c r="L468" s="78"/>
      <c r="M468" s="78"/>
      <c r="N468" s="78"/>
      <c r="O468" s="78"/>
      <c r="P468" s="78"/>
      <c r="Q468" s="78"/>
      <c r="R468" s="78"/>
      <c r="S468" s="78"/>
      <c r="T468" s="78"/>
      <c r="U468" s="78"/>
      <c r="V468" s="78"/>
      <c r="W468" s="78"/>
      <c r="X468" s="78"/>
      <c r="Y468" s="78"/>
      <c r="Z468" s="78"/>
      <c r="AA468" s="78"/>
      <c r="AB468" s="78"/>
      <c r="AC468" s="78"/>
      <c r="AD468" s="78"/>
      <c r="AE468" s="78"/>
      <c r="AH468"/>
    </row>
    <row r="469" spans="8:34" s="23" customFormat="1" x14ac:dyDescent="0.25">
      <c r="H469" s="78"/>
      <c r="I469" s="78"/>
      <c r="J469" s="78"/>
      <c r="K469" s="78"/>
      <c r="L469" s="78"/>
      <c r="M469" s="78"/>
      <c r="N469" s="78"/>
      <c r="O469" s="78"/>
      <c r="P469" s="78"/>
      <c r="Q469" s="78"/>
      <c r="R469" s="78"/>
      <c r="S469" s="78"/>
      <c r="T469" s="78"/>
      <c r="U469" s="78"/>
      <c r="V469" s="78"/>
      <c r="W469" s="78"/>
      <c r="X469" s="78"/>
      <c r="Y469" s="78"/>
      <c r="Z469" s="78"/>
      <c r="AA469" s="78"/>
      <c r="AB469" s="78"/>
      <c r="AC469" s="78"/>
      <c r="AD469" s="78"/>
      <c r="AE469" s="78"/>
      <c r="AH469"/>
    </row>
    <row r="470" spans="8:34" s="23" customFormat="1" x14ac:dyDescent="0.25">
      <c r="H470" s="78"/>
      <c r="I470" s="78"/>
      <c r="J470" s="78"/>
      <c r="K470" s="78"/>
      <c r="L470" s="78"/>
      <c r="M470" s="78"/>
      <c r="N470" s="78"/>
      <c r="O470" s="78"/>
      <c r="P470" s="78"/>
      <c r="Q470" s="78"/>
      <c r="R470" s="78"/>
      <c r="S470" s="78"/>
      <c r="T470" s="78"/>
      <c r="U470" s="78"/>
      <c r="V470" s="78"/>
      <c r="W470" s="78"/>
      <c r="X470" s="78"/>
      <c r="Y470" s="78"/>
      <c r="Z470" s="78"/>
      <c r="AA470" s="78"/>
      <c r="AB470" s="78"/>
      <c r="AC470" s="78"/>
      <c r="AD470" s="78"/>
      <c r="AE470" s="78"/>
      <c r="AH470"/>
    </row>
    <row r="471" spans="8:34" s="23" customFormat="1" x14ac:dyDescent="0.25">
      <c r="H471" s="78"/>
      <c r="I471" s="78"/>
      <c r="J471" s="78"/>
      <c r="K471" s="78"/>
      <c r="L471" s="78"/>
      <c r="M471" s="78"/>
      <c r="N471" s="78"/>
      <c r="O471" s="78"/>
      <c r="P471" s="78"/>
      <c r="Q471" s="78"/>
      <c r="R471" s="78"/>
      <c r="S471" s="78"/>
      <c r="T471" s="78"/>
      <c r="U471" s="78"/>
      <c r="V471" s="78"/>
      <c r="W471" s="78"/>
      <c r="X471" s="78"/>
      <c r="Y471" s="78"/>
      <c r="Z471" s="78"/>
      <c r="AA471" s="78"/>
      <c r="AB471" s="78"/>
      <c r="AC471" s="78"/>
      <c r="AD471" s="78"/>
      <c r="AE471" s="78"/>
      <c r="AH471"/>
    </row>
    <row r="472" spans="8:34" s="23" customFormat="1" x14ac:dyDescent="0.25">
      <c r="H472" s="78"/>
      <c r="I472" s="78"/>
      <c r="J472" s="78"/>
      <c r="K472" s="78"/>
      <c r="L472" s="78"/>
      <c r="M472" s="78"/>
      <c r="N472" s="78"/>
      <c r="O472" s="78"/>
      <c r="P472" s="78"/>
      <c r="Q472" s="78"/>
      <c r="R472" s="78"/>
      <c r="S472" s="78"/>
      <c r="T472" s="78"/>
      <c r="U472" s="78"/>
      <c r="V472" s="78"/>
      <c r="W472" s="78"/>
      <c r="X472" s="78"/>
      <c r="Y472" s="78"/>
      <c r="Z472" s="78"/>
      <c r="AA472" s="78"/>
      <c r="AB472" s="78"/>
      <c r="AC472" s="78"/>
      <c r="AD472" s="78"/>
      <c r="AE472" s="78"/>
      <c r="AH472"/>
    </row>
    <row r="473" spans="8:34" s="23" customFormat="1" x14ac:dyDescent="0.25">
      <c r="H473" s="78"/>
      <c r="I473" s="78"/>
      <c r="J473" s="78"/>
      <c r="K473" s="78"/>
      <c r="L473" s="78"/>
      <c r="M473" s="78"/>
      <c r="N473" s="78"/>
      <c r="O473" s="78"/>
      <c r="P473" s="78"/>
      <c r="Q473" s="78"/>
      <c r="R473" s="78"/>
      <c r="S473" s="78"/>
      <c r="T473" s="78"/>
      <c r="U473" s="78"/>
      <c r="V473" s="78"/>
      <c r="W473" s="78"/>
      <c r="X473" s="78"/>
      <c r="Y473" s="78"/>
      <c r="Z473" s="78"/>
      <c r="AA473" s="78"/>
      <c r="AB473" s="78"/>
      <c r="AC473" s="78"/>
      <c r="AD473" s="78"/>
      <c r="AE473" s="78"/>
      <c r="AH473"/>
    </row>
    <row r="474" spans="8:34" s="23" customFormat="1" x14ac:dyDescent="0.25">
      <c r="H474" s="78"/>
      <c r="I474" s="78"/>
      <c r="J474" s="78"/>
      <c r="K474" s="78"/>
      <c r="L474" s="78"/>
      <c r="M474" s="78"/>
      <c r="N474" s="78"/>
      <c r="O474" s="78"/>
      <c r="P474" s="78"/>
      <c r="Q474" s="78"/>
      <c r="R474" s="78"/>
      <c r="S474" s="78"/>
      <c r="T474" s="78"/>
      <c r="U474" s="78"/>
      <c r="V474" s="78"/>
      <c r="W474" s="78"/>
      <c r="X474" s="78"/>
      <c r="Y474" s="78"/>
      <c r="Z474" s="78"/>
      <c r="AA474" s="78"/>
      <c r="AB474" s="78"/>
      <c r="AC474" s="78"/>
      <c r="AD474" s="78"/>
      <c r="AE474" s="78"/>
      <c r="AH474"/>
    </row>
    <row r="475" spans="8:34" s="23" customFormat="1" x14ac:dyDescent="0.25">
      <c r="H475" s="78"/>
      <c r="I475" s="78"/>
      <c r="J475" s="78"/>
      <c r="K475" s="78"/>
      <c r="L475" s="78"/>
      <c r="M475" s="78"/>
      <c r="N475" s="78"/>
      <c r="O475" s="78"/>
      <c r="P475" s="78"/>
      <c r="Q475" s="78"/>
      <c r="R475" s="78"/>
      <c r="S475" s="78"/>
      <c r="T475" s="78"/>
      <c r="U475" s="78"/>
      <c r="V475" s="78"/>
      <c r="W475" s="78"/>
      <c r="X475" s="78"/>
      <c r="Y475" s="78"/>
      <c r="Z475" s="78"/>
      <c r="AA475" s="78"/>
      <c r="AB475" s="78"/>
      <c r="AC475" s="78"/>
      <c r="AD475" s="78"/>
      <c r="AE475" s="78"/>
      <c r="AH475"/>
    </row>
    <row r="476" spans="8:34" s="23" customFormat="1" x14ac:dyDescent="0.25">
      <c r="H476" s="78"/>
      <c r="I476" s="78"/>
      <c r="J476" s="78"/>
      <c r="K476" s="78"/>
      <c r="L476" s="78"/>
      <c r="M476" s="78"/>
      <c r="N476" s="78"/>
      <c r="O476" s="78"/>
      <c r="P476" s="78"/>
      <c r="Q476" s="78"/>
      <c r="R476" s="78"/>
      <c r="S476" s="78"/>
      <c r="T476" s="78"/>
      <c r="U476" s="78"/>
      <c r="V476" s="78"/>
      <c r="W476" s="78"/>
      <c r="X476" s="78"/>
      <c r="Y476" s="78"/>
      <c r="Z476" s="78"/>
      <c r="AA476" s="78"/>
      <c r="AB476" s="78"/>
      <c r="AC476" s="78"/>
      <c r="AD476" s="78"/>
      <c r="AE476" s="78"/>
      <c r="AH476"/>
    </row>
    <row r="477" spans="8:34" s="23" customFormat="1" x14ac:dyDescent="0.25">
      <c r="H477" s="78"/>
      <c r="I477" s="78"/>
      <c r="J477" s="78"/>
      <c r="K477" s="78"/>
      <c r="L477" s="78"/>
      <c r="M477" s="78"/>
      <c r="N477" s="78"/>
      <c r="O477" s="78"/>
      <c r="P477" s="78"/>
      <c r="Q477" s="78"/>
      <c r="R477" s="78"/>
      <c r="S477" s="78"/>
      <c r="T477" s="78"/>
      <c r="U477" s="78"/>
      <c r="V477" s="78"/>
      <c r="W477" s="78"/>
      <c r="X477" s="78"/>
      <c r="Y477" s="78"/>
      <c r="Z477" s="78"/>
      <c r="AA477" s="78"/>
      <c r="AB477" s="78"/>
      <c r="AC477" s="78"/>
      <c r="AD477" s="78"/>
      <c r="AE477" s="78"/>
      <c r="AH477"/>
    </row>
    <row r="478" spans="8:34" s="23" customFormat="1" x14ac:dyDescent="0.25">
      <c r="H478" s="78"/>
      <c r="I478" s="78"/>
      <c r="J478" s="78"/>
      <c r="K478" s="78"/>
      <c r="L478" s="78"/>
      <c r="M478" s="78"/>
      <c r="N478" s="78"/>
      <c r="O478" s="78"/>
      <c r="P478" s="78"/>
      <c r="Q478" s="78"/>
      <c r="R478" s="78"/>
      <c r="S478" s="78"/>
      <c r="T478" s="78"/>
      <c r="U478" s="78"/>
      <c r="V478" s="78"/>
      <c r="W478" s="78"/>
      <c r="X478" s="78"/>
      <c r="Y478" s="78"/>
      <c r="Z478" s="78"/>
      <c r="AA478" s="78"/>
      <c r="AB478" s="78"/>
      <c r="AC478" s="78"/>
      <c r="AD478" s="78"/>
      <c r="AE478" s="78"/>
      <c r="AH478"/>
    </row>
    <row r="479" spans="8:34" s="23" customFormat="1" x14ac:dyDescent="0.25">
      <c r="H479" s="78"/>
      <c r="I479" s="78"/>
      <c r="J479" s="78"/>
      <c r="K479" s="78"/>
      <c r="L479" s="78"/>
      <c r="M479" s="78"/>
      <c r="N479" s="78"/>
      <c r="O479" s="78"/>
      <c r="P479" s="78"/>
      <c r="Q479" s="78"/>
      <c r="R479" s="78"/>
      <c r="S479" s="78"/>
      <c r="T479" s="78"/>
      <c r="U479" s="78"/>
      <c r="V479" s="78"/>
      <c r="W479" s="78"/>
      <c r="X479" s="78"/>
      <c r="Y479" s="78"/>
      <c r="Z479" s="78"/>
      <c r="AA479" s="78"/>
      <c r="AB479" s="78"/>
      <c r="AC479" s="78"/>
      <c r="AD479" s="78"/>
      <c r="AE479" s="78"/>
      <c r="AH479"/>
    </row>
    <row r="480" spans="8:34" s="23" customFormat="1" x14ac:dyDescent="0.25">
      <c r="H480" s="78"/>
      <c r="I480" s="78"/>
      <c r="J480" s="78"/>
      <c r="K480" s="78"/>
      <c r="L480" s="78"/>
      <c r="M480" s="78"/>
      <c r="N480" s="78"/>
      <c r="O480" s="78"/>
      <c r="P480" s="78"/>
      <c r="Q480" s="78"/>
      <c r="R480" s="78"/>
      <c r="S480" s="78"/>
      <c r="T480" s="78"/>
      <c r="U480" s="78"/>
      <c r="V480" s="78"/>
      <c r="W480" s="78"/>
      <c r="X480" s="78"/>
      <c r="Y480" s="78"/>
      <c r="Z480" s="78"/>
      <c r="AA480" s="78"/>
      <c r="AB480" s="78"/>
      <c r="AC480" s="78"/>
      <c r="AD480" s="78"/>
      <c r="AE480" s="78"/>
      <c r="AH480"/>
    </row>
    <row r="481" spans="8:34" s="23" customFormat="1" x14ac:dyDescent="0.25">
      <c r="H481" s="78"/>
      <c r="I481" s="78"/>
      <c r="J481" s="78"/>
      <c r="K481" s="78"/>
      <c r="L481" s="78"/>
      <c r="M481" s="78"/>
      <c r="N481" s="78"/>
      <c r="O481" s="78"/>
      <c r="P481" s="78"/>
      <c r="Q481" s="78"/>
      <c r="R481" s="78"/>
      <c r="S481" s="78"/>
      <c r="T481" s="78"/>
      <c r="U481" s="78"/>
      <c r="V481" s="78"/>
      <c r="W481" s="78"/>
      <c r="X481" s="78"/>
      <c r="Y481" s="78"/>
      <c r="Z481" s="78"/>
      <c r="AA481" s="78"/>
      <c r="AB481" s="78"/>
      <c r="AC481" s="78"/>
      <c r="AD481" s="78"/>
      <c r="AE481" s="78"/>
      <c r="AH481"/>
    </row>
    <row r="482" spans="8:34" s="23" customFormat="1" x14ac:dyDescent="0.25">
      <c r="H482" s="78"/>
      <c r="I482" s="78"/>
      <c r="J482" s="78"/>
      <c r="K482" s="78"/>
      <c r="L482" s="78"/>
      <c r="M482" s="78"/>
      <c r="N482" s="78"/>
      <c r="O482" s="78"/>
      <c r="P482" s="78"/>
      <c r="Q482" s="78"/>
      <c r="R482" s="78"/>
      <c r="S482" s="78"/>
      <c r="T482" s="78"/>
      <c r="U482" s="78"/>
      <c r="V482" s="78"/>
      <c r="W482" s="78"/>
      <c r="X482" s="78"/>
      <c r="Y482" s="78"/>
      <c r="Z482" s="78"/>
      <c r="AA482" s="78"/>
      <c r="AB482" s="78"/>
      <c r="AC482" s="78"/>
      <c r="AD482" s="78"/>
      <c r="AE482" s="78"/>
      <c r="AH482"/>
    </row>
    <row r="483" spans="8:34" s="23" customFormat="1" x14ac:dyDescent="0.25">
      <c r="H483" s="78"/>
      <c r="I483" s="78"/>
      <c r="J483" s="78"/>
      <c r="K483" s="78"/>
      <c r="L483" s="78"/>
      <c r="M483" s="78"/>
      <c r="N483" s="78"/>
      <c r="O483" s="78"/>
      <c r="P483" s="78"/>
      <c r="Q483" s="78"/>
      <c r="R483" s="78"/>
      <c r="S483" s="78"/>
      <c r="T483" s="78"/>
      <c r="U483" s="78"/>
      <c r="V483" s="78"/>
      <c r="W483" s="78"/>
      <c r="X483" s="78"/>
      <c r="Y483" s="78"/>
      <c r="Z483" s="78"/>
      <c r="AA483" s="78"/>
      <c r="AB483" s="78"/>
      <c r="AC483" s="78"/>
      <c r="AD483" s="78"/>
      <c r="AE483" s="78"/>
      <c r="AH483"/>
    </row>
    <row r="484" spans="8:34" s="23" customFormat="1" x14ac:dyDescent="0.25">
      <c r="H484" s="78"/>
      <c r="I484" s="78"/>
      <c r="J484" s="78"/>
      <c r="K484" s="78"/>
      <c r="L484" s="78"/>
      <c r="M484" s="78"/>
      <c r="N484" s="78"/>
      <c r="O484" s="78"/>
      <c r="P484" s="78"/>
      <c r="Q484" s="78"/>
      <c r="R484" s="78"/>
      <c r="S484" s="78"/>
      <c r="T484" s="78"/>
      <c r="U484" s="78"/>
      <c r="V484" s="78"/>
      <c r="W484" s="78"/>
      <c r="X484" s="78"/>
      <c r="Y484" s="78"/>
      <c r="Z484" s="78"/>
      <c r="AA484" s="78"/>
      <c r="AB484" s="78"/>
      <c r="AC484" s="78"/>
      <c r="AD484" s="78"/>
      <c r="AE484" s="78"/>
      <c r="AH484"/>
    </row>
    <row r="485" spans="8:34" s="23" customFormat="1" x14ac:dyDescent="0.25">
      <c r="H485" s="78"/>
      <c r="I485" s="78"/>
      <c r="J485" s="78"/>
      <c r="K485" s="78"/>
      <c r="L485" s="78"/>
      <c r="M485" s="78"/>
      <c r="N485" s="78"/>
      <c r="O485" s="78"/>
      <c r="P485" s="78"/>
      <c r="Q485" s="78"/>
      <c r="R485" s="78"/>
      <c r="S485" s="78"/>
      <c r="T485" s="78"/>
      <c r="U485" s="78"/>
      <c r="V485" s="78"/>
      <c r="W485" s="78"/>
      <c r="X485" s="78"/>
      <c r="Y485" s="78"/>
      <c r="Z485" s="78"/>
      <c r="AA485" s="78"/>
      <c r="AB485" s="78"/>
      <c r="AC485" s="78"/>
      <c r="AD485" s="78"/>
      <c r="AE485" s="78"/>
      <c r="AH485"/>
    </row>
    <row r="486" spans="8:34" s="23" customFormat="1" x14ac:dyDescent="0.25">
      <c r="H486" s="78"/>
      <c r="I486" s="78"/>
      <c r="J486" s="78"/>
      <c r="K486" s="78"/>
      <c r="L486" s="78"/>
      <c r="M486" s="78"/>
      <c r="N486" s="78"/>
      <c r="O486" s="78"/>
      <c r="P486" s="78"/>
      <c r="Q486" s="78"/>
      <c r="R486" s="78"/>
      <c r="S486" s="78"/>
      <c r="T486" s="78"/>
      <c r="U486" s="78"/>
      <c r="V486" s="78"/>
      <c r="W486" s="78"/>
      <c r="X486" s="78"/>
      <c r="Y486" s="78"/>
      <c r="Z486" s="78"/>
      <c r="AA486" s="78"/>
      <c r="AB486" s="78"/>
      <c r="AC486" s="78"/>
      <c r="AD486" s="78"/>
      <c r="AE486" s="78"/>
      <c r="AH486"/>
    </row>
    <row r="487" spans="8:34" s="23" customFormat="1" x14ac:dyDescent="0.25">
      <c r="H487" s="78"/>
      <c r="I487" s="78"/>
      <c r="J487" s="78"/>
      <c r="K487" s="78"/>
      <c r="L487" s="78"/>
      <c r="M487" s="78"/>
      <c r="N487" s="78"/>
      <c r="O487" s="78"/>
      <c r="P487" s="78"/>
      <c r="Q487" s="78"/>
      <c r="R487" s="78"/>
      <c r="S487" s="78"/>
      <c r="T487" s="78"/>
      <c r="U487" s="78"/>
      <c r="V487" s="78"/>
      <c r="W487" s="78"/>
      <c r="X487" s="78"/>
      <c r="Y487" s="78"/>
      <c r="Z487" s="78"/>
      <c r="AA487" s="78"/>
      <c r="AB487" s="78"/>
      <c r="AC487" s="78"/>
      <c r="AD487" s="78"/>
      <c r="AE487" s="78"/>
      <c r="AH487"/>
    </row>
    <row r="488" spans="8:34" s="23" customFormat="1" x14ac:dyDescent="0.25">
      <c r="H488" s="78"/>
      <c r="I488" s="78"/>
      <c r="J488" s="78"/>
      <c r="K488" s="78"/>
      <c r="L488" s="78"/>
      <c r="M488" s="78"/>
      <c r="N488" s="78"/>
      <c r="O488" s="78"/>
      <c r="P488" s="78"/>
      <c r="Q488" s="78"/>
      <c r="R488" s="78"/>
      <c r="S488" s="78"/>
      <c r="T488" s="78"/>
      <c r="U488" s="78"/>
      <c r="V488" s="78"/>
      <c r="W488" s="78"/>
      <c r="X488" s="78"/>
      <c r="Y488" s="78"/>
      <c r="Z488" s="78"/>
      <c r="AA488" s="78"/>
      <c r="AB488" s="78"/>
      <c r="AC488" s="78"/>
      <c r="AD488" s="78"/>
      <c r="AE488" s="78"/>
      <c r="AH488"/>
    </row>
    <row r="489" spans="8:34" s="23" customFormat="1" x14ac:dyDescent="0.25">
      <c r="H489" s="78"/>
      <c r="I489" s="78"/>
      <c r="J489" s="78"/>
      <c r="K489" s="78"/>
      <c r="L489" s="78"/>
      <c r="M489" s="78"/>
      <c r="N489" s="78"/>
      <c r="O489" s="78"/>
      <c r="P489" s="78"/>
      <c r="Q489" s="78"/>
      <c r="R489" s="78"/>
      <c r="S489" s="78"/>
      <c r="T489" s="78"/>
      <c r="U489" s="78"/>
      <c r="V489" s="78"/>
      <c r="W489" s="78"/>
      <c r="X489" s="78"/>
      <c r="Y489" s="78"/>
      <c r="Z489" s="78"/>
      <c r="AA489" s="78"/>
      <c r="AB489" s="78"/>
      <c r="AC489" s="78"/>
      <c r="AD489" s="78"/>
      <c r="AE489" s="78"/>
      <c r="AH489"/>
    </row>
    <row r="490" spans="8:34" s="23" customFormat="1" x14ac:dyDescent="0.25">
      <c r="H490" s="78"/>
      <c r="I490" s="78"/>
      <c r="J490" s="78"/>
      <c r="K490" s="78"/>
      <c r="L490" s="78"/>
      <c r="M490" s="78"/>
      <c r="N490" s="78"/>
      <c r="O490" s="78"/>
      <c r="P490" s="78"/>
      <c r="Q490" s="78"/>
      <c r="R490" s="78"/>
      <c r="S490" s="78"/>
      <c r="T490" s="78"/>
      <c r="U490" s="78"/>
      <c r="V490" s="78"/>
      <c r="W490" s="78"/>
      <c r="X490" s="78"/>
      <c r="Y490" s="78"/>
      <c r="Z490" s="78"/>
      <c r="AA490" s="78"/>
      <c r="AB490" s="78"/>
      <c r="AC490" s="78"/>
      <c r="AD490" s="78"/>
      <c r="AE490" s="78"/>
      <c r="AH490"/>
    </row>
    <row r="491" spans="8:34" s="23" customFormat="1" x14ac:dyDescent="0.25">
      <c r="H491" s="78"/>
      <c r="I491" s="78"/>
      <c r="J491" s="78"/>
      <c r="K491" s="78"/>
      <c r="L491" s="78"/>
      <c r="M491" s="78"/>
      <c r="N491" s="78"/>
      <c r="O491" s="78"/>
      <c r="P491" s="78"/>
      <c r="Q491" s="78"/>
      <c r="R491" s="78"/>
      <c r="S491" s="78"/>
      <c r="T491" s="78"/>
      <c r="U491" s="78"/>
      <c r="V491" s="78"/>
      <c r="W491" s="78"/>
      <c r="X491" s="78"/>
      <c r="Y491" s="78"/>
      <c r="Z491" s="78"/>
      <c r="AA491" s="78"/>
      <c r="AB491" s="78"/>
      <c r="AC491" s="78"/>
      <c r="AD491" s="78"/>
      <c r="AE491" s="78"/>
      <c r="AH491"/>
    </row>
    <row r="492" spans="8:34" s="23" customFormat="1" x14ac:dyDescent="0.25">
      <c r="H492" s="78"/>
      <c r="I492" s="78"/>
      <c r="J492" s="78"/>
      <c r="K492" s="78"/>
      <c r="L492" s="78"/>
      <c r="M492" s="78"/>
      <c r="N492" s="78"/>
      <c r="O492" s="78"/>
      <c r="P492" s="78"/>
      <c r="Q492" s="78"/>
      <c r="R492" s="78"/>
      <c r="S492" s="78"/>
      <c r="T492" s="78"/>
      <c r="U492" s="78"/>
      <c r="V492" s="78"/>
      <c r="W492" s="78"/>
      <c r="X492" s="78"/>
      <c r="Y492" s="78"/>
      <c r="Z492" s="78"/>
      <c r="AA492" s="78"/>
      <c r="AB492" s="78"/>
      <c r="AC492" s="78"/>
      <c r="AD492" s="78"/>
      <c r="AE492" s="78"/>
      <c r="AH492"/>
    </row>
    <row r="493" spans="8:34" s="23" customFormat="1" x14ac:dyDescent="0.25">
      <c r="H493" s="78"/>
      <c r="I493" s="78"/>
      <c r="J493" s="78"/>
      <c r="K493" s="78"/>
      <c r="L493" s="78"/>
      <c r="M493" s="78"/>
      <c r="N493" s="78"/>
      <c r="O493" s="78"/>
      <c r="P493" s="78"/>
      <c r="Q493" s="78"/>
      <c r="R493" s="78"/>
      <c r="S493" s="78"/>
      <c r="T493" s="78"/>
      <c r="U493" s="78"/>
      <c r="V493" s="78"/>
      <c r="W493" s="78"/>
      <c r="X493" s="78"/>
      <c r="Y493" s="78"/>
      <c r="Z493" s="78"/>
      <c r="AA493" s="78"/>
      <c r="AB493" s="78"/>
      <c r="AC493" s="78"/>
      <c r="AD493" s="78"/>
      <c r="AE493" s="78"/>
      <c r="AH493"/>
    </row>
    <row r="494" spans="8:34" s="23" customFormat="1" x14ac:dyDescent="0.25">
      <c r="H494" s="78"/>
      <c r="I494" s="78"/>
      <c r="J494" s="78"/>
      <c r="K494" s="78"/>
      <c r="L494" s="78"/>
      <c r="M494" s="78"/>
      <c r="N494" s="78"/>
      <c r="O494" s="78"/>
      <c r="P494" s="78"/>
      <c r="Q494" s="78"/>
      <c r="R494" s="78"/>
      <c r="S494" s="78"/>
      <c r="T494" s="78"/>
      <c r="U494" s="78"/>
      <c r="V494" s="78"/>
      <c r="W494" s="78"/>
      <c r="X494" s="78"/>
      <c r="Y494" s="78"/>
      <c r="Z494" s="78"/>
      <c r="AA494" s="78"/>
      <c r="AB494" s="78"/>
      <c r="AC494" s="78"/>
      <c r="AD494" s="78"/>
      <c r="AE494" s="78"/>
      <c r="AH494"/>
    </row>
    <row r="495" spans="8:34" s="23" customFormat="1" x14ac:dyDescent="0.25">
      <c r="H495" s="78"/>
      <c r="I495" s="78"/>
      <c r="J495" s="78"/>
      <c r="K495" s="78"/>
      <c r="L495" s="78"/>
      <c r="M495" s="78"/>
      <c r="N495" s="78"/>
      <c r="O495" s="78"/>
      <c r="P495" s="78"/>
      <c r="Q495" s="78"/>
      <c r="R495" s="78"/>
      <c r="S495" s="78"/>
      <c r="T495" s="78"/>
      <c r="U495" s="78"/>
      <c r="V495" s="78"/>
      <c r="W495" s="78"/>
      <c r="X495" s="78"/>
      <c r="Y495" s="78"/>
      <c r="Z495" s="78"/>
      <c r="AA495" s="78"/>
      <c r="AB495" s="78"/>
      <c r="AC495" s="78"/>
      <c r="AD495" s="78"/>
      <c r="AE495" s="78"/>
      <c r="AH495"/>
    </row>
    <row r="496" spans="8:34" s="23" customFormat="1" x14ac:dyDescent="0.25">
      <c r="H496" s="78"/>
      <c r="I496" s="78"/>
      <c r="J496" s="78"/>
      <c r="K496" s="78"/>
      <c r="L496" s="78"/>
      <c r="M496" s="78"/>
      <c r="N496" s="78"/>
      <c r="O496" s="78"/>
      <c r="P496" s="78"/>
      <c r="Q496" s="78"/>
      <c r="R496" s="78"/>
      <c r="S496" s="78"/>
      <c r="T496" s="78"/>
      <c r="U496" s="78"/>
      <c r="V496" s="78"/>
      <c r="W496" s="78"/>
      <c r="X496" s="78"/>
      <c r="Y496" s="78"/>
      <c r="Z496" s="78"/>
      <c r="AA496" s="78"/>
      <c r="AB496" s="78"/>
      <c r="AC496" s="78"/>
      <c r="AD496" s="78"/>
      <c r="AE496" s="78"/>
      <c r="AH496"/>
    </row>
    <row r="497" spans="8:34" s="23" customFormat="1" x14ac:dyDescent="0.25">
      <c r="H497" s="78"/>
      <c r="I497" s="78"/>
      <c r="J497" s="78"/>
      <c r="K497" s="78"/>
      <c r="L497" s="78"/>
      <c r="M497" s="78"/>
      <c r="N497" s="78"/>
      <c r="O497" s="78"/>
      <c r="P497" s="78"/>
      <c r="Q497" s="78"/>
      <c r="R497" s="78"/>
      <c r="S497" s="78"/>
      <c r="T497" s="78"/>
      <c r="U497" s="78"/>
      <c r="V497" s="78"/>
      <c r="W497" s="78"/>
      <c r="X497" s="78"/>
      <c r="Y497" s="78"/>
      <c r="Z497" s="78"/>
      <c r="AA497" s="78"/>
      <c r="AB497" s="78"/>
      <c r="AC497" s="78"/>
      <c r="AD497" s="78"/>
      <c r="AE497" s="78"/>
      <c r="AH497"/>
    </row>
    <row r="498" spans="8:34" s="23" customFormat="1" x14ac:dyDescent="0.25">
      <c r="H498" s="78"/>
      <c r="I498" s="78"/>
      <c r="J498" s="78"/>
      <c r="K498" s="78"/>
      <c r="L498" s="78"/>
      <c r="M498" s="78"/>
      <c r="N498" s="78"/>
      <c r="O498" s="78"/>
      <c r="P498" s="78"/>
      <c r="Q498" s="78"/>
      <c r="R498" s="78"/>
      <c r="S498" s="78"/>
      <c r="T498" s="78"/>
      <c r="U498" s="78"/>
      <c r="V498" s="78"/>
      <c r="W498" s="78"/>
      <c r="X498" s="78"/>
      <c r="Y498" s="78"/>
      <c r="Z498" s="78"/>
      <c r="AA498" s="78"/>
      <c r="AB498" s="78"/>
      <c r="AC498" s="78"/>
      <c r="AD498" s="78"/>
      <c r="AE498" s="78"/>
      <c r="AH498"/>
    </row>
    <row r="499" spans="8:34" s="23" customFormat="1" x14ac:dyDescent="0.25">
      <c r="H499" s="78"/>
      <c r="I499" s="78"/>
      <c r="J499" s="78"/>
      <c r="K499" s="78"/>
      <c r="L499" s="78"/>
      <c r="M499" s="78"/>
      <c r="N499" s="78"/>
      <c r="O499" s="78"/>
      <c r="P499" s="78"/>
      <c r="Q499" s="78"/>
      <c r="R499" s="78"/>
      <c r="S499" s="78"/>
      <c r="T499" s="78"/>
      <c r="U499" s="78"/>
      <c r="V499" s="78"/>
      <c r="W499" s="78"/>
      <c r="X499" s="78"/>
      <c r="Y499" s="78"/>
      <c r="Z499" s="78"/>
      <c r="AA499" s="78"/>
      <c r="AB499" s="78"/>
      <c r="AC499" s="78"/>
      <c r="AD499" s="78"/>
      <c r="AE499" s="78"/>
      <c r="AH499"/>
    </row>
    <row r="500" spans="8:34" s="23" customFormat="1" x14ac:dyDescent="0.25">
      <c r="H500" s="78"/>
      <c r="I500" s="78"/>
      <c r="J500" s="78"/>
      <c r="K500" s="78"/>
      <c r="L500" s="78"/>
      <c r="M500" s="78"/>
      <c r="N500" s="78"/>
      <c r="O500" s="78"/>
      <c r="P500" s="78"/>
      <c r="Q500" s="78"/>
      <c r="R500" s="78"/>
      <c r="S500" s="78"/>
      <c r="T500" s="78"/>
      <c r="U500" s="78"/>
      <c r="V500" s="78"/>
      <c r="W500" s="78"/>
      <c r="X500" s="78"/>
      <c r="Y500" s="78"/>
      <c r="Z500" s="78"/>
      <c r="AA500" s="78"/>
      <c r="AB500" s="78"/>
      <c r="AC500" s="78"/>
      <c r="AD500" s="78"/>
      <c r="AE500" s="78"/>
      <c r="AH500"/>
    </row>
    <row r="501" spans="8:34" s="23" customFormat="1" x14ac:dyDescent="0.25">
      <c r="H501" s="78"/>
      <c r="I501" s="78"/>
      <c r="J501" s="78"/>
      <c r="K501" s="78"/>
      <c r="L501" s="78"/>
      <c r="M501" s="78"/>
      <c r="N501" s="78"/>
      <c r="O501" s="78"/>
      <c r="P501" s="78"/>
      <c r="Q501" s="78"/>
      <c r="R501" s="78"/>
      <c r="S501" s="78"/>
      <c r="T501" s="78"/>
      <c r="U501" s="78"/>
      <c r="V501" s="78"/>
      <c r="W501" s="78"/>
      <c r="X501" s="78"/>
      <c r="Y501" s="78"/>
      <c r="Z501" s="78"/>
      <c r="AA501" s="78"/>
      <c r="AB501" s="78"/>
      <c r="AC501" s="78"/>
      <c r="AD501" s="78"/>
      <c r="AE501" s="78"/>
      <c r="AH501"/>
    </row>
    <row r="502" spans="8:34" s="23" customFormat="1" x14ac:dyDescent="0.25">
      <c r="H502" s="78"/>
      <c r="I502" s="78"/>
      <c r="J502" s="78"/>
      <c r="K502" s="78"/>
      <c r="L502" s="78"/>
      <c r="M502" s="78"/>
      <c r="N502" s="78"/>
      <c r="O502" s="78"/>
      <c r="P502" s="78"/>
      <c r="Q502" s="78"/>
      <c r="R502" s="78"/>
      <c r="S502" s="78"/>
      <c r="T502" s="78"/>
      <c r="U502" s="78"/>
      <c r="V502" s="78"/>
      <c r="W502" s="78"/>
      <c r="X502" s="78"/>
      <c r="Y502" s="78"/>
      <c r="Z502" s="78"/>
      <c r="AA502" s="78"/>
      <c r="AB502" s="78"/>
      <c r="AC502" s="78"/>
      <c r="AD502" s="78"/>
      <c r="AE502" s="78"/>
      <c r="AH502"/>
    </row>
    <row r="503" spans="8:34" s="23" customFormat="1" x14ac:dyDescent="0.25">
      <c r="H503" s="78"/>
      <c r="I503" s="78"/>
      <c r="J503" s="78"/>
      <c r="K503" s="78"/>
      <c r="L503" s="78"/>
      <c r="M503" s="78"/>
      <c r="N503" s="78"/>
      <c r="O503" s="78"/>
      <c r="P503" s="78"/>
      <c r="Q503" s="78"/>
      <c r="R503" s="78"/>
      <c r="S503" s="78"/>
      <c r="T503" s="78"/>
      <c r="U503" s="78"/>
      <c r="V503" s="78"/>
      <c r="W503" s="78"/>
      <c r="X503" s="78"/>
      <c r="Y503" s="78"/>
      <c r="Z503" s="78"/>
      <c r="AA503" s="78"/>
      <c r="AB503" s="78"/>
      <c r="AC503" s="78"/>
      <c r="AD503" s="78"/>
      <c r="AE503" s="78"/>
      <c r="AH503"/>
    </row>
    <row r="504" spans="8:34" s="23" customFormat="1" x14ac:dyDescent="0.25">
      <c r="H504" s="78"/>
      <c r="I504" s="78"/>
      <c r="J504" s="78"/>
      <c r="K504" s="78"/>
      <c r="L504" s="78"/>
      <c r="M504" s="78"/>
      <c r="N504" s="78"/>
      <c r="O504" s="78"/>
      <c r="P504" s="78"/>
      <c r="Q504" s="78"/>
      <c r="R504" s="78"/>
      <c r="S504" s="78"/>
      <c r="T504" s="78"/>
      <c r="U504" s="78"/>
      <c r="V504" s="78"/>
      <c r="W504" s="78"/>
      <c r="X504" s="78"/>
      <c r="Y504" s="78"/>
      <c r="Z504" s="78"/>
      <c r="AA504" s="78"/>
      <c r="AB504" s="78"/>
      <c r="AC504" s="78"/>
      <c r="AD504" s="78"/>
      <c r="AE504" s="78"/>
      <c r="AH504"/>
    </row>
    <row r="505" spans="8:34" s="23" customFormat="1" x14ac:dyDescent="0.25">
      <c r="H505" s="78"/>
      <c r="I505" s="78"/>
      <c r="J505" s="78"/>
      <c r="K505" s="78"/>
      <c r="L505" s="78"/>
      <c r="M505" s="78"/>
      <c r="N505" s="78"/>
      <c r="O505" s="78"/>
      <c r="P505" s="78"/>
      <c r="Q505" s="78"/>
      <c r="R505" s="78"/>
      <c r="S505" s="78"/>
      <c r="T505" s="78"/>
      <c r="U505" s="78"/>
      <c r="V505" s="78"/>
      <c r="W505" s="78"/>
      <c r="X505" s="78"/>
      <c r="Y505" s="78"/>
      <c r="Z505" s="78"/>
      <c r="AA505" s="78"/>
      <c r="AB505" s="78"/>
      <c r="AC505" s="78"/>
      <c r="AD505" s="78"/>
      <c r="AE505" s="78"/>
      <c r="AH505"/>
    </row>
    <row r="506" spans="8:34" s="23" customFormat="1" x14ac:dyDescent="0.25">
      <c r="H506" s="78"/>
      <c r="I506" s="78"/>
      <c r="J506" s="78"/>
      <c r="K506" s="78"/>
      <c r="L506" s="78"/>
      <c r="M506" s="78"/>
      <c r="N506" s="78"/>
      <c r="O506" s="78"/>
      <c r="P506" s="78"/>
      <c r="Q506" s="78"/>
      <c r="R506" s="78"/>
      <c r="S506" s="78"/>
      <c r="T506" s="78"/>
      <c r="U506" s="78"/>
      <c r="V506" s="78"/>
      <c r="W506" s="78"/>
      <c r="X506" s="78"/>
      <c r="Y506" s="78"/>
      <c r="Z506" s="78"/>
      <c r="AA506" s="78"/>
      <c r="AB506" s="78"/>
      <c r="AC506" s="78"/>
      <c r="AD506" s="78"/>
      <c r="AE506" s="78"/>
      <c r="AH506"/>
    </row>
    <row r="507" spans="8:34" s="23" customFormat="1" x14ac:dyDescent="0.25">
      <c r="H507" s="78"/>
      <c r="I507" s="78"/>
      <c r="J507" s="78"/>
      <c r="K507" s="78"/>
      <c r="L507" s="78"/>
      <c r="M507" s="78"/>
      <c r="N507" s="78"/>
      <c r="O507" s="78"/>
      <c r="P507" s="78"/>
      <c r="Q507" s="78"/>
      <c r="R507" s="78"/>
      <c r="S507" s="78"/>
      <c r="T507" s="78"/>
      <c r="U507" s="78"/>
      <c r="V507" s="78"/>
      <c r="W507" s="78"/>
      <c r="X507" s="78"/>
      <c r="Y507" s="78"/>
      <c r="Z507" s="78"/>
      <c r="AA507" s="78"/>
      <c r="AB507" s="78"/>
      <c r="AC507" s="78"/>
      <c r="AD507" s="78"/>
      <c r="AE507" s="78"/>
      <c r="AH507"/>
    </row>
    <row r="508" spans="8:34" s="23" customFormat="1" x14ac:dyDescent="0.25">
      <c r="H508" s="78"/>
      <c r="I508" s="78"/>
      <c r="J508" s="78"/>
      <c r="K508" s="78"/>
      <c r="L508" s="78"/>
      <c r="M508" s="78"/>
      <c r="N508" s="78"/>
      <c r="O508" s="78"/>
      <c r="P508" s="78"/>
      <c r="Q508" s="78"/>
      <c r="R508" s="78"/>
      <c r="S508" s="78"/>
      <c r="T508" s="78"/>
      <c r="U508" s="78"/>
      <c r="V508" s="78"/>
      <c r="W508" s="78"/>
      <c r="X508" s="78"/>
      <c r="Y508" s="78"/>
      <c r="Z508" s="78"/>
      <c r="AA508" s="78"/>
      <c r="AB508" s="78"/>
      <c r="AC508" s="78"/>
      <c r="AD508" s="78"/>
      <c r="AE508" s="78"/>
      <c r="AH508"/>
    </row>
    <row r="509" spans="8:34" s="23" customFormat="1" x14ac:dyDescent="0.25">
      <c r="H509" s="78"/>
      <c r="I509" s="78"/>
      <c r="J509" s="78"/>
      <c r="K509" s="78"/>
      <c r="L509" s="78"/>
      <c r="M509" s="78"/>
      <c r="N509" s="78"/>
      <c r="O509" s="78"/>
      <c r="P509" s="78"/>
      <c r="Q509" s="78"/>
      <c r="R509" s="78"/>
      <c r="S509" s="78"/>
      <c r="T509" s="78"/>
      <c r="U509" s="78"/>
      <c r="V509" s="78"/>
      <c r="W509" s="78"/>
      <c r="X509" s="78"/>
      <c r="Y509" s="78"/>
      <c r="Z509" s="78"/>
      <c r="AA509" s="78"/>
      <c r="AB509" s="78"/>
      <c r="AC509" s="78"/>
      <c r="AD509" s="78"/>
      <c r="AE509" s="78"/>
      <c r="AH509"/>
    </row>
    <row r="510" spans="8:34" s="23" customFormat="1" x14ac:dyDescent="0.25">
      <c r="H510" s="78"/>
      <c r="I510" s="78"/>
      <c r="J510" s="78"/>
      <c r="K510" s="78"/>
      <c r="L510" s="78"/>
      <c r="M510" s="78"/>
      <c r="N510" s="78"/>
      <c r="O510" s="78"/>
      <c r="P510" s="78"/>
      <c r="Q510" s="78"/>
      <c r="R510" s="78"/>
      <c r="S510" s="78"/>
      <c r="T510" s="78"/>
      <c r="U510" s="78"/>
      <c r="V510" s="78"/>
      <c r="W510" s="78"/>
      <c r="X510" s="78"/>
      <c r="Y510" s="78"/>
      <c r="Z510" s="78"/>
      <c r="AA510" s="78"/>
      <c r="AB510" s="78"/>
      <c r="AC510" s="78"/>
      <c r="AD510" s="78"/>
      <c r="AE510" s="78"/>
      <c r="AH510"/>
    </row>
    <row r="511" spans="8:34" s="23" customFormat="1" x14ac:dyDescent="0.25">
      <c r="H511" s="78"/>
      <c r="I511" s="78"/>
      <c r="J511" s="78"/>
      <c r="K511" s="78"/>
      <c r="L511" s="78"/>
      <c r="M511" s="78"/>
      <c r="N511" s="78"/>
      <c r="O511" s="78"/>
      <c r="P511" s="78"/>
      <c r="Q511" s="78"/>
      <c r="R511" s="78"/>
      <c r="S511" s="78"/>
      <c r="T511" s="78"/>
      <c r="U511" s="78"/>
      <c r="V511" s="78"/>
      <c r="W511" s="78"/>
      <c r="X511" s="78"/>
      <c r="Y511" s="78"/>
      <c r="Z511" s="78"/>
      <c r="AA511" s="78"/>
      <c r="AB511" s="78"/>
      <c r="AC511" s="78"/>
      <c r="AD511" s="78"/>
      <c r="AE511" s="78"/>
      <c r="AH511"/>
    </row>
    <row r="512" spans="8:34" s="23" customFormat="1" x14ac:dyDescent="0.25">
      <c r="H512" s="78"/>
      <c r="I512" s="78"/>
      <c r="J512" s="78"/>
      <c r="K512" s="78"/>
      <c r="L512" s="78"/>
      <c r="M512" s="78"/>
      <c r="N512" s="78"/>
      <c r="O512" s="78"/>
      <c r="P512" s="78"/>
      <c r="Q512" s="78"/>
      <c r="R512" s="78"/>
      <c r="S512" s="78"/>
      <c r="T512" s="78"/>
      <c r="U512" s="78"/>
      <c r="V512" s="78"/>
      <c r="W512" s="78"/>
      <c r="X512" s="78"/>
      <c r="Y512" s="78"/>
      <c r="Z512" s="78"/>
      <c r="AA512" s="78"/>
      <c r="AB512" s="78"/>
      <c r="AC512" s="78"/>
      <c r="AD512" s="78"/>
      <c r="AE512" s="78"/>
      <c r="AH512"/>
    </row>
    <row r="513" spans="8:34" s="23" customFormat="1" x14ac:dyDescent="0.25">
      <c r="H513" s="78"/>
      <c r="I513" s="78"/>
      <c r="J513" s="78"/>
      <c r="K513" s="78"/>
      <c r="L513" s="78"/>
      <c r="M513" s="78"/>
      <c r="N513" s="78"/>
      <c r="O513" s="78"/>
      <c r="P513" s="78"/>
      <c r="Q513" s="78"/>
      <c r="R513" s="78"/>
      <c r="S513" s="78"/>
      <c r="T513" s="78"/>
      <c r="U513" s="78"/>
      <c r="V513" s="78"/>
      <c r="W513" s="78"/>
      <c r="X513" s="78"/>
      <c r="Y513" s="78"/>
      <c r="Z513" s="78"/>
      <c r="AA513" s="78"/>
      <c r="AB513" s="78"/>
      <c r="AC513" s="78"/>
      <c r="AD513" s="78"/>
      <c r="AE513" s="78"/>
      <c r="AH513"/>
    </row>
    <row r="514" spans="8:34" s="23" customFormat="1" x14ac:dyDescent="0.25">
      <c r="H514" s="78"/>
      <c r="I514" s="78"/>
      <c r="J514" s="78"/>
      <c r="K514" s="78"/>
      <c r="L514" s="78"/>
      <c r="M514" s="78"/>
      <c r="N514" s="78"/>
      <c r="O514" s="78"/>
      <c r="P514" s="78"/>
      <c r="Q514" s="78"/>
      <c r="R514" s="78"/>
      <c r="S514" s="78"/>
      <c r="T514" s="78"/>
      <c r="U514" s="78"/>
      <c r="V514" s="78"/>
      <c r="W514" s="78"/>
      <c r="X514" s="78"/>
      <c r="Y514" s="78"/>
      <c r="Z514" s="78"/>
      <c r="AA514" s="78"/>
      <c r="AB514" s="78"/>
      <c r="AC514" s="78"/>
      <c r="AD514" s="78"/>
      <c r="AE514" s="78"/>
      <c r="AH514"/>
    </row>
    <row r="515" spans="8:34" s="23" customFormat="1" x14ac:dyDescent="0.25">
      <c r="H515" s="78"/>
      <c r="I515" s="78"/>
      <c r="J515" s="78"/>
      <c r="K515" s="78"/>
      <c r="L515" s="78"/>
      <c r="M515" s="78"/>
      <c r="N515" s="78"/>
      <c r="O515" s="78"/>
      <c r="P515" s="78"/>
      <c r="Q515" s="78"/>
      <c r="R515" s="78"/>
      <c r="S515" s="78"/>
      <c r="T515" s="78"/>
      <c r="U515" s="78"/>
      <c r="V515" s="78"/>
      <c r="W515" s="78"/>
      <c r="X515" s="78"/>
      <c r="Y515" s="78"/>
      <c r="Z515" s="78"/>
      <c r="AA515" s="78"/>
      <c r="AB515" s="78"/>
      <c r="AC515" s="78"/>
      <c r="AD515" s="78"/>
      <c r="AE515" s="78"/>
      <c r="AH515"/>
    </row>
    <row r="516" spans="8:34" s="23" customFormat="1" x14ac:dyDescent="0.25">
      <c r="H516" s="78"/>
      <c r="I516" s="78"/>
      <c r="J516" s="78"/>
      <c r="K516" s="78"/>
      <c r="L516" s="78"/>
      <c r="M516" s="78"/>
      <c r="N516" s="78"/>
      <c r="O516" s="78"/>
      <c r="P516" s="78"/>
      <c r="Q516" s="78"/>
      <c r="R516" s="78"/>
      <c r="S516" s="78"/>
      <c r="T516" s="78"/>
      <c r="U516" s="78"/>
      <c r="V516" s="78"/>
      <c r="W516" s="78"/>
      <c r="X516" s="78"/>
      <c r="Y516" s="78"/>
      <c r="Z516" s="78"/>
      <c r="AA516" s="78"/>
      <c r="AB516" s="78"/>
      <c r="AC516" s="78"/>
      <c r="AD516" s="78"/>
      <c r="AE516" s="78"/>
      <c r="AH516"/>
    </row>
    <row r="517" spans="8:34" s="23" customFormat="1" x14ac:dyDescent="0.25">
      <c r="H517" s="78"/>
      <c r="I517" s="78"/>
      <c r="J517" s="78"/>
      <c r="K517" s="78"/>
      <c r="L517" s="78"/>
      <c r="M517" s="78"/>
      <c r="N517" s="78"/>
      <c r="O517" s="78"/>
      <c r="P517" s="78"/>
      <c r="Q517" s="78"/>
      <c r="R517" s="78"/>
      <c r="S517" s="78"/>
      <c r="T517" s="78"/>
      <c r="U517" s="78"/>
      <c r="V517" s="78"/>
      <c r="W517" s="78"/>
      <c r="X517" s="78"/>
      <c r="Y517" s="78"/>
      <c r="Z517" s="78"/>
      <c r="AA517" s="78"/>
      <c r="AB517" s="78"/>
      <c r="AC517" s="78"/>
      <c r="AD517" s="78"/>
      <c r="AE517" s="78"/>
      <c r="AH517"/>
    </row>
    <row r="518" spans="8:34" s="23" customFormat="1" x14ac:dyDescent="0.25">
      <c r="H518" s="78"/>
      <c r="I518" s="78"/>
      <c r="J518" s="78"/>
      <c r="K518" s="78"/>
      <c r="L518" s="78"/>
      <c r="M518" s="78"/>
      <c r="N518" s="78"/>
      <c r="O518" s="78"/>
      <c r="P518" s="78"/>
      <c r="Q518" s="78"/>
      <c r="R518" s="78"/>
      <c r="S518" s="78"/>
      <c r="T518" s="78"/>
      <c r="U518" s="78"/>
      <c r="V518" s="78"/>
      <c r="W518" s="78"/>
      <c r="X518" s="78"/>
      <c r="Y518" s="78"/>
      <c r="Z518" s="78"/>
      <c r="AA518" s="78"/>
      <c r="AB518" s="78"/>
      <c r="AC518" s="78"/>
      <c r="AD518" s="78"/>
      <c r="AE518" s="78"/>
      <c r="AH518"/>
    </row>
    <row r="519" spans="8:34" s="23" customFormat="1" x14ac:dyDescent="0.25">
      <c r="H519" s="78"/>
      <c r="I519" s="78"/>
      <c r="J519" s="78"/>
      <c r="K519" s="78"/>
      <c r="L519" s="78"/>
      <c r="M519" s="78"/>
      <c r="N519" s="78"/>
      <c r="O519" s="78"/>
      <c r="P519" s="78"/>
      <c r="Q519" s="78"/>
      <c r="R519" s="78"/>
      <c r="S519" s="78"/>
      <c r="T519" s="78"/>
      <c r="U519" s="78"/>
      <c r="V519" s="78"/>
      <c r="W519" s="78"/>
      <c r="X519" s="78"/>
      <c r="Y519" s="78"/>
      <c r="Z519" s="78"/>
      <c r="AA519" s="78"/>
      <c r="AB519" s="78"/>
      <c r="AC519" s="78"/>
      <c r="AD519" s="78"/>
      <c r="AE519" s="78"/>
      <c r="AH519"/>
    </row>
    <row r="520" spans="8:34" s="23" customFormat="1" x14ac:dyDescent="0.25">
      <c r="H520" s="78"/>
      <c r="I520" s="78"/>
      <c r="J520" s="78"/>
      <c r="K520" s="78"/>
      <c r="L520" s="78"/>
      <c r="M520" s="78"/>
      <c r="N520" s="78"/>
      <c r="O520" s="78"/>
      <c r="P520" s="78"/>
      <c r="Q520" s="78"/>
      <c r="R520" s="78"/>
      <c r="S520" s="78"/>
      <c r="T520" s="78"/>
      <c r="U520" s="78"/>
      <c r="V520" s="78"/>
      <c r="W520" s="78"/>
      <c r="X520" s="78"/>
      <c r="Y520" s="78"/>
      <c r="Z520" s="78"/>
      <c r="AA520" s="78"/>
      <c r="AB520" s="78"/>
      <c r="AC520" s="78"/>
      <c r="AD520" s="78"/>
      <c r="AE520" s="78"/>
      <c r="AH520"/>
    </row>
    <row r="521" spans="8:34" s="23" customFormat="1" x14ac:dyDescent="0.25">
      <c r="H521" s="78"/>
      <c r="I521" s="78"/>
      <c r="J521" s="78"/>
      <c r="K521" s="78"/>
      <c r="L521" s="78"/>
      <c r="M521" s="78"/>
      <c r="N521" s="78"/>
      <c r="O521" s="78"/>
      <c r="P521" s="78"/>
      <c r="Q521" s="78"/>
      <c r="R521" s="78"/>
      <c r="S521" s="78"/>
      <c r="T521" s="78"/>
      <c r="U521" s="78"/>
      <c r="V521" s="78"/>
      <c r="W521" s="78"/>
      <c r="X521" s="78"/>
      <c r="Y521" s="78"/>
      <c r="Z521" s="78"/>
      <c r="AA521" s="78"/>
      <c r="AB521" s="78"/>
      <c r="AC521" s="78"/>
      <c r="AD521" s="78"/>
      <c r="AE521" s="78"/>
      <c r="AH521"/>
    </row>
    <row r="522" spans="8:34" s="23" customFormat="1" x14ac:dyDescent="0.25">
      <c r="H522" s="78"/>
      <c r="I522" s="78"/>
      <c r="J522" s="78"/>
      <c r="K522" s="78"/>
      <c r="L522" s="78"/>
      <c r="M522" s="78"/>
      <c r="N522" s="78"/>
      <c r="O522" s="78"/>
      <c r="P522" s="78"/>
      <c r="Q522" s="78"/>
      <c r="R522" s="78"/>
      <c r="S522" s="78"/>
      <c r="T522" s="78"/>
      <c r="U522" s="78"/>
      <c r="V522" s="78"/>
      <c r="W522" s="78"/>
      <c r="X522" s="78"/>
      <c r="Y522" s="78"/>
      <c r="Z522" s="78"/>
      <c r="AA522" s="78"/>
      <c r="AB522" s="78"/>
      <c r="AC522" s="78"/>
      <c r="AD522" s="78"/>
      <c r="AE522" s="78"/>
      <c r="AH522"/>
    </row>
    <row r="523" spans="8:34" s="23" customFormat="1" x14ac:dyDescent="0.25">
      <c r="H523" s="78"/>
      <c r="I523" s="78"/>
      <c r="J523" s="78"/>
      <c r="K523" s="78"/>
      <c r="L523" s="78"/>
      <c r="M523" s="78"/>
      <c r="N523" s="78"/>
      <c r="O523" s="78"/>
      <c r="P523" s="78"/>
      <c r="Q523" s="78"/>
      <c r="R523" s="78"/>
      <c r="S523" s="78"/>
      <c r="T523" s="78"/>
      <c r="U523" s="78"/>
      <c r="V523" s="78"/>
      <c r="W523" s="78"/>
      <c r="X523" s="78"/>
      <c r="Y523" s="78"/>
      <c r="Z523" s="78"/>
      <c r="AA523" s="78"/>
      <c r="AB523" s="78"/>
      <c r="AC523" s="78"/>
      <c r="AD523" s="78"/>
      <c r="AE523" s="78"/>
      <c r="AH523"/>
    </row>
    <row r="524" spans="8:34" s="23" customFormat="1" x14ac:dyDescent="0.25">
      <c r="H524" s="78"/>
      <c r="I524" s="78"/>
      <c r="J524" s="78"/>
      <c r="K524" s="78"/>
      <c r="L524" s="78"/>
      <c r="M524" s="78"/>
      <c r="N524" s="78"/>
      <c r="O524" s="78"/>
      <c r="P524" s="78"/>
      <c r="Q524" s="78"/>
      <c r="R524" s="78"/>
      <c r="S524" s="78"/>
      <c r="T524" s="78"/>
      <c r="U524" s="78"/>
      <c r="V524" s="78"/>
      <c r="W524" s="78"/>
      <c r="X524" s="78"/>
      <c r="Y524" s="78"/>
      <c r="Z524" s="78"/>
      <c r="AA524" s="78"/>
      <c r="AB524" s="78"/>
      <c r="AC524" s="78"/>
      <c r="AD524" s="78"/>
      <c r="AE524" s="78"/>
      <c r="AH524"/>
    </row>
    <row r="525" spans="8:34" s="23" customFormat="1" x14ac:dyDescent="0.25">
      <c r="H525" s="78"/>
      <c r="I525" s="78"/>
      <c r="J525" s="78"/>
      <c r="K525" s="78"/>
      <c r="L525" s="78"/>
      <c r="M525" s="78"/>
      <c r="N525" s="78"/>
      <c r="O525" s="78"/>
      <c r="P525" s="78"/>
      <c r="Q525" s="78"/>
      <c r="R525" s="78"/>
      <c r="S525" s="78"/>
      <c r="T525" s="78"/>
      <c r="U525" s="78"/>
      <c r="V525" s="78"/>
      <c r="W525" s="78"/>
      <c r="X525" s="78"/>
      <c r="Y525" s="78"/>
      <c r="Z525" s="78"/>
      <c r="AA525" s="78"/>
      <c r="AB525" s="78"/>
      <c r="AC525" s="78"/>
      <c r="AD525" s="78"/>
      <c r="AE525" s="78"/>
      <c r="AH525"/>
    </row>
    <row r="526" spans="8:34" s="23" customFormat="1" x14ac:dyDescent="0.25">
      <c r="H526" s="78"/>
      <c r="I526" s="78"/>
      <c r="J526" s="78"/>
      <c r="K526" s="78"/>
      <c r="L526" s="78"/>
      <c r="M526" s="78"/>
      <c r="N526" s="78"/>
      <c r="O526" s="78"/>
      <c r="P526" s="78"/>
      <c r="Q526" s="78"/>
      <c r="R526" s="78"/>
      <c r="S526" s="78"/>
      <c r="T526" s="78"/>
      <c r="U526" s="78"/>
      <c r="V526" s="78"/>
      <c r="W526" s="78"/>
      <c r="X526" s="78"/>
      <c r="Y526" s="78"/>
      <c r="Z526" s="78"/>
      <c r="AA526" s="78"/>
      <c r="AB526" s="78"/>
      <c r="AC526" s="78"/>
      <c r="AD526" s="78"/>
      <c r="AE526" s="78"/>
      <c r="AH526"/>
    </row>
    <row r="527" spans="8:34" s="23" customFormat="1" x14ac:dyDescent="0.25">
      <c r="H527" s="78"/>
      <c r="I527" s="78"/>
      <c r="J527" s="78"/>
      <c r="K527" s="78"/>
      <c r="L527" s="78"/>
      <c r="M527" s="78"/>
      <c r="N527" s="78"/>
      <c r="O527" s="78"/>
      <c r="P527" s="78"/>
      <c r="Q527" s="78"/>
      <c r="R527" s="78"/>
      <c r="S527" s="78"/>
      <c r="T527" s="78"/>
      <c r="U527" s="78"/>
      <c r="V527" s="78"/>
      <c r="W527" s="78"/>
      <c r="X527" s="78"/>
      <c r="Y527" s="78"/>
      <c r="Z527" s="78"/>
      <c r="AA527" s="78"/>
      <c r="AB527" s="78"/>
      <c r="AC527" s="78"/>
      <c r="AD527" s="78"/>
      <c r="AE527" s="78"/>
      <c r="AH527"/>
    </row>
    <row r="528" spans="8:34" s="23" customFormat="1" x14ac:dyDescent="0.25">
      <c r="H528" s="78"/>
      <c r="I528" s="78"/>
      <c r="J528" s="78"/>
      <c r="K528" s="78"/>
      <c r="L528" s="78"/>
      <c r="M528" s="78"/>
      <c r="N528" s="78"/>
      <c r="O528" s="78"/>
      <c r="P528" s="78"/>
      <c r="Q528" s="78"/>
      <c r="R528" s="78"/>
      <c r="S528" s="78"/>
      <c r="T528" s="78"/>
      <c r="U528" s="78"/>
      <c r="V528" s="78"/>
      <c r="W528" s="78"/>
      <c r="X528" s="78"/>
      <c r="Y528" s="78"/>
      <c r="Z528" s="78"/>
      <c r="AA528" s="78"/>
      <c r="AB528" s="78"/>
      <c r="AC528" s="78"/>
      <c r="AD528" s="78"/>
      <c r="AE528" s="78"/>
      <c r="AH528"/>
    </row>
    <row r="529" spans="8:34" s="23" customFormat="1" x14ac:dyDescent="0.25">
      <c r="H529" s="78"/>
      <c r="I529" s="78"/>
      <c r="J529" s="78"/>
      <c r="K529" s="78"/>
      <c r="L529" s="78"/>
      <c r="M529" s="78"/>
      <c r="N529" s="78"/>
      <c r="O529" s="78"/>
      <c r="P529" s="78"/>
      <c r="Q529" s="78"/>
      <c r="R529" s="78"/>
      <c r="S529" s="78"/>
      <c r="T529" s="78"/>
      <c r="U529" s="78"/>
      <c r="V529" s="78"/>
      <c r="W529" s="78"/>
      <c r="X529" s="78"/>
      <c r="Y529" s="78"/>
      <c r="Z529" s="78"/>
      <c r="AA529" s="78"/>
      <c r="AB529" s="78"/>
      <c r="AC529" s="78"/>
      <c r="AD529" s="78"/>
      <c r="AE529" s="78"/>
      <c r="AH529"/>
    </row>
    <row r="530" spans="8:34" s="23" customFormat="1" x14ac:dyDescent="0.25">
      <c r="H530" s="78"/>
      <c r="I530" s="78"/>
      <c r="J530" s="78"/>
      <c r="K530" s="78"/>
      <c r="L530" s="78"/>
      <c r="M530" s="78"/>
      <c r="N530" s="78"/>
      <c r="O530" s="78"/>
      <c r="P530" s="78"/>
      <c r="Q530" s="78"/>
      <c r="R530" s="78"/>
      <c r="S530" s="78"/>
      <c r="T530" s="78"/>
      <c r="U530" s="78"/>
      <c r="V530" s="78"/>
      <c r="W530" s="78"/>
      <c r="X530" s="78"/>
      <c r="Y530" s="78"/>
      <c r="Z530" s="78"/>
      <c r="AA530" s="78"/>
      <c r="AB530" s="78"/>
      <c r="AC530" s="78"/>
      <c r="AD530" s="78"/>
      <c r="AE530" s="78"/>
      <c r="AH530"/>
    </row>
    <row r="531" spans="8:34" s="23" customFormat="1" x14ac:dyDescent="0.25">
      <c r="H531" s="78"/>
      <c r="I531" s="78"/>
      <c r="J531" s="78"/>
      <c r="K531" s="78"/>
      <c r="L531" s="78"/>
      <c r="M531" s="78"/>
      <c r="N531" s="78"/>
      <c r="O531" s="78"/>
      <c r="P531" s="78"/>
      <c r="Q531" s="78"/>
      <c r="R531" s="78"/>
      <c r="S531" s="78"/>
      <c r="T531" s="78"/>
      <c r="U531" s="78"/>
      <c r="V531" s="78"/>
      <c r="W531" s="78"/>
      <c r="X531" s="78"/>
      <c r="Y531" s="78"/>
      <c r="Z531" s="78"/>
      <c r="AA531" s="78"/>
      <c r="AB531" s="78"/>
      <c r="AC531" s="78"/>
      <c r="AD531" s="78"/>
      <c r="AE531" s="78"/>
      <c r="AH531"/>
    </row>
    <row r="532" spans="8:34" s="23" customFormat="1" x14ac:dyDescent="0.25">
      <c r="H532" s="78"/>
      <c r="I532" s="78"/>
      <c r="J532" s="78"/>
      <c r="K532" s="78"/>
      <c r="L532" s="78"/>
      <c r="M532" s="78"/>
      <c r="N532" s="78"/>
      <c r="O532" s="78"/>
      <c r="P532" s="78"/>
      <c r="Q532" s="78"/>
      <c r="R532" s="78"/>
      <c r="S532" s="78"/>
      <c r="T532" s="78"/>
      <c r="U532" s="78"/>
      <c r="V532" s="78"/>
      <c r="W532" s="78"/>
      <c r="X532" s="78"/>
      <c r="Y532" s="78"/>
      <c r="Z532" s="78"/>
      <c r="AA532" s="78"/>
      <c r="AB532" s="78"/>
      <c r="AC532" s="78"/>
      <c r="AD532" s="78"/>
      <c r="AE532" s="78"/>
      <c r="AH532"/>
    </row>
    <row r="533" spans="8:34" s="23" customFormat="1" x14ac:dyDescent="0.25">
      <c r="H533" s="78"/>
      <c r="I533" s="78"/>
      <c r="J533" s="78"/>
      <c r="K533" s="78"/>
      <c r="L533" s="78"/>
      <c r="M533" s="78"/>
      <c r="N533" s="78"/>
      <c r="O533" s="78"/>
      <c r="P533" s="78"/>
      <c r="Q533" s="78"/>
      <c r="R533" s="78"/>
      <c r="S533" s="78"/>
      <c r="T533" s="78"/>
      <c r="U533" s="78"/>
      <c r="V533" s="78"/>
      <c r="W533" s="78"/>
      <c r="X533" s="78"/>
      <c r="Y533" s="78"/>
      <c r="Z533" s="78"/>
      <c r="AA533" s="78"/>
      <c r="AB533" s="78"/>
      <c r="AC533" s="78"/>
      <c r="AD533" s="78"/>
      <c r="AE533" s="78"/>
      <c r="AH533"/>
    </row>
    <row r="534" spans="8:34" s="23" customFormat="1" x14ac:dyDescent="0.25">
      <c r="H534" s="78"/>
      <c r="I534" s="78"/>
      <c r="J534" s="78"/>
      <c r="K534" s="78"/>
      <c r="L534" s="78"/>
      <c r="M534" s="78"/>
      <c r="N534" s="78"/>
      <c r="O534" s="78"/>
      <c r="P534" s="78"/>
      <c r="Q534" s="78"/>
      <c r="R534" s="78"/>
      <c r="S534" s="78"/>
      <c r="T534" s="78"/>
      <c r="U534" s="78"/>
      <c r="V534" s="78"/>
      <c r="W534" s="78"/>
      <c r="X534" s="78"/>
      <c r="Y534" s="78"/>
      <c r="Z534" s="78"/>
      <c r="AA534" s="78"/>
      <c r="AB534" s="78"/>
      <c r="AC534" s="78"/>
      <c r="AD534" s="78"/>
      <c r="AE534" s="78"/>
      <c r="AH534"/>
    </row>
    <row r="535" spans="8:34" s="23" customFormat="1" x14ac:dyDescent="0.25">
      <c r="H535" s="78"/>
      <c r="I535" s="78"/>
      <c r="J535" s="78"/>
      <c r="K535" s="78"/>
      <c r="L535" s="78"/>
      <c r="M535" s="78"/>
      <c r="N535" s="78"/>
      <c r="O535" s="78"/>
      <c r="P535" s="78"/>
      <c r="Q535" s="78"/>
      <c r="R535" s="78"/>
      <c r="S535" s="78"/>
      <c r="T535" s="78"/>
      <c r="U535" s="78"/>
      <c r="V535" s="78"/>
      <c r="W535" s="78"/>
      <c r="X535" s="78"/>
      <c r="Y535" s="78"/>
      <c r="Z535" s="78"/>
      <c r="AA535" s="78"/>
      <c r="AB535" s="78"/>
      <c r="AC535" s="78"/>
      <c r="AD535" s="78"/>
      <c r="AE535" s="78"/>
      <c r="AH535"/>
    </row>
    <row r="536" spans="8:34" s="23" customFormat="1" x14ac:dyDescent="0.25">
      <c r="H536" s="78"/>
      <c r="I536" s="78"/>
      <c r="J536" s="78"/>
      <c r="K536" s="78"/>
      <c r="L536" s="78"/>
      <c r="M536" s="78"/>
      <c r="N536" s="78"/>
      <c r="O536" s="78"/>
      <c r="P536" s="78"/>
      <c r="Q536" s="78"/>
      <c r="R536" s="78"/>
      <c r="S536" s="78"/>
      <c r="T536" s="78"/>
      <c r="U536" s="78"/>
      <c r="V536" s="78"/>
      <c r="W536" s="78"/>
      <c r="X536" s="78"/>
      <c r="Y536" s="78"/>
      <c r="Z536" s="78"/>
      <c r="AA536" s="78"/>
      <c r="AB536" s="78"/>
      <c r="AC536" s="78"/>
      <c r="AD536" s="78"/>
      <c r="AE536" s="78"/>
      <c r="AH536"/>
    </row>
    <row r="537" spans="8:34" s="23" customFormat="1" x14ac:dyDescent="0.25">
      <c r="H537" s="78"/>
      <c r="I537" s="78"/>
      <c r="J537" s="78"/>
      <c r="K537" s="78"/>
      <c r="L537" s="78"/>
      <c r="M537" s="78"/>
      <c r="N537" s="78"/>
      <c r="O537" s="78"/>
      <c r="P537" s="78"/>
      <c r="Q537" s="78"/>
      <c r="R537" s="78"/>
      <c r="S537" s="78"/>
      <c r="T537" s="78"/>
      <c r="U537" s="78"/>
      <c r="V537" s="78"/>
      <c r="W537" s="78"/>
      <c r="X537" s="78"/>
      <c r="Y537" s="78"/>
      <c r="Z537" s="78"/>
      <c r="AA537" s="78"/>
      <c r="AB537" s="78"/>
      <c r="AC537" s="78"/>
      <c r="AD537" s="78"/>
      <c r="AE537" s="78"/>
      <c r="AH537"/>
    </row>
    <row r="538" spans="8:34" s="23" customFormat="1" x14ac:dyDescent="0.25">
      <c r="H538" s="78"/>
      <c r="I538" s="78"/>
      <c r="J538" s="78"/>
      <c r="K538" s="78"/>
      <c r="L538" s="78"/>
      <c r="M538" s="78"/>
      <c r="N538" s="78"/>
      <c r="O538" s="78"/>
      <c r="P538" s="78"/>
      <c r="Q538" s="78"/>
      <c r="R538" s="78"/>
      <c r="S538" s="78"/>
      <c r="T538" s="78"/>
      <c r="U538" s="78"/>
      <c r="V538" s="78"/>
      <c r="W538" s="78"/>
      <c r="X538" s="78"/>
      <c r="Y538" s="78"/>
      <c r="Z538" s="78"/>
      <c r="AA538" s="78"/>
      <c r="AB538" s="78"/>
      <c r="AC538" s="78"/>
      <c r="AD538" s="78"/>
      <c r="AE538" s="78"/>
      <c r="AH538"/>
    </row>
    <row r="539" spans="8:34" s="23" customFormat="1" x14ac:dyDescent="0.25">
      <c r="H539" s="78"/>
      <c r="I539" s="78"/>
      <c r="J539" s="78"/>
      <c r="K539" s="78"/>
      <c r="L539" s="78"/>
      <c r="M539" s="78"/>
      <c r="N539" s="78"/>
      <c r="O539" s="78"/>
      <c r="P539" s="78"/>
      <c r="Q539" s="78"/>
      <c r="R539" s="78"/>
      <c r="S539" s="78"/>
      <c r="T539" s="78"/>
      <c r="U539" s="78"/>
      <c r="V539" s="78"/>
      <c r="W539" s="78"/>
      <c r="X539" s="78"/>
      <c r="Y539" s="78"/>
      <c r="Z539" s="78"/>
      <c r="AA539" s="78"/>
      <c r="AB539" s="78"/>
      <c r="AC539" s="78"/>
      <c r="AD539" s="78"/>
      <c r="AE539" s="78"/>
      <c r="AH539"/>
    </row>
    <row r="540" spans="8:34" s="23" customFormat="1" x14ac:dyDescent="0.25">
      <c r="H540" s="78"/>
      <c r="I540" s="78"/>
      <c r="J540" s="78"/>
      <c r="K540" s="78"/>
      <c r="L540" s="78"/>
      <c r="M540" s="78"/>
      <c r="N540" s="78"/>
      <c r="O540" s="78"/>
      <c r="P540" s="78"/>
      <c r="Q540" s="78"/>
      <c r="R540" s="78"/>
      <c r="S540" s="78"/>
      <c r="T540" s="78"/>
      <c r="U540" s="78"/>
      <c r="V540" s="78"/>
      <c r="W540" s="78"/>
      <c r="X540" s="78"/>
      <c r="Y540" s="78"/>
      <c r="Z540" s="78"/>
      <c r="AA540" s="78"/>
      <c r="AB540" s="78"/>
      <c r="AC540" s="78"/>
      <c r="AD540" s="78"/>
      <c r="AE540" s="78"/>
      <c r="AH540"/>
    </row>
    <row r="541" spans="8:34" s="23" customFormat="1" x14ac:dyDescent="0.25">
      <c r="H541" s="78"/>
      <c r="I541" s="78"/>
      <c r="J541" s="78"/>
      <c r="K541" s="78"/>
      <c r="L541" s="78"/>
      <c r="M541" s="78"/>
      <c r="N541" s="78"/>
      <c r="O541" s="78"/>
      <c r="P541" s="78"/>
      <c r="Q541" s="78"/>
      <c r="R541" s="78"/>
      <c r="S541" s="78"/>
      <c r="T541" s="78"/>
      <c r="U541" s="78"/>
      <c r="V541" s="78"/>
      <c r="W541" s="78"/>
      <c r="X541" s="78"/>
      <c r="Y541" s="78"/>
      <c r="Z541" s="78"/>
      <c r="AA541" s="78"/>
      <c r="AB541" s="78"/>
      <c r="AC541" s="78"/>
      <c r="AD541" s="78"/>
      <c r="AE541" s="78"/>
      <c r="AH541"/>
    </row>
    <row r="542" spans="8:34" s="23" customFormat="1" x14ac:dyDescent="0.25">
      <c r="H542" s="78"/>
      <c r="I542" s="78"/>
      <c r="J542" s="78"/>
      <c r="K542" s="78"/>
      <c r="L542" s="78"/>
      <c r="M542" s="78"/>
      <c r="N542" s="78"/>
      <c r="O542" s="78"/>
      <c r="P542" s="78"/>
      <c r="Q542" s="78"/>
      <c r="R542" s="78"/>
      <c r="S542" s="78"/>
      <c r="T542" s="78"/>
      <c r="U542" s="78"/>
      <c r="V542" s="78"/>
      <c r="W542" s="78"/>
      <c r="X542" s="78"/>
      <c r="Y542" s="78"/>
      <c r="Z542" s="78"/>
      <c r="AA542" s="78"/>
      <c r="AB542" s="78"/>
      <c r="AC542" s="78"/>
      <c r="AD542" s="78"/>
      <c r="AE542" s="78"/>
      <c r="AH542"/>
    </row>
    <row r="543" spans="8:34" s="23" customFormat="1" x14ac:dyDescent="0.25">
      <c r="H543" s="78"/>
      <c r="I543" s="78"/>
      <c r="J543" s="78"/>
      <c r="K543" s="78"/>
      <c r="L543" s="78"/>
      <c r="M543" s="78"/>
      <c r="N543" s="78"/>
      <c r="O543" s="78"/>
      <c r="P543" s="78"/>
      <c r="Q543" s="78"/>
      <c r="R543" s="78"/>
      <c r="S543" s="78"/>
      <c r="T543" s="78"/>
      <c r="U543" s="78"/>
      <c r="V543" s="78"/>
      <c r="W543" s="78"/>
      <c r="X543" s="78"/>
      <c r="Y543" s="78"/>
      <c r="Z543" s="78"/>
      <c r="AA543" s="78"/>
      <c r="AB543" s="78"/>
      <c r="AC543" s="78"/>
      <c r="AD543" s="78"/>
      <c r="AE543" s="78"/>
      <c r="AH543"/>
    </row>
    <row r="544" spans="8:34" s="23" customFormat="1" x14ac:dyDescent="0.25">
      <c r="H544" s="78"/>
      <c r="I544" s="78"/>
      <c r="J544" s="78"/>
      <c r="K544" s="78"/>
      <c r="L544" s="78"/>
      <c r="M544" s="78"/>
      <c r="N544" s="78"/>
      <c r="O544" s="78"/>
      <c r="P544" s="78"/>
      <c r="Q544" s="78"/>
      <c r="R544" s="78"/>
      <c r="S544" s="78"/>
      <c r="T544" s="78"/>
      <c r="U544" s="78"/>
      <c r="V544" s="78"/>
      <c r="W544" s="78"/>
      <c r="X544" s="78"/>
      <c r="Y544" s="78"/>
      <c r="Z544" s="78"/>
      <c r="AA544" s="78"/>
      <c r="AB544" s="78"/>
      <c r="AC544" s="78"/>
      <c r="AD544" s="78"/>
      <c r="AE544" s="78"/>
      <c r="AH544"/>
    </row>
    <row r="545" spans="8:34" s="23" customFormat="1" x14ac:dyDescent="0.25">
      <c r="H545" s="78"/>
      <c r="I545" s="78"/>
      <c r="J545" s="78"/>
      <c r="K545" s="78"/>
      <c r="L545" s="78"/>
      <c r="M545" s="78"/>
      <c r="N545" s="78"/>
      <c r="O545" s="78"/>
      <c r="P545" s="78"/>
      <c r="Q545" s="78"/>
      <c r="R545" s="78"/>
      <c r="S545" s="78"/>
      <c r="T545" s="78"/>
      <c r="U545" s="78"/>
      <c r="V545" s="78"/>
      <c r="W545" s="78"/>
      <c r="X545" s="78"/>
      <c r="Y545" s="78"/>
      <c r="Z545" s="78"/>
      <c r="AA545" s="78"/>
      <c r="AB545" s="78"/>
      <c r="AC545" s="78"/>
      <c r="AD545" s="78"/>
      <c r="AE545" s="78"/>
      <c r="AH545"/>
    </row>
    <row r="546" spans="8:34" s="23" customFormat="1" x14ac:dyDescent="0.25">
      <c r="H546" s="78"/>
      <c r="I546" s="78"/>
      <c r="J546" s="78"/>
      <c r="K546" s="78"/>
      <c r="L546" s="78"/>
      <c r="M546" s="78"/>
      <c r="N546" s="78"/>
      <c r="O546" s="78"/>
      <c r="P546" s="78"/>
      <c r="Q546" s="78"/>
      <c r="R546" s="78"/>
      <c r="S546" s="78"/>
      <c r="T546" s="78"/>
      <c r="U546" s="78"/>
      <c r="V546" s="78"/>
      <c r="W546" s="78"/>
      <c r="X546" s="78"/>
      <c r="Y546" s="78"/>
      <c r="Z546" s="78"/>
      <c r="AA546" s="78"/>
      <c r="AB546" s="78"/>
      <c r="AC546" s="78"/>
      <c r="AD546" s="78"/>
      <c r="AE546" s="78"/>
      <c r="AH546"/>
    </row>
    <row r="547" spans="8:34" s="23" customFormat="1" x14ac:dyDescent="0.25">
      <c r="H547" s="78"/>
      <c r="I547" s="78"/>
      <c r="J547" s="78"/>
      <c r="K547" s="78"/>
      <c r="L547" s="78"/>
      <c r="M547" s="78"/>
      <c r="N547" s="78"/>
      <c r="O547" s="78"/>
      <c r="P547" s="78"/>
      <c r="Q547" s="78"/>
      <c r="R547" s="78"/>
      <c r="S547" s="78"/>
      <c r="T547" s="78"/>
      <c r="U547" s="78"/>
      <c r="V547" s="78"/>
      <c r="W547" s="78"/>
      <c r="X547" s="78"/>
      <c r="Y547" s="78"/>
      <c r="Z547" s="78"/>
      <c r="AA547" s="78"/>
      <c r="AB547" s="78"/>
      <c r="AC547" s="78"/>
      <c r="AD547" s="78"/>
      <c r="AE547" s="78"/>
      <c r="AH547"/>
    </row>
    <row r="548" spans="8:34" s="23" customFormat="1" x14ac:dyDescent="0.25">
      <c r="H548" s="78"/>
      <c r="I548" s="78"/>
      <c r="J548" s="78"/>
      <c r="K548" s="78"/>
      <c r="L548" s="78"/>
      <c r="M548" s="78"/>
      <c r="N548" s="78"/>
      <c r="O548" s="78"/>
      <c r="P548" s="78"/>
      <c r="Q548" s="78"/>
      <c r="R548" s="78"/>
      <c r="S548" s="78"/>
      <c r="T548" s="78"/>
      <c r="U548" s="78"/>
      <c r="V548" s="78"/>
      <c r="W548" s="78"/>
      <c r="X548" s="78"/>
      <c r="Y548" s="78"/>
      <c r="Z548" s="78"/>
      <c r="AA548" s="78"/>
      <c r="AB548" s="78"/>
      <c r="AC548" s="78"/>
      <c r="AD548" s="78"/>
      <c r="AE548" s="78"/>
      <c r="AH548"/>
    </row>
    <row r="549" spans="8:34" s="23" customFormat="1" x14ac:dyDescent="0.25">
      <c r="H549" s="78"/>
      <c r="I549" s="78"/>
      <c r="J549" s="78"/>
      <c r="K549" s="78"/>
      <c r="L549" s="78"/>
      <c r="M549" s="78"/>
      <c r="N549" s="78"/>
      <c r="O549" s="78"/>
      <c r="P549" s="78"/>
      <c r="Q549" s="78"/>
      <c r="R549" s="78"/>
      <c r="S549" s="78"/>
      <c r="T549" s="78"/>
      <c r="U549" s="78"/>
      <c r="V549" s="78"/>
      <c r="W549" s="78"/>
      <c r="X549" s="78"/>
      <c r="Y549" s="78"/>
      <c r="Z549" s="78"/>
      <c r="AA549" s="78"/>
      <c r="AB549" s="78"/>
      <c r="AC549" s="78"/>
      <c r="AD549" s="78"/>
      <c r="AE549" s="78"/>
      <c r="AH549"/>
    </row>
    <row r="550" spans="8:34" s="23" customFormat="1" x14ac:dyDescent="0.25">
      <c r="H550" s="78"/>
      <c r="I550" s="78"/>
      <c r="J550" s="78"/>
      <c r="K550" s="78"/>
      <c r="L550" s="78"/>
      <c r="M550" s="78"/>
      <c r="N550" s="78"/>
      <c r="O550" s="78"/>
      <c r="P550" s="78"/>
      <c r="Q550" s="78"/>
      <c r="R550" s="78"/>
      <c r="S550" s="78"/>
      <c r="T550" s="78"/>
      <c r="U550" s="78"/>
      <c r="V550" s="78"/>
      <c r="W550" s="78"/>
      <c r="X550" s="78"/>
      <c r="Y550" s="78"/>
      <c r="Z550" s="78"/>
      <c r="AA550" s="78"/>
      <c r="AB550" s="78"/>
      <c r="AC550" s="78"/>
      <c r="AD550" s="78"/>
      <c r="AE550" s="78"/>
      <c r="AH550"/>
    </row>
    <row r="551" spans="8:34" s="23" customFormat="1" x14ac:dyDescent="0.25">
      <c r="H551" s="78"/>
      <c r="I551" s="78"/>
      <c r="J551" s="78"/>
      <c r="K551" s="78"/>
      <c r="L551" s="78"/>
      <c r="M551" s="78"/>
      <c r="N551" s="78"/>
      <c r="O551" s="78"/>
      <c r="P551" s="78"/>
      <c r="Q551" s="78"/>
      <c r="R551" s="78"/>
      <c r="S551" s="78"/>
      <c r="T551" s="78"/>
      <c r="U551" s="78"/>
      <c r="V551" s="78"/>
      <c r="W551" s="78"/>
      <c r="X551" s="78"/>
      <c r="Y551" s="78"/>
      <c r="Z551" s="78"/>
      <c r="AA551" s="78"/>
      <c r="AB551" s="78"/>
      <c r="AC551" s="78"/>
      <c r="AD551" s="78"/>
      <c r="AE551" s="78"/>
      <c r="AH551"/>
    </row>
    <row r="552" spans="8:34" s="23" customFormat="1" x14ac:dyDescent="0.25">
      <c r="H552" s="78"/>
      <c r="I552" s="78"/>
      <c r="J552" s="78"/>
      <c r="K552" s="78"/>
      <c r="L552" s="78"/>
      <c r="M552" s="78"/>
      <c r="N552" s="78"/>
      <c r="O552" s="78"/>
      <c r="P552" s="78"/>
      <c r="Q552" s="78"/>
      <c r="R552" s="78"/>
      <c r="S552" s="78"/>
      <c r="T552" s="78"/>
      <c r="U552" s="78"/>
      <c r="V552" s="78"/>
      <c r="W552" s="78"/>
      <c r="X552" s="78"/>
      <c r="Y552" s="78"/>
      <c r="Z552" s="78"/>
      <c r="AA552" s="78"/>
      <c r="AB552" s="78"/>
      <c r="AC552" s="78"/>
      <c r="AD552" s="78"/>
      <c r="AE552" s="78"/>
      <c r="AH552"/>
    </row>
    <row r="553" spans="8:34" s="23" customFormat="1" x14ac:dyDescent="0.25">
      <c r="H553" s="78"/>
      <c r="I553" s="78"/>
      <c r="J553" s="78"/>
      <c r="K553" s="78"/>
      <c r="L553" s="78"/>
      <c r="M553" s="78"/>
      <c r="N553" s="78"/>
      <c r="O553" s="78"/>
      <c r="P553" s="78"/>
      <c r="Q553" s="78"/>
      <c r="R553" s="78"/>
      <c r="S553" s="78"/>
      <c r="T553" s="78"/>
      <c r="U553" s="78"/>
      <c r="V553" s="78"/>
      <c r="W553" s="78"/>
      <c r="X553" s="78"/>
      <c r="Y553" s="78"/>
      <c r="Z553" s="78"/>
      <c r="AA553" s="78"/>
      <c r="AB553" s="78"/>
      <c r="AC553" s="78"/>
      <c r="AD553" s="78"/>
      <c r="AE553" s="78"/>
      <c r="AH553"/>
    </row>
    <row r="554" spans="8:34" s="23" customFormat="1" x14ac:dyDescent="0.25">
      <c r="H554" s="78"/>
      <c r="I554" s="78"/>
      <c r="J554" s="78"/>
      <c r="K554" s="78"/>
      <c r="L554" s="78"/>
      <c r="M554" s="78"/>
      <c r="N554" s="78"/>
      <c r="O554" s="78"/>
      <c r="P554" s="78"/>
      <c r="Q554" s="78"/>
      <c r="R554" s="78"/>
      <c r="S554" s="78"/>
      <c r="T554" s="78"/>
      <c r="U554" s="78"/>
      <c r="V554" s="78"/>
      <c r="W554" s="78"/>
      <c r="X554" s="78"/>
      <c r="Y554" s="78"/>
      <c r="Z554" s="78"/>
      <c r="AA554" s="78"/>
      <c r="AB554" s="78"/>
      <c r="AC554" s="78"/>
      <c r="AD554" s="78"/>
      <c r="AE554" s="78"/>
      <c r="AH554"/>
    </row>
    <row r="555" spans="8:34" s="23" customFormat="1" x14ac:dyDescent="0.25">
      <c r="H555" s="78"/>
      <c r="I555" s="78"/>
      <c r="J555" s="78"/>
      <c r="K555" s="78"/>
      <c r="L555" s="78"/>
      <c r="M555" s="78"/>
      <c r="N555" s="78"/>
      <c r="O555" s="78"/>
      <c r="P555" s="78"/>
      <c r="Q555" s="78"/>
      <c r="R555" s="78"/>
      <c r="S555" s="78"/>
      <c r="T555" s="78"/>
      <c r="U555" s="78"/>
      <c r="V555" s="78"/>
      <c r="W555" s="78"/>
      <c r="X555" s="78"/>
      <c r="Y555" s="78"/>
      <c r="Z555" s="78"/>
      <c r="AA555" s="78"/>
      <c r="AB555" s="78"/>
      <c r="AC555" s="78"/>
      <c r="AD555" s="78"/>
      <c r="AE555" s="78"/>
      <c r="AH555"/>
    </row>
    <row r="556" spans="8:34" s="23" customFormat="1" x14ac:dyDescent="0.25">
      <c r="H556" s="78"/>
      <c r="I556" s="78"/>
      <c r="J556" s="78"/>
      <c r="K556" s="78"/>
      <c r="L556" s="78"/>
      <c r="M556" s="78"/>
      <c r="N556" s="78"/>
      <c r="O556" s="78"/>
      <c r="P556" s="78"/>
      <c r="Q556" s="78"/>
      <c r="R556" s="78"/>
      <c r="S556" s="78"/>
      <c r="T556" s="78"/>
      <c r="U556" s="78"/>
      <c r="V556" s="78"/>
      <c r="W556" s="78"/>
      <c r="X556" s="78"/>
      <c r="Y556" s="78"/>
      <c r="Z556" s="78"/>
      <c r="AA556" s="78"/>
      <c r="AB556" s="78"/>
      <c r="AC556" s="78"/>
      <c r="AD556" s="78"/>
      <c r="AE556" s="78"/>
      <c r="AH556"/>
    </row>
    <row r="557" spans="8:34" s="23" customFormat="1" x14ac:dyDescent="0.25">
      <c r="H557" s="78"/>
      <c r="I557" s="78"/>
      <c r="J557" s="78"/>
      <c r="K557" s="78"/>
      <c r="L557" s="78"/>
      <c r="M557" s="78"/>
      <c r="N557" s="78"/>
      <c r="O557" s="78"/>
      <c r="P557" s="78"/>
      <c r="Q557" s="78"/>
      <c r="R557" s="78"/>
      <c r="S557" s="78"/>
      <c r="T557" s="78"/>
      <c r="U557" s="78"/>
      <c r="V557" s="78"/>
      <c r="W557" s="78"/>
      <c r="X557" s="78"/>
      <c r="Y557" s="78"/>
      <c r="Z557" s="78"/>
      <c r="AA557" s="78"/>
      <c r="AB557" s="78"/>
      <c r="AC557" s="78"/>
      <c r="AD557" s="78"/>
      <c r="AE557" s="78"/>
      <c r="AH557"/>
    </row>
    <row r="558" spans="8:34" s="23" customFormat="1" x14ac:dyDescent="0.25">
      <c r="H558" s="78"/>
      <c r="I558" s="78"/>
      <c r="J558" s="78"/>
      <c r="K558" s="78"/>
      <c r="L558" s="78"/>
      <c r="M558" s="78"/>
      <c r="N558" s="78"/>
      <c r="O558" s="78"/>
      <c r="P558" s="78"/>
      <c r="Q558" s="78"/>
      <c r="R558" s="78"/>
      <c r="S558" s="78"/>
      <c r="T558" s="78"/>
      <c r="U558" s="78"/>
      <c r="V558" s="78"/>
      <c r="W558" s="78"/>
      <c r="X558" s="78"/>
      <c r="Y558" s="78"/>
      <c r="Z558" s="78"/>
      <c r="AA558" s="78"/>
      <c r="AB558" s="78"/>
      <c r="AC558" s="78"/>
      <c r="AD558" s="78"/>
      <c r="AE558" s="78"/>
      <c r="AH558"/>
    </row>
    <row r="559" spans="8:34" s="23" customFormat="1" x14ac:dyDescent="0.25">
      <c r="H559" s="78"/>
      <c r="I559" s="78"/>
      <c r="J559" s="78"/>
      <c r="K559" s="78"/>
      <c r="L559" s="78"/>
      <c r="M559" s="78"/>
      <c r="N559" s="78"/>
      <c r="O559" s="78"/>
      <c r="P559" s="78"/>
      <c r="Q559" s="78"/>
      <c r="R559" s="78"/>
      <c r="S559" s="78"/>
      <c r="T559" s="78"/>
      <c r="U559" s="78"/>
      <c r="V559" s="78"/>
      <c r="W559" s="78"/>
      <c r="X559" s="78"/>
      <c r="Y559" s="78"/>
      <c r="Z559" s="78"/>
      <c r="AA559" s="78"/>
      <c r="AB559" s="78"/>
      <c r="AC559" s="78"/>
      <c r="AD559" s="78"/>
      <c r="AE559" s="78"/>
      <c r="AH559"/>
    </row>
    <row r="560" spans="8:34" s="23" customFormat="1" x14ac:dyDescent="0.25">
      <c r="H560" s="78"/>
      <c r="I560" s="78"/>
      <c r="J560" s="78"/>
      <c r="K560" s="78"/>
      <c r="L560" s="78"/>
      <c r="M560" s="78"/>
      <c r="N560" s="78"/>
      <c r="O560" s="78"/>
      <c r="P560" s="78"/>
      <c r="Q560" s="78"/>
      <c r="R560" s="78"/>
      <c r="S560" s="78"/>
      <c r="T560" s="78"/>
      <c r="U560" s="78"/>
      <c r="V560" s="78"/>
      <c r="W560" s="78"/>
      <c r="X560" s="78"/>
      <c r="Y560" s="78"/>
      <c r="Z560" s="78"/>
      <c r="AA560" s="78"/>
      <c r="AB560" s="78"/>
      <c r="AC560" s="78"/>
      <c r="AD560" s="78"/>
      <c r="AE560" s="78"/>
      <c r="AH560"/>
    </row>
    <row r="561" spans="8:34" s="23" customFormat="1" x14ac:dyDescent="0.25">
      <c r="H561" s="78"/>
      <c r="I561" s="78"/>
      <c r="J561" s="78"/>
      <c r="K561" s="78"/>
      <c r="L561" s="78"/>
      <c r="M561" s="78"/>
      <c r="N561" s="78"/>
      <c r="O561" s="78"/>
      <c r="P561" s="78"/>
      <c r="Q561" s="78"/>
      <c r="R561" s="78"/>
      <c r="S561" s="78"/>
      <c r="T561" s="78"/>
      <c r="U561" s="78"/>
      <c r="V561" s="78"/>
      <c r="W561" s="78"/>
      <c r="X561" s="78"/>
      <c r="Y561" s="78"/>
      <c r="Z561" s="78"/>
      <c r="AA561" s="78"/>
      <c r="AB561" s="78"/>
      <c r="AC561" s="78"/>
      <c r="AD561" s="78"/>
      <c r="AE561" s="78"/>
      <c r="AH561"/>
    </row>
    <row r="562" spans="8:34" s="23" customFormat="1" x14ac:dyDescent="0.25">
      <c r="H562" s="78"/>
      <c r="I562" s="78"/>
      <c r="J562" s="78"/>
      <c r="K562" s="78"/>
      <c r="L562" s="78"/>
      <c r="M562" s="78"/>
      <c r="N562" s="78"/>
      <c r="O562" s="78"/>
      <c r="P562" s="78"/>
      <c r="Q562" s="78"/>
      <c r="R562" s="78"/>
      <c r="S562" s="78"/>
      <c r="T562" s="78"/>
      <c r="U562" s="78"/>
      <c r="V562" s="78"/>
      <c r="W562" s="78"/>
      <c r="X562" s="78"/>
      <c r="Y562" s="78"/>
      <c r="Z562" s="78"/>
      <c r="AA562" s="78"/>
      <c r="AB562" s="78"/>
      <c r="AC562" s="78"/>
      <c r="AD562" s="78"/>
      <c r="AE562" s="78"/>
      <c r="AH562"/>
    </row>
    <row r="563" spans="8:34" s="23" customFormat="1" x14ac:dyDescent="0.25">
      <c r="H563" s="78"/>
      <c r="I563" s="78"/>
      <c r="J563" s="78"/>
      <c r="K563" s="78"/>
      <c r="L563" s="78"/>
      <c r="M563" s="78"/>
      <c r="N563" s="78"/>
      <c r="O563" s="78"/>
      <c r="P563" s="78"/>
      <c r="Q563" s="78"/>
      <c r="R563" s="78"/>
      <c r="S563" s="78"/>
      <c r="T563" s="78"/>
      <c r="U563" s="78"/>
      <c r="V563" s="78"/>
      <c r="W563" s="78"/>
      <c r="X563" s="78"/>
      <c r="Y563" s="78"/>
      <c r="Z563" s="78"/>
      <c r="AA563" s="78"/>
      <c r="AB563" s="78"/>
      <c r="AC563" s="78"/>
      <c r="AD563" s="78"/>
      <c r="AE563" s="78"/>
      <c r="AH563"/>
    </row>
    <row r="564" spans="8:34" s="23" customFormat="1" x14ac:dyDescent="0.25">
      <c r="H564" s="78"/>
      <c r="I564" s="78"/>
      <c r="J564" s="78"/>
      <c r="K564" s="78"/>
      <c r="L564" s="78"/>
      <c r="M564" s="78"/>
      <c r="N564" s="78"/>
      <c r="O564" s="78"/>
      <c r="P564" s="78"/>
      <c r="Q564" s="78"/>
      <c r="R564" s="78"/>
      <c r="S564" s="78"/>
      <c r="T564" s="78"/>
      <c r="U564" s="78"/>
      <c r="V564" s="78"/>
      <c r="W564" s="78"/>
      <c r="X564" s="78"/>
      <c r="Y564" s="78"/>
      <c r="Z564" s="78"/>
      <c r="AA564" s="78"/>
      <c r="AB564" s="78"/>
      <c r="AC564" s="78"/>
      <c r="AD564" s="78"/>
      <c r="AE564" s="78"/>
      <c r="AH564"/>
    </row>
    <row r="565" spans="8:34" s="23" customFormat="1" x14ac:dyDescent="0.25">
      <c r="H565" s="78"/>
      <c r="I565" s="78"/>
      <c r="J565" s="78"/>
      <c r="K565" s="78"/>
      <c r="L565" s="78"/>
      <c r="M565" s="78"/>
      <c r="N565" s="78"/>
      <c r="O565" s="78"/>
      <c r="P565" s="78"/>
      <c r="Q565" s="78"/>
      <c r="R565" s="78"/>
      <c r="S565" s="78"/>
      <c r="T565" s="78"/>
      <c r="U565" s="78"/>
      <c r="V565" s="78"/>
      <c r="W565" s="78"/>
      <c r="X565" s="78"/>
      <c r="Y565" s="78"/>
      <c r="Z565" s="78"/>
      <c r="AA565" s="78"/>
      <c r="AB565" s="78"/>
      <c r="AC565" s="78"/>
      <c r="AD565" s="78"/>
      <c r="AE565" s="78"/>
      <c r="AH565"/>
    </row>
    <row r="566" spans="8:34" s="23" customFormat="1" x14ac:dyDescent="0.25">
      <c r="H566" s="78"/>
      <c r="I566" s="78"/>
      <c r="J566" s="78"/>
      <c r="K566" s="78"/>
      <c r="L566" s="78"/>
      <c r="M566" s="78"/>
      <c r="N566" s="78"/>
      <c r="O566" s="78"/>
      <c r="P566" s="78"/>
      <c r="Q566" s="78"/>
      <c r="R566" s="78"/>
      <c r="S566" s="78"/>
      <c r="T566" s="78"/>
      <c r="U566" s="78"/>
      <c r="V566" s="78"/>
      <c r="W566" s="78"/>
      <c r="X566" s="78"/>
      <c r="Y566" s="78"/>
      <c r="Z566" s="78"/>
      <c r="AA566" s="78"/>
      <c r="AB566" s="78"/>
      <c r="AC566" s="78"/>
      <c r="AD566" s="78"/>
      <c r="AE566" s="78"/>
      <c r="AH566"/>
    </row>
    <row r="567" spans="8:34" s="23" customFormat="1" x14ac:dyDescent="0.25">
      <c r="H567" s="78"/>
      <c r="I567" s="78"/>
      <c r="J567" s="78"/>
      <c r="K567" s="78"/>
      <c r="L567" s="78"/>
      <c r="M567" s="78"/>
      <c r="N567" s="78"/>
      <c r="O567" s="78"/>
      <c r="P567" s="78"/>
      <c r="Q567" s="78"/>
      <c r="R567" s="78"/>
      <c r="S567" s="78"/>
      <c r="T567" s="78"/>
      <c r="U567" s="78"/>
      <c r="V567" s="78"/>
      <c r="W567" s="78"/>
      <c r="X567" s="78"/>
      <c r="Y567" s="78"/>
      <c r="Z567" s="78"/>
      <c r="AA567" s="78"/>
      <c r="AB567" s="78"/>
      <c r="AC567" s="78"/>
      <c r="AD567" s="78"/>
      <c r="AE567" s="78"/>
      <c r="AH567"/>
    </row>
    <row r="568" spans="8:34" s="23" customFormat="1" x14ac:dyDescent="0.25">
      <c r="H568" s="78"/>
      <c r="I568" s="78"/>
      <c r="J568" s="78"/>
      <c r="K568" s="78"/>
      <c r="L568" s="78"/>
      <c r="M568" s="78"/>
      <c r="N568" s="78"/>
      <c r="O568" s="78"/>
      <c r="P568" s="78"/>
      <c r="Q568" s="78"/>
      <c r="R568" s="78"/>
      <c r="S568" s="78"/>
      <c r="T568" s="78"/>
      <c r="U568" s="78"/>
      <c r="V568" s="78"/>
      <c r="W568" s="78"/>
      <c r="X568" s="78"/>
      <c r="Y568" s="78"/>
      <c r="Z568" s="78"/>
      <c r="AA568" s="78"/>
      <c r="AB568" s="78"/>
      <c r="AC568" s="78"/>
      <c r="AD568" s="78"/>
      <c r="AE568" s="78"/>
      <c r="AH568"/>
    </row>
    <row r="569" spans="8:34" s="23" customFormat="1" x14ac:dyDescent="0.25">
      <c r="H569" s="78"/>
      <c r="I569" s="78"/>
      <c r="J569" s="78"/>
      <c r="K569" s="78"/>
      <c r="L569" s="78"/>
      <c r="M569" s="78"/>
      <c r="N569" s="78"/>
      <c r="O569" s="78"/>
      <c r="P569" s="78"/>
      <c r="Q569" s="78"/>
      <c r="R569" s="78"/>
      <c r="S569" s="78"/>
      <c r="T569" s="78"/>
      <c r="U569" s="78"/>
      <c r="V569" s="78"/>
      <c r="W569" s="78"/>
      <c r="X569" s="78"/>
      <c r="Y569" s="78"/>
      <c r="Z569" s="78"/>
      <c r="AA569" s="78"/>
      <c r="AB569" s="78"/>
      <c r="AC569" s="78"/>
      <c r="AD569" s="78"/>
      <c r="AE569" s="78"/>
      <c r="AH569"/>
    </row>
    <row r="570" spans="8:34" s="23" customFormat="1" x14ac:dyDescent="0.25">
      <c r="H570" s="78"/>
      <c r="I570" s="78"/>
      <c r="J570" s="78"/>
      <c r="K570" s="78"/>
      <c r="L570" s="78"/>
      <c r="M570" s="78"/>
      <c r="N570" s="78"/>
      <c r="O570" s="78"/>
      <c r="P570" s="78"/>
      <c r="Q570" s="78"/>
      <c r="R570" s="78"/>
      <c r="S570" s="78"/>
      <c r="T570" s="78"/>
      <c r="U570" s="78"/>
      <c r="V570" s="78"/>
      <c r="W570" s="78"/>
      <c r="X570" s="78"/>
      <c r="Y570" s="78"/>
      <c r="Z570" s="78"/>
      <c r="AA570" s="78"/>
      <c r="AB570" s="78"/>
      <c r="AC570" s="78"/>
      <c r="AD570" s="78"/>
      <c r="AE570" s="78"/>
      <c r="AH570"/>
    </row>
    <row r="571" spans="8:34" s="23" customFormat="1" x14ac:dyDescent="0.25">
      <c r="H571" s="78"/>
      <c r="I571" s="78"/>
      <c r="J571" s="78"/>
      <c r="K571" s="78"/>
      <c r="L571" s="78"/>
      <c r="M571" s="78"/>
      <c r="N571" s="78"/>
      <c r="O571" s="78"/>
      <c r="P571" s="78"/>
      <c r="Q571" s="78"/>
      <c r="R571" s="78"/>
      <c r="S571" s="78"/>
      <c r="T571" s="78"/>
      <c r="U571" s="78"/>
      <c r="V571" s="78"/>
      <c r="W571" s="78"/>
      <c r="X571" s="78"/>
      <c r="Y571" s="78"/>
      <c r="Z571" s="78"/>
      <c r="AA571" s="78"/>
      <c r="AB571" s="78"/>
      <c r="AC571" s="78"/>
      <c r="AD571" s="78"/>
      <c r="AE571" s="78"/>
      <c r="AH571"/>
    </row>
    <row r="572" spans="8:34" s="23" customFormat="1" x14ac:dyDescent="0.25">
      <c r="H572" s="78"/>
      <c r="I572" s="78"/>
      <c r="J572" s="78"/>
      <c r="K572" s="78"/>
      <c r="L572" s="78"/>
      <c r="M572" s="78"/>
      <c r="N572" s="78"/>
      <c r="O572" s="78"/>
      <c r="P572" s="78"/>
      <c r="Q572" s="78"/>
      <c r="R572" s="78"/>
      <c r="S572" s="78"/>
      <c r="T572" s="78"/>
      <c r="U572" s="78"/>
      <c r="V572" s="78"/>
      <c r="W572" s="78"/>
      <c r="X572" s="78"/>
      <c r="Y572" s="78"/>
      <c r="Z572" s="78"/>
      <c r="AA572" s="78"/>
      <c r="AB572" s="78"/>
      <c r="AC572" s="78"/>
      <c r="AD572" s="78"/>
      <c r="AE572" s="78"/>
      <c r="AH572"/>
    </row>
    <row r="573" spans="8:34" s="23" customFormat="1" x14ac:dyDescent="0.25">
      <c r="H573" s="78"/>
      <c r="I573" s="78"/>
      <c r="J573" s="78"/>
      <c r="K573" s="78"/>
      <c r="L573" s="78"/>
      <c r="M573" s="78"/>
      <c r="N573" s="78"/>
      <c r="O573" s="78"/>
      <c r="P573" s="78"/>
      <c r="Q573" s="78"/>
      <c r="R573" s="78"/>
      <c r="S573" s="78"/>
      <c r="T573" s="78"/>
      <c r="U573" s="78"/>
      <c r="V573" s="78"/>
      <c r="W573" s="78"/>
      <c r="X573" s="78"/>
      <c r="Y573" s="78"/>
      <c r="Z573" s="78"/>
      <c r="AA573" s="78"/>
      <c r="AB573" s="78"/>
      <c r="AC573" s="78"/>
      <c r="AD573" s="78"/>
      <c r="AE573" s="78"/>
      <c r="AH573"/>
    </row>
    <row r="574" spans="8:34" s="23" customFormat="1" x14ac:dyDescent="0.25">
      <c r="H574" s="78"/>
      <c r="I574" s="78"/>
      <c r="J574" s="78"/>
      <c r="K574" s="78"/>
      <c r="L574" s="78"/>
      <c r="M574" s="78"/>
      <c r="N574" s="78"/>
      <c r="O574" s="78"/>
      <c r="P574" s="78"/>
      <c r="Q574" s="78"/>
      <c r="R574" s="78"/>
      <c r="S574" s="78"/>
      <c r="T574" s="78"/>
      <c r="U574" s="78"/>
      <c r="V574" s="78"/>
      <c r="W574" s="78"/>
      <c r="X574" s="78"/>
      <c r="Y574" s="78"/>
      <c r="Z574" s="78"/>
      <c r="AA574" s="78"/>
      <c r="AB574" s="78"/>
      <c r="AC574" s="78"/>
      <c r="AD574" s="78"/>
      <c r="AE574" s="78"/>
      <c r="AH574"/>
    </row>
    <row r="575" spans="8:34" s="23" customFormat="1" x14ac:dyDescent="0.25">
      <c r="H575" s="78"/>
      <c r="I575" s="78"/>
      <c r="J575" s="78"/>
      <c r="K575" s="78"/>
      <c r="L575" s="78"/>
      <c r="M575" s="78"/>
      <c r="N575" s="78"/>
      <c r="O575" s="78"/>
      <c r="P575" s="78"/>
      <c r="Q575" s="78"/>
      <c r="R575" s="78"/>
      <c r="S575" s="78"/>
      <c r="T575" s="78"/>
      <c r="U575" s="78"/>
      <c r="V575" s="78"/>
      <c r="W575" s="78"/>
      <c r="X575" s="78"/>
      <c r="Y575" s="78"/>
      <c r="Z575" s="78"/>
      <c r="AA575" s="78"/>
      <c r="AB575" s="78"/>
      <c r="AC575" s="78"/>
      <c r="AD575" s="78"/>
      <c r="AE575" s="78"/>
      <c r="AH575"/>
    </row>
    <row r="576" spans="8:34" s="23" customFormat="1" x14ac:dyDescent="0.25">
      <c r="H576" s="78"/>
      <c r="I576" s="78"/>
      <c r="J576" s="78"/>
      <c r="K576" s="78"/>
      <c r="L576" s="78"/>
      <c r="M576" s="78"/>
      <c r="N576" s="78"/>
      <c r="O576" s="78"/>
      <c r="P576" s="78"/>
      <c r="Q576" s="78"/>
      <c r="R576" s="78"/>
      <c r="S576" s="78"/>
      <c r="T576" s="78"/>
      <c r="U576" s="78"/>
      <c r="V576" s="78"/>
      <c r="W576" s="78"/>
      <c r="X576" s="78"/>
      <c r="Y576" s="78"/>
      <c r="Z576" s="78"/>
      <c r="AA576" s="78"/>
      <c r="AB576" s="78"/>
      <c r="AC576" s="78"/>
      <c r="AD576" s="78"/>
      <c r="AE576" s="78"/>
      <c r="AH576"/>
    </row>
    <row r="577" spans="8:34" s="23" customFormat="1" x14ac:dyDescent="0.25">
      <c r="H577" s="78"/>
      <c r="I577" s="78"/>
      <c r="J577" s="78"/>
      <c r="K577" s="78"/>
      <c r="L577" s="78"/>
      <c r="M577" s="78"/>
      <c r="N577" s="78"/>
      <c r="O577" s="78"/>
      <c r="P577" s="78"/>
      <c r="Q577" s="78"/>
      <c r="R577" s="78"/>
      <c r="S577" s="78"/>
      <c r="T577" s="78"/>
      <c r="U577" s="78"/>
      <c r="V577" s="78"/>
      <c r="W577" s="78"/>
      <c r="X577" s="78"/>
      <c r="Y577" s="78"/>
      <c r="Z577" s="78"/>
      <c r="AA577" s="78"/>
      <c r="AB577" s="78"/>
      <c r="AC577" s="78"/>
      <c r="AD577" s="78"/>
      <c r="AE577" s="78"/>
      <c r="AH577"/>
    </row>
    <row r="578" spans="8:34" s="23" customFormat="1" x14ac:dyDescent="0.25">
      <c r="H578" s="78"/>
      <c r="I578" s="78"/>
      <c r="J578" s="78"/>
      <c r="K578" s="78"/>
      <c r="L578" s="78"/>
      <c r="M578" s="78"/>
      <c r="N578" s="78"/>
      <c r="O578" s="78"/>
      <c r="P578" s="78"/>
      <c r="Q578" s="78"/>
      <c r="R578" s="78"/>
      <c r="S578" s="78"/>
      <c r="T578" s="78"/>
      <c r="U578" s="78"/>
      <c r="V578" s="78"/>
      <c r="W578" s="78"/>
      <c r="X578" s="78"/>
      <c r="Y578" s="78"/>
      <c r="Z578" s="78"/>
      <c r="AA578" s="78"/>
      <c r="AB578" s="78"/>
      <c r="AC578" s="78"/>
      <c r="AD578" s="78"/>
      <c r="AE578" s="78"/>
      <c r="AH578"/>
    </row>
    <row r="579" spans="8:34" s="23" customFormat="1" x14ac:dyDescent="0.25">
      <c r="H579" s="78"/>
      <c r="I579" s="78"/>
      <c r="J579" s="78"/>
      <c r="K579" s="78"/>
      <c r="L579" s="78"/>
      <c r="M579" s="78"/>
      <c r="N579" s="78"/>
      <c r="O579" s="78"/>
      <c r="P579" s="78"/>
      <c r="Q579" s="78"/>
      <c r="R579" s="78"/>
      <c r="S579" s="78"/>
      <c r="T579" s="78"/>
      <c r="U579" s="78"/>
      <c r="V579" s="78"/>
      <c r="W579" s="78"/>
      <c r="X579" s="78"/>
      <c r="Y579" s="78"/>
      <c r="Z579" s="78"/>
      <c r="AA579" s="78"/>
      <c r="AB579" s="78"/>
      <c r="AC579" s="78"/>
      <c r="AD579" s="78"/>
      <c r="AE579" s="78"/>
      <c r="AH579"/>
    </row>
    <row r="580" spans="8:34" s="23" customFormat="1" x14ac:dyDescent="0.25">
      <c r="H580" s="78"/>
      <c r="I580" s="78"/>
      <c r="J580" s="78"/>
      <c r="K580" s="78"/>
      <c r="L580" s="78"/>
      <c r="M580" s="78"/>
      <c r="N580" s="78"/>
      <c r="O580" s="78"/>
      <c r="P580" s="78"/>
      <c r="Q580" s="78"/>
      <c r="R580" s="78"/>
      <c r="S580" s="78"/>
      <c r="T580" s="78"/>
      <c r="U580" s="78"/>
      <c r="V580" s="78"/>
      <c r="W580" s="78"/>
      <c r="X580" s="78"/>
      <c r="Y580" s="78"/>
      <c r="Z580" s="78"/>
      <c r="AA580" s="78"/>
      <c r="AB580" s="78"/>
      <c r="AC580" s="78"/>
      <c r="AD580" s="78"/>
      <c r="AE580" s="78"/>
      <c r="AH580"/>
    </row>
    <row r="581" spans="8:34" s="23" customFormat="1" x14ac:dyDescent="0.25">
      <c r="H581" s="78"/>
      <c r="I581" s="78"/>
      <c r="J581" s="78"/>
      <c r="K581" s="78"/>
      <c r="L581" s="78"/>
      <c r="M581" s="78"/>
      <c r="N581" s="78"/>
      <c r="O581" s="78"/>
      <c r="P581" s="78"/>
      <c r="Q581" s="78"/>
      <c r="R581" s="78"/>
      <c r="S581" s="78"/>
      <c r="T581" s="78"/>
      <c r="U581" s="78"/>
      <c r="V581" s="78"/>
      <c r="W581" s="78"/>
      <c r="X581" s="78"/>
      <c r="Y581" s="78"/>
      <c r="Z581" s="78"/>
      <c r="AA581" s="78"/>
      <c r="AB581" s="78"/>
      <c r="AC581" s="78"/>
      <c r="AD581" s="78"/>
      <c r="AE581" s="78"/>
      <c r="AH581"/>
    </row>
    <row r="582" spans="8:34" s="23" customFormat="1" x14ac:dyDescent="0.25">
      <c r="H582" s="78"/>
      <c r="I582" s="78"/>
      <c r="J582" s="78"/>
      <c r="K582" s="78"/>
      <c r="L582" s="78"/>
      <c r="M582" s="78"/>
      <c r="N582" s="78"/>
      <c r="O582" s="78"/>
      <c r="P582" s="78"/>
      <c r="Q582" s="78"/>
      <c r="R582" s="78"/>
      <c r="S582" s="78"/>
      <c r="T582" s="78"/>
      <c r="U582" s="78"/>
      <c r="V582" s="78"/>
      <c r="W582" s="78"/>
      <c r="X582" s="78"/>
      <c r="Y582" s="78"/>
      <c r="Z582" s="78"/>
      <c r="AA582" s="78"/>
      <c r="AB582" s="78"/>
      <c r="AC582" s="78"/>
      <c r="AD582" s="78"/>
      <c r="AE582" s="78"/>
      <c r="AH582"/>
    </row>
    <row r="583" spans="8:34" s="23" customFormat="1" x14ac:dyDescent="0.25">
      <c r="H583" s="78"/>
      <c r="I583" s="78"/>
      <c r="J583" s="78"/>
      <c r="K583" s="78"/>
      <c r="L583" s="78"/>
      <c r="M583" s="78"/>
      <c r="N583" s="78"/>
      <c r="O583" s="78"/>
      <c r="P583" s="78"/>
      <c r="Q583" s="78"/>
      <c r="R583" s="78"/>
      <c r="S583" s="78"/>
      <c r="T583" s="78"/>
      <c r="U583" s="78"/>
      <c r="V583" s="78"/>
      <c r="W583" s="78"/>
      <c r="X583" s="78"/>
      <c r="Y583" s="78"/>
      <c r="Z583" s="78"/>
      <c r="AA583" s="78"/>
      <c r="AB583" s="78"/>
      <c r="AC583" s="78"/>
      <c r="AD583" s="78"/>
      <c r="AE583" s="78"/>
      <c r="AH583"/>
    </row>
    <row r="584" spans="8:34" s="23" customFormat="1" x14ac:dyDescent="0.25">
      <c r="H584" s="78"/>
      <c r="I584" s="78"/>
      <c r="J584" s="78"/>
      <c r="K584" s="78"/>
      <c r="L584" s="78"/>
      <c r="M584" s="78"/>
      <c r="N584" s="78"/>
      <c r="O584" s="78"/>
      <c r="P584" s="78"/>
      <c r="Q584" s="78"/>
      <c r="R584" s="78"/>
      <c r="S584" s="78"/>
      <c r="T584" s="78"/>
      <c r="U584" s="78"/>
      <c r="V584" s="78"/>
      <c r="W584" s="78"/>
      <c r="X584" s="78"/>
      <c r="Y584" s="78"/>
      <c r="Z584" s="78"/>
      <c r="AA584" s="78"/>
      <c r="AB584" s="78"/>
      <c r="AC584" s="78"/>
      <c r="AD584" s="78"/>
      <c r="AE584" s="78"/>
      <c r="AH584"/>
    </row>
    <row r="585" spans="8:34" s="23" customFormat="1" x14ac:dyDescent="0.25">
      <c r="H585" s="78"/>
      <c r="I585" s="78"/>
      <c r="J585" s="78"/>
      <c r="K585" s="78"/>
      <c r="L585" s="78"/>
      <c r="M585" s="78"/>
      <c r="N585" s="78"/>
      <c r="O585" s="78"/>
      <c r="P585" s="78"/>
      <c r="Q585" s="78"/>
      <c r="R585" s="78"/>
      <c r="S585" s="78"/>
      <c r="T585" s="78"/>
      <c r="U585" s="78"/>
      <c r="V585" s="78"/>
      <c r="W585" s="78"/>
      <c r="X585" s="78"/>
      <c r="Y585" s="78"/>
      <c r="Z585" s="78"/>
      <c r="AA585" s="78"/>
      <c r="AB585" s="78"/>
      <c r="AC585" s="78"/>
      <c r="AD585" s="78"/>
      <c r="AE585" s="78"/>
      <c r="AH585"/>
    </row>
    <row r="586" spans="8:34" s="23" customFormat="1" x14ac:dyDescent="0.25">
      <c r="H586" s="78"/>
      <c r="I586" s="78"/>
      <c r="J586" s="78"/>
      <c r="K586" s="78"/>
      <c r="L586" s="78"/>
      <c r="M586" s="78"/>
      <c r="N586" s="78"/>
      <c r="O586" s="78"/>
      <c r="P586" s="78"/>
      <c r="Q586" s="78"/>
      <c r="R586" s="78"/>
      <c r="S586" s="78"/>
      <c r="T586" s="78"/>
      <c r="U586" s="78"/>
      <c r="V586" s="78"/>
      <c r="W586" s="78"/>
      <c r="X586" s="78"/>
      <c r="Y586" s="78"/>
      <c r="Z586" s="78"/>
      <c r="AA586" s="78"/>
      <c r="AB586" s="78"/>
      <c r="AC586" s="78"/>
      <c r="AD586" s="78"/>
      <c r="AE586" s="78"/>
      <c r="AH586"/>
    </row>
    <row r="587" spans="8:34" s="23" customFormat="1" x14ac:dyDescent="0.25">
      <c r="H587" s="78"/>
      <c r="I587" s="78"/>
      <c r="J587" s="78"/>
      <c r="K587" s="78"/>
      <c r="L587" s="78"/>
      <c r="M587" s="78"/>
      <c r="N587" s="78"/>
      <c r="O587" s="78"/>
      <c r="P587" s="78"/>
      <c r="Q587" s="78"/>
      <c r="R587" s="78"/>
      <c r="S587" s="78"/>
      <c r="T587" s="78"/>
      <c r="U587" s="78"/>
      <c r="V587" s="78"/>
      <c r="W587" s="78"/>
      <c r="X587" s="78"/>
      <c r="Y587" s="78"/>
      <c r="Z587" s="78"/>
      <c r="AA587" s="78"/>
      <c r="AB587" s="78"/>
      <c r="AC587" s="78"/>
      <c r="AD587" s="78"/>
      <c r="AE587" s="78"/>
      <c r="AH587"/>
    </row>
    <row r="588" spans="8:34" s="23" customFormat="1" x14ac:dyDescent="0.25">
      <c r="H588" s="78"/>
      <c r="I588" s="78"/>
      <c r="J588" s="78"/>
      <c r="K588" s="78"/>
      <c r="L588" s="78"/>
      <c r="M588" s="78"/>
      <c r="N588" s="78"/>
      <c r="O588" s="78"/>
      <c r="P588" s="78"/>
      <c r="Q588" s="78"/>
      <c r="R588" s="78"/>
      <c r="S588" s="78"/>
      <c r="T588" s="78"/>
      <c r="U588" s="78"/>
      <c r="V588" s="78"/>
      <c r="W588" s="78"/>
      <c r="X588" s="78"/>
      <c r="Y588" s="78"/>
      <c r="Z588" s="78"/>
      <c r="AA588" s="78"/>
      <c r="AB588" s="78"/>
      <c r="AC588" s="78"/>
      <c r="AD588" s="78"/>
      <c r="AE588" s="78"/>
      <c r="AH588"/>
    </row>
    <row r="589" spans="8:34" s="23" customFormat="1" x14ac:dyDescent="0.25">
      <c r="H589" s="78"/>
      <c r="I589" s="78"/>
      <c r="J589" s="78"/>
      <c r="K589" s="78"/>
      <c r="L589" s="78"/>
      <c r="M589" s="78"/>
      <c r="N589" s="78"/>
      <c r="O589" s="78"/>
      <c r="P589" s="78"/>
      <c r="Q589" s="78"/>
      <c r="R589" s="78"/>
      <c r="S589" s="78"/>
      <c r="T589" s="78"/>
      <c r="U589" s="78"/>
      <c r="V589" s="78"/>
      <c r="W589" s="78"/>
      <c r="X589" s="78"/>
      <c r="Y589" s="78"/>
      <c r="Z589" s="78"/>
      <c r="AA589" s="78"/>
      <c r="AB589" s="78"/>
      <c r="AC589" s="78"/>
      <c r="AD589" s="78"/>
      <c r="AE589" s="78"/>
      <c r="AH589"/>
    </row>
    <row r="590" spans="8:34" s="23" customFormat="1" x14ac:dyDescent="0.25">
      <c r="H590" s="78"/>
      <c r="I590" s="78"/>
      <c r="J590" s="78"/>
      <c r="K590" s="78"/>
      <c r="L590" s="78"/>
      <c r="M590" s="78"/>
      <c r="N590" s="78"/>
      <c r="O590" s="78"/>
      <c r="P590" s="78"/>
      <c r="Q590" s="78"/>
      <c r="R590" s="78"/>
      <c r="S590" s="78"/>
      <c r="T590" s="78"/>
      <c r="U590" s="78"/>
      <c r="V590" s="78"/>
      <c r="W590" s="78"/>
      <c r="X590" s="78"/>
      <c r="Y590" s="78"/>
      <c r="Z590" s="78"/>
      <c r="AA590" s="78"/>
      <c r="AB590" s="78"/>
      <c r="AC590" s="78"/>
      <c r="AD590" s="78"/>
      <c r="AE590" s="78"/>
      <c r="AH590"/>
    </row>
    <row r="591" spans="8:34" s="23" customFormat="1" x14ac:dyDescent="0.25">
      <c r="H591" s="78"/>
      <c r="I591" s="78"/>
      <c r="J591" s="78"/>
      <c r="K591" s="78"/>
      <c r="L591" s="78"/>
      <c r="M591" s="78"/>
      <c r="N591" s="78"/>
      <c r="O591" s="78"/>
      <c r="P591" s="78"/>
      <c r="Q591" s="78"/>
      <c r="R591" s="78"/>
      <c r="S591" s="78"/>
      <c r="T591" s="78"/>
      <c r="U591" s="78"/>
      <c r="V591" s="78"/>
      <c r="W591" s="78"/>
      <c r="X591" s="78"/>
      <c r="Y591" s="78"/>
      <c r="Z591" s="78"/>
      <c r="AA591" s="78"/>
      <c r="AB591" s="78"/>
      <c r="AC591" s="78"/>
      <c r="AD591" s="78"/>
      <c r="AE591" s="78"/>
      <c r="AH591"/>
    </row>
    <row r="592" spans="8:34" s="23" customFormat="1" x14ac:dyDescent="0.25">
      <c r="H592" s="78"/>
      <c r="I592" s="78"/>
      <c r="J592" s="78"/>
      <c r="K592" s="78"/>
      <c r="L592" s="78"/>
      <c r="M592" s="78"/>
      <c r="N592" s="78"/>
      <c r="O592" s="78"/>
      <c r="P592" s="78"/>
      <c r="Q592" s="78"/>
      <c r="R592" s="78"/>
      <c r="S592" s="78"/>
      <c r="T592" s="78"/>
      <c r="U592" s="78"/>
      <c r="V592" s="78"/>
      <c r="W592" s="78"/>
      <c r="X592" s="78"/>
      <c r="Y592" s="78"/>
      <c r="Z592" s="78"/>
      <c r="AA592" s="78"/>
      <c r="AB592" s="78"/>
      <c r="AC592" s="78"/>
      <c r="AD592" s="78"/>
      <c r="AE592" s="78"/>
      <c r="AH592"/>
    </row>
    <row r="593" spans="8:34" s="23" customFormat="1" x14ac:dyDescent="0.25">
      <c r="H593" s="78"/>
      <c r="I593" s="78"/>
      <c r="J593" s="78"/>
      <c r="K593" s="78"/>
      <c r="L593" s="78"/>
      <c r="M593" s="78"/>
      <c r="N593" s="78"/>
      <c r="O593" s="78"/>
      <c r="P593" s="78"/>
      <c r="Q593" s="78"/>
      <c r="R593" s="78"/>
      <c r="S593" s="78"/>
      <c r="T593" s="78"/>
      <c r="U593" s="78"/>
      <c r="V593" s="78"/>
      <c r="W593" s="78"/>
      <c r="X593" s="78"/>
      <c r="Y593" s="78"/>
      <c r="Z593" s="78"/>
      <c r="AA593" s="78"/>
      <c r="AB593" s="78"/>
      <c r="AC593" s="78"/>
      <c r="AD593" s="78"/>
      <c r="AE593" s="78"/>
      <c r="AH593"/>
    </row>
    <row r="594" spans="8:34" s="23" customFormat="1" x14ac:dyDescent="0.25">
      <c r="H594" s="78"/>
      <c r="I594" s="78"/>
      <c r="J594" s="78"/>
      <c r="K594" s="78"/>
      <c r="L594" s="78"/>
      <c r="M594" s="78"/>
      <c r="N594" s="78"/>
      <c r="O594" s="78"/>
      <c r="P594" s="78"/>
      <c r="Q594" s="78"/>
      <c r="R594" s="78"/>
      <c r="S594" s="78"/>
      <c r="T594" s="78"/>
      <c r="U594" s="78"/>
      <c r="V594" s="78"/>
      <c r="W594" s="78"/>
      <c r="X594" s="78"/>
      <c r="Y594" s="78"/>
      <c r="Z594" s="78"/>
      <c r="AA594" s="78"/>
      <c r="AB594" s="78"/>
      <c r="AC594" s="78"/>
      <c r="AD594" s="78"/>
      <c r="AE594" s="78"/>
      <c r="AH594"/>
    </row>
    <row r="595" spans="8:34" s="23" customFormat="1" x14ac:dyDescent="0.25">
      <c r="H595" s="78"/>
      <c r="I595" s="78"/>
      <c r="J595" s="78"/>
      <c r="K595" s="78"/>
      <c r="L595" s="78"/>
      <c r="M595" s="78"/>
      <c r="N595" s="78"/>
      <c r="O595" s="78"/>
      <c r="P595" s="78"/>
      <c r="Q595" s="78"/>
      <c r="R595" s="78"/>
      <c r="S595" s="78"/>
      <c r="T595" s="78"/>
      <c r="U595" s="78"/>
      <c r="V595" s="78"/>
      <c r="W595" s="78"/>
      <c r="X595" s="78"/>
      <c r="Y595" s="78"/>
      <c r="Z595" s="78"/>
      <c r="AA595" s="78"/>
      <c r="AB595" s="78"/>
      <c r="AC595" s="78"/>
      <c r="AD595" s="78"/>
      <c r="AE595" s="78"/>
      <c r="AH595"/>
    </row>
    <row r="596" spans="8:34" s="23" customFormat="1" x14ac:dyDescent="0.25">
      <c r="H596" s="78"/>
      <c r="I596" s="78"/>
      <c r="J596" s="78"/>
      <c r="K596" s="78"/>
      <c r="L596" s="78"/>
      <c r="M596" s="78"/>
      <c r="N596" s="78"/>
      <c r="O596" s="78"/>
      <c r="P596" s="78"/>
      <c r="Q596" s="78"/>
      <c r="R596" s="78"/>
      <c r="S596" s="78"/>
      <c r="T596" s="78"/>
      <c r="U596" s="78"/>
      <c r="V596" s="78"/>
      <c r="W596" s="78"/>
      <c r="X596" s="78"/>
      <c r="Y596" s="78"/>
      <c r="Z596" s="78"/>
      <c r="AA596" s="78"/>
      <c r="AB596" s="78"/>
      <c r="AC596" s="78"/>
      <c r="AD596" s="78"/>
      <c r="AE596" s="78"/>
      <c r="AH596"/>
    </row>
    <row r="597" spans="8:34" s="23" customFormat="1" x14ac:dyDescent="0.25">
      <c r="H597" s="78"/>
      <c r="I597" s="78"/>
      <c r="J597" s="78"/>
      <c r="K597" s="78"/>
      <c r="L597" s="78"/>
      <c r="M597" s="78"/>
      <c r="N597" s="78"/>
      <c r="O597" s="78"/>
      <c r="P597" s="78"/>
      <c r="Q597" s="78"/>
      <c r="R597" s="78"/>
      <c r="S597" s="78"/>
      <c r="T597" s="78"/>
      <c r="U597" s="78"/>
      <c r="V597" s="78"/>
      <c r="W597" s="78"/>
      <c r="X597" s="78"/>
      <c r="Y597" s="78"/>
      <c r="Z597" s="78"/>
      <c r="AA597" s="78"/>
      <c r="AB597" s="78"/>
      <c r="AC597" s="78"/>
      <c r="AD597" s="78"/>
      <c r="AE597" s="78"/>
      <c r="AH597"/>
    </row>
    <row r="598" spans="8:34" s="23" customFormat="1" x14ac:dyDescent="0.25">
      <c r="H598" s="78"/>
      <c r="I598" s="78"/>
      <c r="J598" s="78"/>
      <c r="K598" s="78"/>
      <c r="L598" s="78"/>
      <c r="M598" s="78"/>
      <c r="N598" s="78"/>
      <c r="O598" s="78"/>
      <c r="P598" s="78"/>
      <c r="Q598" s="78"/>
      <c r="R598" s="78"/>
      <c r="S598" s="78"/>
      <c r="T598" s="78"/>
      <c r="U598" s="78"/>
      <c r="V598" s="78"/>
      <c r="W598" s="78"/>
      <c r="X598" s="78"/>
      <c r="Y598" s="78"/>
      <c r="Z598" s="78"/>
      <c r="AA598" s="78"/>
      <c r="AB598" s="78"/>
      <c r="AC598" s="78"/>
      <c r="AD598" s="78"/>
      <c r="AE598" s="78"/>
      <c r="AH598"/>
    </row>
    <row r="599" spans="8:34" s="23" customFormat="1" x14ac:dyDescent="0.25">
      <c r="H599" s="78"/>
      <c r="I599" s="78"/>
      <c r="J599" s="78"/>
      <c r="K599" s="78"/>
      <c r="L599" s="78"/>
      <c r="M599" s="78"/>
      <c r="N599" s="78"/>
      <c r="O599" s="78"/>
      <c r="P599" s="78"/>
      <c r="Q599" s="78"/>
      <c r="R599" s="78"/>
      <c r="S599" s="78"/>
      <c r="T599" s="78"/>
      <c r="U599" s="78"/>
      <c r="V599" s="78"/>
      <c r="W599" s="78"/>
      <c r="X599" s="78"/>
      <c r="Y599" s="78"/>
      <c r="Z599" s="78"/>
      <c r="AA599" s="78"/>
      <c r="AB599" s="78"/>
      <c r="AC599" s="78"/>
      <c r="AD599" s="78"/>
      <c r="AE599" s="78"/>
      <c r="AH599"/>
    </row>
    <row r="600" spans="8:34" s="23" customFormat="1" x14ac:dyDescent="0.25">
      <c r="H600" s="78"/>
      <c r="I600" s="78"/>
      <c r="J600" s="78"/>
      <c r="K600" s="78"/>
      <c r="L600" s="78"/>
      <c r="M600" s="78"/>
      <c r="N600" s="78"/>
      <c r="O600" s="78"/>
      <c r="P600" s="78"/>
      <c r="Q600" s="78"/>
      <c r="R600" s="78"/>
      <c r="S600" s="78"/>
      <c r="T600" s="78"/>
      <c r="U600" s="78"/>
      <c r="V600" s="78"/>
      <c r="W600" s="78"/>
      <c r="X600" s="78"/>
      <c r="Y600" s="78"/>
      <c r="Z600" s="78"/>
      <c r="AA600" s="78"/>
      <c r="AB600" s="78"/>
      <c r="AC600" s="78"/>
      <c r="AD600" s="78"/>
      <c r="AE600" s="78"/>
      <c r="AH600"/>
    </row>
    <row r="601" spans="8:34" s="23" customFormat="1" x14ac:dyDescent="0.25">
      <c r="H601" s="78"/>
      <c r="I601" s="78"/>
      <c r="J601" s="78"/>
      <c r="K601" s="78"/>
      <c r="L601" s="78"/>
      <c r="M601" s="78"/>
      <c r="N601" s="78"/>
      <c r="O601" s="78"/>
      <c r="P601" s="78"/>
      <c r="Q601" s="78"/>
      <c r="R601" s="78"/>
      <c r="S601" s="78"/>
      <c r="T601" s="78"/>
      <c r="U601" s="78"/>
      <c r="V601" s="78"/>
      <c r="W601" s="78"/>
      <c r="X601" s="78"/>
      <c r="Y601" s="78"/>
      <c r="Z601" s="78"/>
      <c r="AA601" s="78"/>
      <c r="AB601" s="78"/>
      <c r="AC601" s="78"/>
      <c r="AD601" s="78"/>
      <c r="AE601" s="78"/>
      <c r="AH601"/>
    </row>
    <row r="602" spans="8:34" s="23" customFormat="1" x14ac:dyDescent="0.25">
      <c r="H602" s="78"/>
      <c r="I602" s="78"/>
      <c r="J602" s="78"/>
      <c r="K602" s="78"/>
      <c r="L602" s="78"/>
      <c r="M602" s="78"/>
      <c r="N602" s="78"/>
      <c r="O602" s="78"/>
      <c r="P602" s="78"/>
      <c r="Q602" s="78"/>
      <c r="R602" s="78"/>
      <c r="S602" s="78"/>
      <c r="T602" s="78"/>
      <c r="U602" s="78"/>
      <c r="V602" s="78"/>
      <c r="W602" s="78"/>
      <c r="X602" s="78"/>
      <c r="Y602" s="78"/>
      <c r="Z602" s="78"/>
      <c r="AA602" s="78"/>
      <c r="AB602" s="78"/>
      <c r="AC602" s="78"/>
      <c r="AD602" s="78"/>
      <c r="AE602" s="78"/>
      <c r="AH602"/>
    </row>
    <row r="603" spans="8:34" s="23" customFormat="1" x14ac:dyDescent="0.25">
      <c r="H603" s="78"/>
      <c r="I603" s="78"/>
      <c r="J603" s="78"/>
      <c r="K603" s="78"/>
      <c r="L603" s="78"/>
      <c r="M603" s="78"/>
      <c r="N603" s="78"/>
      <c r="O603" s="78"/>
      <c r="P603" s="78"/>
      <c r="Q603" s="78"/>
      <c r="R603" s="78"/>
      <c r="S603" s="78"/>
      <c r="T603" s="78"/>
      <c r="U603" s="78"/>
      <c r="V603" s="78"/>
      <c r="W603" s="78"/>
      <c r="X603" s="78"/>
      <c r="Y603" s="78"/>
      <c r="Z603" s="78"/>
      <c r="AA603" s="78"/>
      <c r="AB603" s="78"/>
      <c r="AC603" s="78"/>
      <c r="AD603" s="78"/>
      <c r="AE603" s="78"/>
      <c r="AH603"/>
    </row>
    <row r="604" spans="8:34" s="23" customFormat="1" x14ac:dyDescent="0.25">
      <c r="H604" s="78"/>
      <c r="I604" s="78"/>
      <c r="J604" s="78"/>
      <c r="K604" s="78"/>
      <c r="L604" s="78"/>
      <c r="M604" s="78"/>
      <c r="N604" s="78"/>
      <c r="O604" s="78"/>
      <c r="P604" s="78"/>
      <c r="Q604" s="78"/>
      <c r="R604" s="78"/>
      <c r="S604" s="78"/>
      <c r="T604" s="78"/>
      <c r="U604" s="78"/>
      <c r="V604" s="78"/>
      <c r="W604" s="78"/>
      <c r="X604" s="78"/>
      <c r="Y604" s="78"/>
      <c r="Z604" s="78"/>
      <c r="AA604" s="78"/>
      <c r="AB604" s="78"/>
      <c r="AC604" s="78"/>
      <c r="AD604" s="78"/>
      <c r="AE604" s="78"/>
      <c r="AH604"/>
    </row>
    <row r="605" spans="8:34" s="23" customFormat="1" x14ac:dyDescent="0.25">
      <c r="H605" s="78"/>
      <c r="I605" s="78"/>
      <c r="J605" s="78"/>
      <c r="K605" s="78"/>
      <c r="L605" s="78"/>
      <c r="M605" s="78"/>
      <c r="N605" s="78"/>
      <c r="O605" s="78"/>
      <c r="P605" s="78"/>
      <c r="Q605" s="78"/>
      <c r="R605" s="78"/>
      <c r="S605" s="78"/>
      <c r="T605" s="78"/>
      <c r="U605" s="78"/>
      <c r="V605" s="78"/>
      <c r="W605" s="78"/>
      <c r="X605" s="78"/>
      <c r="Y605" s="78"/>
      <c r="Z605" s="78"/>
      <c r="AA605" s="78"/>
      <c r="AB605" s="78"/>
      <c r="AC605" s="78"/>
      <c r="AD605" s="78"/>
      <c r="AE605" s="78"/>
      <c r="AH605"/>
    </row>
    <row r="606" spans="8:34" s="23" customFormat="1" x14ac:dyDescent="0.25">
      <c r="H606" s="78"/>
      <c r="I606" s="78"/>
      <c r="J606" s="78"/>
      <c r="K606" s="78"/>
      <c r="L606" s="78"/>
      <c r="M606" s="78"/>
      <c r="N606" s="78"/>
      <c r="O606" s="78"/>
      <c r="P606" s="78"/>
      <c r="Q606" s="78"/>
      <c r="R606" s="78"/>
      <c r="S606" s="78"/>
      <c r="T606" s="78"/>
      <c r="U606" s="78"/>
      <c r="V606" s="78"/>
      <c r="W606" s="78"/>
      <c r="X606" s="78"/>
      <c r="Y606" s="78"/>
      <c r="Z606" s="78"/>
      <c r="AA606" s="78"/>
      <c r="AB606" s="78"/>
      <c r="AC606" s="78"/>
      <c r="AD606" s="78"/>
      <c r="AE606" s="78"/>
      <c r="AH606"/>
    </row>
    <row r="607" spans="8:34" s="23" customFormat="1" x14ac:dyDescent="0.25">
      <c r="H607" s="78"/>
      <c r="I607" s="78"/>
      <c r="J607" s="78"/>
      <c r="K607" s="78"/>
      <c r="L607" s="78"/>
      <c r="M607" s="78"/>
      <c r="N607" s="78"/>
      <c r="O607" s="78"/>
      <c r="P607" s="78"/>
      <c r="Q607" s="78"/>
      <c r="R607" s="78"/>
      <c r="S607" s="78"/>
      <c r="T607" s="78"/>
      <c r="U607" s="78"/>
      <c r="V607" s="78"/>
      <c r="W607" s="78"/>
      <c r="X607" s="78"/>
      <c r="Y607" s="78"/>
      <c r="Z607" s="78"/>
      <c r="AA607" s="78"/>
      <c r="AB607" s="78"/>
      <c r="AC607" s="78"/>
      <c r="AD607" s="78"/>
      <c r="AE607" s="78"/>
      <c r="AH607"/>
    </row>
    <row r="608" spans="8:34" s="23" customFormat="1" x14ac:dyDescent="0.25">
      <c r="H608" s="78"/>
      <c r="I608" s="78"/>
      <c r="J608" s="78"/>
      <c r="K608" s="78"/>
      <c r="L608" s="78"/>
      <c r="M608" s="78"/>
      <c r="N608" s="78"/>
      <c r="O608" s="78"/>
      <c r="P608" s="78"/>
      <c r="Q608" s="78"/>
      <c r="R608" s="78"/>
      <c r="S608" s="78"/>
      <c r="T608" s="78"/>
      <c r="U608" s="78"/>
      <c r="V608" s="78"/>
      <c r="W608" s="78"/>
      <c r="X608" s="78"/>
      <c r="Y608" s="78"/>
      <c r="Z608" s="78"/>
      <c r="AA608" s="78"/>
      <c r="AB608" s="78"/>
      <c r="AC608" s="78"/>
      <c r="AD608" s="78"/>
      <c r="AE608" s="78"/>
      <c r="AH608"/>
    </row>
    <row r="609" spans="8:34" s="23" customFormat="1" x14ac:dyDescent="0.25">
      <c r="H609" s="78"/>
      <c r="I609" s="78"/>
      <c r="J609" s="78"/>
      <c r="K609" s="78"/>
      <c r="L609" s="78"/>
      <c r="M609" s="78"/>
      <c r="N609" s="78"/>
      <c r="O609" s="78"/>
      <c r="P609" s="78"/>
      <c r="Q609" s="78"/>
      <c r="R609" s="78"/>
      <c r="S609" s="78"/>
      <c r="T609" s="78"/>
      <c r="U609" s="78"/>
      <c r="V609" s="78"/>
      <c r="W609" s="78"/>
      <c r="X609" s="78"/>
      <c r="Y609" s="78"/>
      <c r="Z609" s="78"/>
      <c r="AA609" s="78"/>
      <c r="AB609" s="78"/>
      <c r="AC609" s="78"/>
      <c r="AD609" s="78"/>
      <c r="AE609" s="78"/>
      <c r="AH609"/>
    </row>
    <row r="610" spans="8:34" s="23" customFormat="1" x14ac:dyDescent="0.25">
      <c r="H610" s="78"/>
      <c r="I610" s="78"/>
      <c r="J610" s="78"/>
      <c r="K610" s="78"/>
      <c r="L610" s="78"/>
      <c r="M610" s="78"/>
      <c r="N610" s="78"/>
      <c r="O610" s="78"/>
      <c r="P610" s="78"/>
      <c r="Q610" s="78"/>
      <c r="R610" s="78"/>
      <c r="S610" s="78"/>
      <c r="T610" s="78"/>
      <c r="U610" s="78"/>
      <c r="V610" s="78"/>
      <c r="W610" s="78"/>
      <c r="X610" s="78"/>
      <c r="Y610" s="78"/>
      <c r="Z610" s="78"/>
      <c r="AA610" s="78"/>
      <c r="AB610" s="78"/>
      <c r="AC610" s="78"/>
      <c r="AD610" s="78"/>
      <c r="AE610" s="78"/>
      <c r="AH610"/>
    </row>
    <row r="611" spans="8:34" s="23" customFormat="1" x14ac:dyDescent="0.25">
      <c r="H611" s="78"/>
      <c r="I611" s="78"/>
      <c r="J611" s="78"/>
      <c r="K611" s="78"/>
      <c r="L611" s="78"/>
      <c r="M611" s="78"/>
      <c r="N611" s="78"/>
      <c r="O611" s="78"/>
      <c r="P611" s="78"/>
      <c r="Q611" s="78"/>
      <c r="R611" s="78"/>
      <c r="S611" s="78"/>
      <c r="T611" s="78"/>
      <c r="U611" s="78"/>
      <c r="V611" s="78"/>
      <c r="W611" s="78"/>
      <c r="X611" s="78"/>
      <c r="Y611" s="78"/>
      <c r="Z611" s="78"/>
      <c r="AA611" s="78"/>
      <c r="AB611" s="78"/>
      <c r="AC611" s="78"/>
      <c r="AD611" s="78"/>
      <c r="AE611" s="78"/>
      <c r="AH611"/>
    </row>
    <row r="612" spans="8:34" s="23" customFormat="1" x14ac:dyDescent="0.25">
      <c r="H612" s="78"/>
      <c r="I612" s="78"/>
      <c r="J612" s="78"/>
      <c r="K612" s="78"/>
      <c r="L612" s="78"/>
      <c r="M612" s="78"/>
      <c r="N612" s="78"/>
      <c r="O612" s="78"/>
      <c r="P612" s="78"/>
      <c r="Q612" s="78"/>
      <c r="R612" s="78"/>
      <c r="S612" s="78"/>
      <c r="T612" s="78"/>
      <c r="U612" s="78"/>
      <c r="V612" s="78"/>
      <c r="W612" s="78"/>
      <c r="X612" s="78"/>
      <c r="Y612" s="78"/>
      <c r="Z612" s="78"/>
      <c r="AA612" s="78"/>
      <c r="AB612" s="78"/>
      <c r="AC612" s="78"/>
      <c r="AD612" s="78"/>
      <c r="AE612" s="78"/>
      <c r="AH612"/>
    </row>
    <row r="613" spans="8:34" s="23" customFormat="1" x14ac:dyDescent="0.25">
      <c r="H613" s="78"/>
      <c r="I613" s="78"/>
      <c r="J613" s="78"/>
      <c r="K613" s="78"/>
      <c r="L613" s="78"/>
      <c r="M613" s="78"/>
      <c r="N613" s="78"/>
      <c r="O613" s="78"/>
      <c r="P613" s="78"/>
      <c r="Q613" s="78"/>
      <c r="R613" s="78"/>
      <c r="S613" s="78"/>
      <c r="T613" s="78"/>
      <c r="U613" s="78"/>
      <c r="V613" s="78"/>
      <c r="W613" s="78"/>
      <c r="X613" s="78"/>
      <c r="Y613" s="78"/>
      <c r="Z613" s="78"/>
      <c r="AA613" s="78"/>
      <c r="AB613" s="78"/>
      <c r="AC613" s="78"/>
      <c r="AD613" s="78"/>
      <c r="AE613" s="78"/>
      <c r="AH613"/>
    </row>
    <row r="614" spans="8:34" s="23" customFormat="1" x14ac:dyDescent="0.25">
      <c r="H614" s="78"/>
      <c r="I614" s="78"/>
      <c r="J614" s="78"/>
      <c r="K614" s="78"/>
      <c r="L614" s="78"/>
      <c r="M614" s="78"/>
      <c r="N614" s="78"/>
      <c r="O614" s="78"/>
      <c r="P614" s="78"/>
      <c r="Q614" s="78"/>
      <c r="R614" s="78"/>
      <c r="S614" s="78"/>
      <c r="T614" s="78"/>
      <c r="U614" s="78"/>
      <c r="V614" s="78"/>
      <c r="W614" s="78"/>
      <c r="X614" s="78"/>
      <c r="Y614" s="78"/>
      <c r="Z614" s="78"/>
      <c r="AA614" s="78"/>
      <c r="AB614" s="78"/>
      <c r="AC614" s="78"/>
      <c r="AD614" s="78"/>
      <c r="AE614" s="78"/>
      <c r="AH614"/>
    </row>
    <row r="615" spans="8:34" s="23" customFormat="1" x14ac:dyDescent="0.25">
      <c r="H615" s="78"/>
      <c r="I615" s="78"/>
      <c r="J615" s="78"/>
      <c r="K615" s="78"/>
      <c r="L615" s="78"/>
      <c r="M615" s="78"/>
      <c r="N615" s="78"/>
      <c r="O615" s="78"/>
      <c r="P615" s="78"/>
      <c r="Q615" s="78"/>
      <c r="R615" s="78"/>
      <c r="S615" s="78"/>
      <c r="T615" s="78"/>
      <c r="U615" s="78"/>
      <c r="V615" s="78"/>
      <c r="W615" s="78"/>
      <c r="X615" s="78"/>
      <c r="Y615" s="78"/>
      <c r="Z615" s="78"/>
      <c r="AA615" s="78"/>
      <c r="AB615" s="78"/>
      <c r="AC615" s="78"/>
      <c r="AD615" s="78"/>
      <c r="AE615" s="78"/>
      <c r="AH615"/>
    </row>
    <row r="616" spans="8:34" s="23" customFormat="1" x14ac:dyDescent="0.25">
      <c r="H616" s="78"/>
      <c r="I616" s="78"/>
      <c r="J616" s="78"/>
      <c r="K616" s="78"/>
      <c r="L616" s="78"/>
      <c r="M616" s="78"/>
      <c r="N616" s="78"/>
      <c r="O616" s="78"/>
      <c r="P616" s="78"/>
      <c r="Q616" s="78"/>
      <c r="R616" s="78"/>
      <c r="S616" s="78"/>
      <c r="T616" s="78"/>
      <c r="U616" s="78"/>
      <c r="V616" s="78"/>
      <c r="W616" s="78"/>
      <c r="X616" s="78"/>
      <c r="Y616" s="78"/>
      <c r="Z616" s="78"/>
      <c r="AA616" s="78"/>
      <c r="AB616" s="78"/>
      <c r="AC616" s="78"/>
      <c r="AD616" s="78"/>
      <c r="AE616" s="78"/>
      <c r="AH616"/>
    </row>
    <row r="617" spans="8:34" s="23" customFormat="1" x14ac:dyDescent="0.25">
      <c r="H617" s="78"/>
      <c r="I617" s="78"/>
      <c r="J617" s="78"/>
      <c r="K617" s="78"/>
      <c r="L617" s="78"/>
      <c r="M617" s="78"/>
      <c r="N617" s="78"/>
      <c r="O617" s="78"/>
      <c r="P617" s="78"/>
      <c r="Q617" s="78"/>
      <c r="R617" s="78"/>
      <c r="S617" s="78"/>
      <c r="T617" s="78"/>
      <c r="U617" s="78"/>
      <c r="V617" s="78"/>
      <c r="W617" s="78"/>
      <c r="X617" s="78"/>
      <c r="Y617" s="78"/>
      <c r="Z617" s="78"/>
      <c r="AA617" s="78"/>
      <c r="AB617" s="78"/>
      <c r="AC617" s="78"/>
      <c r="AD617" s="78"/>
      <c r="AE617" s="78"/>
      <c r="AH617"/>
    </row>
    <row r="618" spans="8:34" s="23" customFormat="1" x14ac:dyDescent="0.25">
      <c r="H618" s="78"/>
      <c r="I618" s="78"/>
      <c r="J618" s="78"/>
      <c r="K618" s="78"/>
      <c r="L618" s="78"/>
      <c r="M618" s="78"/>
      <c r="N618" s="78"/>
      <c r="O618" s="78"/>
      <c r="P618" s="78"/>
      <c r="Q618" s="78"/>
      <c r="R618" s="78"/>
      <c r="S618" s="78"/>
      <c r="T618" s="78"/>
      <c r="U618" s="78"/>
      <c r="V618" s="78"/>
      <c r="W618" s="78"/>
      <c r="X618" s="78"/>
      <c r="Y618" s="78"/>
      <c r="Z618" s="78"/>
      <c r="AA618" s="78"/>
      <c r="AB618" s="78"/>
      <c r="AC618" s="78"/>
      <c r="AD618" s="78"/>
      <c r="AE618" s="78"/>
      <c r="AH618"/>
    </row>
    <row r="619" spans="8:34" s="23" customFormat="1" x14ac:dyDescent="0.25">
      <c r="H619" s="78"/>
      <c r="I619" s="78"/>
      <c r="J619" s="78"/>
      <c r="K619" s="78"/>
      <c r="L619" s="78"/>
      <c r="M619" s="78"/>
      <c r="N619" s="78"/>
      <c r="O619" s="78"/>
      <c r="P619" s="78"/>
      <c r="Q619" s="78"/>
      <c r="R619" s="78"/>
      <c r="S619" s="78"/>
      <c r="T619" s="78"/>
      <c r="U619" s="78"/>
      <c r="V619" s="78"/>
      <c r="W619" s="78"/>
      <c r="X619" s="78"/>
      <c r="Y619" s="78"/>
      <c r="Z619" s="78"/>
      <c r="AA619" s="78"/>
      <c r="AB619" s="78"/>
      <c r="AC619" s="78"/>
      <c r="AD619" s="78"/>
      <c r="AE619" s="78"/>
      <c r="AH619"/>
    </row>
    <row r="620" spans="8:34" s="23" customFormat="1" x14ac:dyDescent="0.25">
      <c r="H620" s="78"/>
      <c r="I620" s="78"/>
      <c r="J620" s="78"/>
      <c r="K620" s="78"/>
      <c r="L620" s="78"/>
      <c r="M620" s="78"/>
      <c r="N620" s="78"/>
      <c r="O620" s="78"/>
      <c r="P620" s="78"/>
      <c r="Q620" s="78"/>
      <c r="R620" s="78"/>
      <c r="S620" s="78"/>
      <c r="T620" s="78"/>
      <c r="U620" s="78"/>
      <c r="V620" s="78"/>
      <c r="W620" s="78"/>
      <c r="X620" s="78"/>
      <c r="Y620" s="78"/>
      <c r="Z620" s="78"/>
      <c r="AA620" s="78"/>
      <c r="AB620" s="78"/>
      <c r="AC620" s="78"/>
      <c r="AD620" s="78"/>
      <c r="AE620" s="78"/>
      <c r="AH620"/>
    </row>
    <row r="621" spans="8:34" s="23" customFormat="1" x14ac:dyDescent="0.25">
      <c r="H621" s="78"/>
      <c r="I621" s="78"/>
      <c r="J621" s="78"/>
      <c r="K621" s="78"/>
      <c r="L621" s="78"/>
      <c r="M621" s="78"/>
      <c r="N621" s="78"/>
      <c r="O621" s="78"/>
      <c r="P621" s="78"/>
      <c r="Q621" s="78"/>
      <c r="R621" s="78"/>
      <c r="S621" s="78"/>
      <c r="T621" s="78"/>
      <c r="U621" s="78"/>
      <c r="V621" s="78"/>
      <c r="W621" s="78"/>
      <c r="X621" s="78"/>
      <c r="Y621" s="78"/>
      <c r="Z621" s="78"/>
      <c r="AA621" s="78"/>
      <c r="AB621" s="78"/>
      <c r="AC621" s="78"/>
      <c r="AD621" s="78"/>
      <c r="AE621" s="78"/>
      <c r="AH621"/>
    </row>
    <row r="622" spans="8:34" s="23" customFormat="1" x14ac:dyDescent="0.25">
      <c r="H622" s="78"/>
      <c r="I622" s="78"/>
      <c r="J622" s="78"/>
      <c r="K622" s="78"/>
      <c r="L622" s="78"/>
      <c r="M622" s="78"/>
      <c r="N622" s="78"/>
      <c r="O622" s="78"/>
      <c r="P622" s="78"/>
      <c r="Q622" s="78"/>
      <c r="R622" s="78"/>
      <c r="S622" s="78"/>
      <c r="T622" s="78"/>
      <c r="U622" s="78"/>
      <c r="V622" s="78"/>
      <c r="W622" s="78"/>
      <c r="X622" s="78"/>
      <c r="Y622" s="78"/>
      <c r="Z622" s="78"/>
      <c r="AA622" s="78"/>
      <c r="AB622" s="78"/>
      <c r="AC622" s="78"/>
      <c r="AD622" s="78"/>
      <c r="AE622" s="78"/>
      <c r="AH622"/>
    </row>
    <row r="623" spans="8:34" s="23" customFormat="1" x14ac:dyDescent="0.25">
      <c r="H623" s="78"/>
      <c r="I623" s="78"/>
      <c r="J623" s="78"/>
      <c r="K623" s="78"/>
      <c r="L623" s="78"/>
      <c r="M623" s="78"/>
      <c r="N623" s="78"/>
      <c r="O623" s="78"/>
      <c r="P623" s="78"/>
      <c r="Q623" s="78"/>
      <c r="R623" s="78"/>
      <c r="S623" s="78"/>
      <c r="T623" s="78"/>
      <c r="U623" s="78"/>
      <c r="V623" s="78"/>
      <c r="W623" s="78"/>
      <c r="X623" s="78"/>
      <c r="Y623" s="78"/>
      <c r="Z623" s="78"/>
      <c r="AA623" s="78"/>
      <c r="AB623" s="78"/>
      <c r="AC623" s="78"/>
      <c r="AD623" s="78"/>
      <c r="AE623" s="78"/>
      <c r="AH623"/>
    </row>
    <row r="624" spans="8:34" s="23" customFormat="1" x14ac:dyDescent="0.25">
      <c r="H624" s="78"/>
      <c r="I624" s="78"/>
      <c r="J624" s="78"/>
      <c r="K624" s="78"/>
      <c r="L624" s="78"/>
      <c r="M624" s="78"/>
      <c r="N624" s="78"/>
      <c r="O624" s="78"/>
      <c r="P624" s="78"/>
      <c r="Q624" s="78"/>
      <c r="R624" s="78"/>
      <c r="S624" s="78"/>
      <c r="T624" s="78"/>
      <c r="U624" s="78"/>
      <c r="V624" s="78"/>
      <c r="W624" s="78"/>
      <c r="X624" s="78"/>
      <c r="Y624" s="78"/>
      <c r="Z624" s="78"/>
      <c r="AA624" s="78"/>
      <c r="AB624" s="78"/>
      <c r="AC624" s="78"/>
      <c r="AD624" s="78"/>
      <c r="AE624" s="78"/>
      <c r="AH624"/>
    </row>
    <row r="625" spans="8:34" s="23" customFormat="1" x14ac:dyDescent="0.25">
      <c r="H625" s="78"/>
      <c r="I625" s="78"/>
      <c r="J625" s="78"/>
      <c r="K625" s="78"/>
      <c r="L625" s="78"/>
      <c r="M625" s="78"/>
      <c r="N625" s="78"/>
      <c r="O625" s="78"/>
      <c r="P625" s="78"/>
      <c r="Q625" s="78"/>
      <c r="R625" s="78"/>
      <c r="S625" s="78"/>
      <c r="T625" s="78"/>
      <c r="U625" s="78"/>
      <c r="V625" s="78"/>
      <c r="W625" s="78"/>
      <c r="X625" s="78"/>
      <c r="Y625" s="78"/>
      <c r="Z625" s="78"/>
      <c r="AA625" s="78"/>
      <c r="AB625" s="78"/>
      <c r="AC625" s="78"/>
      <c r="AD625" s="78"/>
      <c r="AE625" s="78"/>
      <c r="AH625"/>
    </row>
    <row r="626" spans="8:34" s="23" customFormat="1" x14ac:dyDescent="0.25">
      <c r="H626" s="78"/>
      <c r="I626" s="78"/>
      <c r="J626" s="78"/>
      <c r="K626" s="78"/>
      <c r="L626" s="78"/>
      <c r="M626" s="78"/>
      <c r="N626" s="78"/>
      <c r="O626" s="78"/>
      <c r="P626" s="78"/>
      <c r="Q626" s="78"/>
      <c r="R626" s="78"/>
      <c r="S626" s="78"/>
      <c r="T626" s="78"/>
      <c r="U626" s="78"/>
      <c r="V626" s="78"/>
      <c r="W626" s="78"/>
      <c r="X626" s="78"/>
      <c r="Y626" s="78"/>
      <c r="Z626" s="78"/>
      <c r="AA626" s="78"/>
      <c r="AB626" s="78"/>
      <c r="AC626" s="78"/>
      <c r="AD626" s="78"/>
      <c r="AE626" s="78"/>
      <c r="AH626"/>
    </row>
    <row r="627" spans="8:34" s="23" customFormat="1" x14ac:dyDescent="0.25">
      <c r="H627" s="78"/>
      <c r="I627" s="78"/>
      <c r="J627" s="78"/>
      <c r="K627" s="78"/>
      <c r="L627" s="78"/>
      <c r="M627" s="78"/>
      <c r="N627" s="78"/>
      <c r="O627" s="78"/>
      <c r="P627" s="78"/>
      <c r="Q627" s="78"/>
      <c r="R627" s="78"/>
      <c r="S627" s="78"/>
      <c r="T627" s="78"/>
      <c r="U627" s="78"/>
      <c r="V627" s="78"/>
      <c r="W627" s="78"/>
      <c r="X627" s="78"/>
      <c r="Y627" s="78"/>
      <c r="Z627" s="78"/>
      <c r="AA627" s="78"/>
      <c r="AB627" s="78"/>
      <c r="AC627" s="78"/>
      <c r="AD627" s="78"/>
      <c r="AE627" s="78"/>
      <c r="AH627"/>
    </row>
    <row r="628" spans="8:34" s="23" customFormat="1" x14ac:dyDescent="0.25">
      <c r="H628" s="78"/>
      <c r="I628" s="78"/>
      <c r="J628" s="78"/>
      <c r="K628" s="78"/>
      <c r="L628" s="78"/>
      <c r="M628" s="78"/>
      <c r="N628" s="78"/>
      <c r="O628" s="78"/>
      <c r="P628" s="78"/>
      <c r="Q628" s="78"/>
      <c r="R628" s="78"/>
      <c r="S628" s="78"/>
      <c r="T628" s="78"/>
      <c r="U628" s="78"/>
      <c r="V628" s="78"/>
      <c r="W628" s="78"/>
      <c r="X628" s="78"/>
      <c r="Y628" s="78"/>
      <c r="Z628" s="78"/>
      <c r="AA628" s="78"/>
      <c r="AB628" s="78"/>
      <c r="AC628" s="78"/>
      <c r="AD628" s="78"/>
      <c r="AE628" s="78"/>
      <c r="AH628"/>
    </row>
    <row r="629" spans="8:34" s="23" customFormat="1" x14ac:dyDescent="0.25">
      <c r="H629" s="78"/>
      <c r="I629" s="78"/>
      <c r="J629" s="78"/>
      <c r="K629" s="78"/>
      <c r="L629" s="78"/>
      <c r="M629" s="78"/>
      <c r="N629" s="78"/>
      <c r="O629" s="78"/>
      <c r="P629" s="78"/>
      <c r="Q629" s="78"/>
      <c r="R629" s="78"/>
      <c r="S629" s="78"/>
      <c r="T629" s="78"/>
      <c r="U629" s="78"/>
      <c r="V629" s="78"/>
      <c r="W629" s="78"/>
      <c r="X629" s="78"/>
      <c r="Y629" s="78"/>
      <c r="Z629" s="78"/>
      <c r="AA629" s="78"/>
      <c r="AB629" s="78"/>
      <c r="AC629" s="78"/>
      <c r="AD629" s="78"/>
      <c r="AE629" s="78"/>
      <c r="AH629"/>
    </row>
    <row r="630" spans="8:34" s="23" customFormat="1" x14ac:dyDescent="0.25">
      <c r="H630" s="78"/>
      <c r="I630" s="78"/>
      <c r="J630" s="78"/>
      <c r="K630" s="78"/>
      <c r="L630" s="78"/>
      <c r="M630" s="78"/>
      <c r="N630" s="78"/>
      <c r="O630" s="78"/>
      <c r="P630" s="78"/>
      <c r="Q630" s="78"/>
      <c r="R630" s="78"/>
      <c r="S630" s="78"/>
      <c r="T630" s="78"/>
      <c r="U630" s="78"/>
      <c r="V630" s="78"/>
      <c r="W630" s="78"/>
      <c r="X630" s="78"/>
      <c r="Y630" s="78"/>
      <c r="Z630" s="78"/>
      <c r="AA630" s="78"/>
      <c r="AB630" s="78"/>
      <c r="AC630" s="78"/>
      <c r="AD630" s="78"/>
      <c r="AE630" s="78"/>
      <c r="AH630"/>
    </row>
    <row r="631" spans="8:34" s="23" customFormat="1" x14ac:dyDescent="0.25">
      <c r="H631" s="78"/>
      <c r="I631" s="78"/>
      <c r="J631" s="78"/>
      <c r="K631" s="78"/>
      <c r="L631" s="78"/>
      <c r="M631" s="78"/>
      <c r="N631" s="78"/>
      <c r="O631" s="78"/>
      <c r="P631" s="78"/>
      <c r="Q631" s="78"/>
      <c r="R631" s="78"/>
      <c r="S631" s="78"/>
      <c r="T631" s="78"/>
      <c r="U631" s="78"/>
      <c r="V631" s="78"/>
      <c r="W631" s="78"/>
      <c r="X631" s="78"/>
      <c r="Y631" s="78"/>
      <c r="Z631" s="78"/>
      <c r="AA631" s="78"/>
      <c r="AB631" s="78"/>
      <c r="AC631" s="78"/>
      <c r="AD631" s="78"/>
      <c r="AE631" s="78"/>
      <c r="AH631"/>
    </row>
    <row r="632" spans="8:34" s="23" customFormat="1" x14ac:dyDescent="0.25">
      <c r="H632" s="78"/>
      <c r="I632" s="78"/>
      <c r="J632" s="78"/>
      <c r="K632" s="78"/>
      <c r="L632" s="78"/>
      <c r="M632" s="78"/>
      <c r="N632" s="78"/>
      <c r="O632" s="78"/>
      <c r="P632" s="78"/>
      <c r="Q632" s="78"/>
      <c r="R632" s="78"/>
      <c r="S632" s="78"/>
      <c r="T632" s="78"/>
      <c r="U632" s="78"/>
      <c r="V632" s="78"/>
      <c r="W632" s="78"/>
      <c r="X632" s="78"/>
      <c r="Y632" s="78"/>
      <c r="Z632" s="78"/>
      <c r="AA632" s="78"/>
      <c r="AB632" s="78"/>
      <c r="AC632" s="78"/>
      <c r="AD632" s="78"/>
      <c r="AE632" s="78"/>
      <c r="AH632"/>
    </row>
    <row r="633" spans="8:34" s="23" customFormat="1" x14ac:dyDescent="0.25">
      <c r="H633" s="78"/>
      <c r="I633" s="78"/>
      <c r="J633" s="78"/>
      <c r="K633" s="78"/>
      <c r="L633" s="78"/>
      <c r="M633" s="78"/>
      <c r="N633" s="78"/>
      <c r="O633" s="78"/>
      <c r="P633" s="78"/>
      <c r="Q633" s="78"/>
      <c r="R633" s="78"/>
      <c r="S633" s="78"/>
      <c r="T633" s="78"/>
      <c r="U633" s="78"/>
      <c r="V633" s="78"/>
      <c r="W633" s="78"/>
      <c r="X633" s="78"/>
      <c r="Y633" s="78"/>
      <c r="Z633" s="78"/>
      <c r="AA633" s="78"/>
      <c r="AB633" s="78"/>
      <c r="AC633" s="78"/>
      <c r="AD633" s="78"/>
      <c r="AE633" s="78"/>
      <c r="AH633"/>
    </row>
    <row r="634" spans="8:34" s="23" customFormat="1" x14ac:dyDescent="0.25">
      <c r="H634" s="78"/>
      <c r="I634" s="78"/>
      <c r="J634" s="78"/>
      <c r="K634" s="78"/>
      <c r="L634" s="78"/>
      <c r="M634" s="78"/>
      <c r="N634" s="78"/>
      <c r="O634" s="78"/>
      <c r="P634" s="78"/>
      <c r="Q634" s="78"/>
      <c r="R634" s="78"/>
      <c r="S634" s="78"/>
      <c r="T634" s="78"/>
      <c r="U634" s="78"/>
      <c r="V634" s="78"/>
      <c r="W634" s="78"/>
      <c r="X634" s="78"/>
      <c r="Y634" s="78"/>
      <c r="Z634" s="78"/>
      <c r="AA634" s="78"/>
      <c r="AB634" s="78"/>
      <c r="AC634" s="78"/>
      <c r="AD634" s="78"/>
      <c r="AE634" s="78"/>
      <c r="AH634"/>
    </row>
    <row r="635" spans="8:34" s="23" customFormat="1" x14ac:dyDescent="0.25">
      <c r="H635" s="78"/>
      <c r="I635" s="78"/>
      <c r="J635" s="78"/>
      <c r="K635" s="78"/>
      <c r="L635" s="78"/>
      <c r="M635" s="78"/>
      <c r="N635" s="78"/>
      <c r="O635" s="78"/>
      <c r="P635" s="78"/>
      <c r="Q635" s="78"/>
      <c r="R635" s="78"/>
      <c r="S635" s="78"/>
      <c r="T635" s="78"/>
      <c r="U635" s="78"/>
      <c r="V635" s="78"/>
      <c r="W635" s="78"/>
      <c r="X635" s="78"/>
      <c r="Y635" s="78"/>
      <c r="Z635" s="78"/>
      <c r="AA635" s="78"/>
      <c r="AB635" s="78"/>
      <c r="AC635" s="78"/>
      <c r="AD635" s="78"/>
      <c r="AE635" s="78"/>
      <c r="AH635"/>
    </row>
    <row r="636" spans="8:34" s="23" customFormat="1" x14ac:dyDescent="0.25">
      <c r="H636" s="78"/>
      <c r="I636" s="78"/>
      <c r="J636" s="78"/>
      <c r="K636" s="78"/>
      <c r="L636" s="78"/>
      <c r="M636" s="78"/>
      <c r="N636" s="78"/>
      <c r="O636" s="78"/>
      <c r="P636" s="78"/>
      <c r="Q636" s="78"/>
      <c r="R636" s="78"/>
      <c r="S636" s="78"/>
      <c r="T636" s="78"/>
      <c r="U636" s="78"/>
      <c r="V636" s="78"/>
      <c r="W636" s="78"/>
      <c r="X636" s="78"/>
      <c r="Y636" s="78"/>
      <c r="Z636" s="78"/>
      <c r="AA636" s="78"/>
      <c r="AB636" s="78"/>
      <c r="AC636" s="78"/>
      <c r="AD636" s="78"/>
      <c r="AE636" s="78"/>
      <c r="AH636"/>
    </row>
    <row r="637" spans="8:34" s="23" customFormat="1" x14ac:dyDescent="0.25">
      <c r="H637" s="78"/>
      <c r="I637" s="78"/>
      <c r="J637" s="78"/>
      <c r="K637" s="78"/>
      <c r="L637" s="78"/>
      <c r="M637" s="78"/>
      <c r="N637" s="78"/>
      <c r="O637" s="78"/>
      <c r="P637" s="78"/>
      <c r="Q637" s="78"/>
      <c r="R637" s="78"/>
      <c r="S637" s="78"/>
      <c r="T637" s="78"/>
      <c r="U637" s="78"/>
      <c r="V637" s="78"/>
      <c r="W637" s="78"/>
      <c r="X637" s="78"/>
      <c r="Y637" s="78"/>
      <c r="Z637" s="78"/>
      <c r="AA637" s="78"/>
      <c r="AB637" s="78"/>
      <c r="AC637" s="78"/>
      <c r="AD637" s="78"/>
      <c r="AE637" s="78"/>
      <c r="AH637"/>
    </row>
    <row r="638" spans="8:34" s="23" customFormat="1" x14ac:dyDescent="0.25">
      <c r="H638" s="78"/>
      <c r="I638" s="78"/>
      <c r="J638" s="78"/>
      <c r="K638" s="78"/>
      <c r="L638" s="78"/>
      <c r="M638" s="78"/>
      <c r="N638" s="78"/>
      <c r="O638" s="78"/>
      <c r="P638" s="78"/>
      <c r="Q638" s="78"/>
      <c r="R638" s="78"/>
      <c r="S638" s="78"/>
      <c r="T638" s="78"/>
      <c r="U638" s="78"/>
      <c r="V638" s="78"/>
      <c r="W638" s="78"/>
      <c r="X638" s="78"/>
      <c r="Y638" s="78"/>
      <c r="Z638" s="78"/>
      <c r="AA638" s="78"/>
      <c r="AB638" s="78"/>
      <c r="AC638" s="78"/>
      <c r="AD638" s="78"/>
      <c r="AE638" s="78"/>
      <c r="AH638"/>
    </row>
    <row r="639" spans="8:34" s="23" customFormat="1" x14ac:dyDescent="0.25">
      <c r="H639" s="78"/>
      <c r="I639" s="78"/>
      <c r="J639" s="78"/>
      <c r="K639" s="78"/>
      <c r="L639" s="78"/>
      <c r="M639" s="78"/>
      <c r="N639" s="78"/>
      <c r="O639" s="78"/>
      <c r="P639" s="78"/>
      <c r="Q639" s="78"/>
      <c r="R639" s="78"/>
      <c r="S639" s="78"/>
      <c r="T639" s="78"/>
      <c r="U639" s="78"/>
      <c r="V639" s="78"/>
      <c r="W639" s="78"/>
      <c r="X639" s="78"/>
      <c r="Y639" s="78"/>
      <c r="Z639" s="78"/>
      <c r="AA639" s="78"/>
      <c r="AB639" s="78"/>
      <c r="AC639" s="78"/>
      <c r="AD639" s="78"/>
      <c r="AE639" s="78"/>
      <c r="AH639"/>
    </row>
    <row r="640" spans="8:34" s="23" customFormat="1" x14ac:dyDescent="0.25">
      <c r="H640" s="78"/>
      <c r="I640" s="78"/>
      <c r="J640" s="78"/>
      <c r="K640" s="78"/>
      <c r="L640" s="78"/>
      <c r="M640" s="78"/>
      <c r="N640" s="78"/>
      <c r="O640" s="78"/>
      <c r="P640" s="78"/>
      <c r="Q640" s="78"/>
      <c r="R640" s="78"/>
      <c r="S640" s="78"/>
      <c r="T640" s="78"/>
      <c r="U640" s="78"/>
      <c r="V640" s="78"/>
      <c r="W640" s="78"/>
      <c r="X640" s="78"/>
      <c r="Y640" s="78"/>
      <c r="Z640" s="78"/>
      <c r="AA640" s="78"/>
      <c r="AB640" s="78"/>
      <c r="AC640" s="78"/>
      <c r="AD640" s="78"/>
      <c r="AE640" s="78"/>
      <c r="AH640"/>
    </row>
    <row r="641" spans="8:34" s="23" customFormat="1" x14ac:dyDescent="0.25">
      <c r="H641" s="78"/>
      <c r="I641" s="78"/>
      <c r="J641" s="78"/>
      <c r="K641" s="78"/>
      <c r="L641" s="78"/>
      <c r="M641" s="78"/>
      <c r="N641" s="78"/>
      <c r="O641" s="78"/>
      <c r="P641" s="78"/>
      <c r="Q641" s="78"/>
      <c r="R641" s="78"/>
      <c r="S641" s="78"/>
      <c r="T641" s="78"/>
      <c r="U641" s="78"/>
      <c r="V641" s="78"/>
      <c r="W641" s="78"/>
      <c r="X641" s="78"/>
      <c r="Y641" s="78"/>
      <c r="Z641" s="78"/>
      <c r="AA641" s="78"/>
      <c r="AB641" s="78"/>
      <c r="AC641" s="78"/>
      <c r="AD641" s="78"/>
      <c r="AE641" s="78"/>
      <c r="AH641"/>
    </row>
    <row r="642" spans="8:34" s="23" customFormat="1" x14ac:dyDescent="0.25">
      <c r="H642" s="78"/>
      <c r="I642" s="78"/>
      <c r="J642" s="78"/>
      <c r="K642" s="78"/>
      <c r="L642" s="78"/>
      <c r="M642" s="78"/>
      <c r="N642" s="78"/>
      <c r="O642" s="78"/>
      <c r="P642" s="78"/>
      <c r="Q642" s="78"/>
      <c r="R642" s="78"/>
      <c r="S642" s="78"/>
      <c r="T642" s="78"/>
      <c r="U642" s="78"/>
      <c r="V642" s="78"/>
      <c r="W642" s="78"/>
      <c r="X642" s="78"/>
      <c r="Y642" s="78"/>
      <c r="Z642" s="78"/>
      <c r="AA642" s="78"/>
      <c r="AB642" s="78"/>
      <c r="AC642" s="78"/>
      <c r="AD642" s="78"/>
      <c r="AE642" s="78"/>
      <c r="AH642"/>
    </row>
    <row r="643" spans="8:34" s="23" customFormat="1" x14ac:dyDescent="0.25">
      <c r="H643" s="78"/>
      <c r="I643" s="78"/>
      <c r="J643" s="78"/>
      <c r="K643" s="78"/>
      <c r="L643" s="78"/>
      <c r="M643" s="78"/>
      <c r="N643" s="78"/>
      <c r="O643" s="78"/>
      <c r="P643" s="78"/>
      <c r="Q643" s="78"/>
      <c r="R643" s="78"/>
      <c r="S643" s="78"/>
      <c r="T643" s="78"/>
      <c r="U643" s="78"/>
      <c r="V643" s="78"/>
      <c r="W643" s="78"/>
      <c r="X643" s="78"/>
      <c r="Y643" s="78"/>
      <c r="Z643" s="78"/>
      <c r="AA643" s="78"/>
      <c r="AB643" s="78"/>
      <c r="AC643" s="78"/>
      <c r="AD643" s="78"/>
      <c r="AE643" s="78"/>
      <c r="AH643"/>
    </row>
    <row r="644" spans="8:34" s="23" customFormat="1" x14ac:dyDescent="0.25">
      <c r="H644" s="78"/>
      <c r="I644" s="78"/>
      <c r="J644" s="78"/>
      <c r="K644" s="78"/>
      <c r="L644" s="78"/>
      <c r="M644" s="78"/>
      <c r="N644" s="78"/>
      <c r="O644" s="78"/>
      <c r="P644" s="78"/>
      <c r="Q644" s="78"/>
      <c r="R644" s="78"/>
      <c r="S644" s="78"/>
      <c r="T644" s="78"/>
      <c r="U644" s="78"/>
      <c r="V644" s="78"/>
      <c r="W644" s="78"/>
      <c r="X644" s="78"/>
      <c r="Y644" s="78"/>
      <c r="Z644" s="78"/>
      <c r="AA644" s="78"/>
      <c r="AB644" s="78"/>
      <c r="AC644" s="78"/>
      <c r="AD644" s="78"/>
      <c r="AE644" s="78"/>
      <c r="AH644"/>
    </row>
    <row r="645" spans="8:34" s="23" customFormat="1" x14ac:dyDescent="0.25">
      <c r="H645" s="78"/>
      <c r="I645" s="78"/>
      <c r="J645" s="78"/>
      <c r="K645" s="78"/>
      <c r="L645" s="78"/>
      <c r="M645" s="78"/>
      <c r="N645" s="78"/>
      <c r="O645" s="78"/>
      <c r="P645" s="78"/>
      <c r="Q645" s="78"/>
      <c r="R645" s="78"/>
      <c r="S645" s="78"/>
      <c r="T645" s="78"/>
      <c r="U645" s="78"/>
      <c r="V645" s="78"/>
      <c r="W645" s="78"/>
      <c r="X645" s="78"/>
      <c r="Y645" s="78"/>
      <c r="Z645" s="78"/>
      <c r="AA645" s="78"/>
      <c r="AB645" s="78"/>
      <c r="AC645" s="78"/>
      <c r="AD645" s="78"/>
      <c r="AE645" s="78"/>
      <c r="AH645"/>
    </row>
    <row r="646" spans="8:34" s="23" customFormat="1" x14ac:dyDescent="0.25">
      <c r="H646" s="78"/>
      <c r="I646" s="78"/>
      <c r="J646" s="78"/>
      <c r="K646" s="78"/>
      <c r="L646" s="78"/>
      <c r="M646" s="78"/>
      <c r="N646" s="78"/>
      <c r="O646" s="78"/>
      <c r="P646" s="78"/>
      <c r="Q646" s="78"/>
      <c r="R646" s="78"/>
      <c r="S646" s="78"/>
      <c r="T646" s="78"/>
      <c r="U646" s="78"/>
      <c r="V646" s="78"/>
      <c r="W646" s="78"/>
      <c r="X646" s="78"/>
      <c r="Y646" s="78"/>
      <c r="Z646" s="78"/>
      <c r="AA646" s="78"/>
      <c r="AB646" s="78"/>
      <c r="AC646" s="78"/>
      <c r="AD646" s="78"/>
      <c r="AE646" s="78"/>
      <c r="AH646"/>
    </row>
    <row r="647" spans="8:34" s="23" customFormat="1" x14ac:dyDescent="0.25">
      <c r="H647" s="78"/>
      <c r="I647" s="78"/>
      <c r="J647" s="78"/>
      <c r="K647" s="78"/>
      <c r="L647" s="78"/>
      <c r="M647" s="78"/>
      <c r="N647" s="78"/>
      <c r="O647" s="78"/>
      <c r="P647" s="78"/>
      <c r="Q647" s="78"/>
      <c r="R647" s="78"/>
      <c r="S647" s="78"/>
      <c r="T647" s="78"/>
      <c r="U647" s="78"/>
      <c r="V647" s="78"/>
      <c r="W647" s="78"/>
      <c r="X647" s="78"/>
      <c r="Y647" s="78"/>
      <c r="Z647" s="78"/>
      <c r="AA647" s="78"/>
      <c r="AB647" s="78"/>
      <c r="AC647" s="78"/>
      <c r="AD647" s="78"/>
      <c r="AE647" s="78"/>
      <c r="AH647"/>
    </row>
    <row r="648" spans="8:34" s="23" customFormat="1" x14ac:dyDescent="0.25">
      <c r="H648" s="78"/>
      <c r="I648" s="78"/>
      <c r="J648" s="78"/>
      <c r="K648" s="78"/>
      <c r="L648" s="78"/>
      <c r="M648" s="78"/>
      <c r="N648" s="78"/>
      <c r="O648" s="78"/>
      <c r="P648" s="78"/>
      <c r="Q648" s="78"/>
      <c r="R648" s="78"/>
      <c r="S648" s="78"/>
      <c r="T648" s="78"/>
      <c r="U648" s="78"/>
      <c r="V648" s="78"/>
      <c r="W648" s="78"/>
      <c r="X648" s="78"/>
      <c r="Y648" s="78"/>
      <c r="Z648" s="78"/>
      <c r="AA648" s="78"/>
      <c r="AB648" s="78"/>
      <c r="AC648" s="78"/>
      <c r="AD648" s="78"/>
      <c r="AE648" s="78"/>
      <c r="AH648"/>
    </row>
    <row r="649" spans="8:34" s="23" customFormat="1" x14ac:dyDescent="0.25">
      <c r="H649" s="78"/>
      <c r="I649" s="78"/>
      <c r="J649" s="78"/>
      <c r="K649" s="78"/>
      <c r="L649" s="78"/>
      <c r="M649" s="78"/>
      <c r="N649" s="78"/>
      <c r="O649" s="78"/>
      <c r="P649" s="78"/>
      <c r="Q649" s="78"/>
      <c r="R649" s="78"/>
      <c r="S649" s="78"/>
      <c r="T649" s="78"/>
      <c r="U649" s="78"/>
      <c r="V649" s="78"/>
      <c r="W649" s="78"/>
      <c r="X649" s="78"/>
      <c r="Y649" s="78"/>
      <c r="Z649" s="78"/>
      <c r="AA649" s="78"/>
      <c r="AB649" s="78"/>
      <c r="AC649" s="78"/>
      <c r="AD649" s="78"/>
      <c r="AE649" s="78"/>
      <c r="AH649"/>
    </row>
    <row r="650" spans="8:34" s="23" customFormat="1" x14ac:dyDescent="0.25">
      <c r="H650" s="78"/>
      <c r="I650" s="78"/>
      <c r="J650" s="78"/>
      <c r="K650" s="78"/>
      <c r="L650" s="78"/>
      <c r="M650" s="78"/>
      <c r="N650" s="78"/>
      <c r="O650" s="78"/>
      <c r="P650" s="78"/>
      <c r="Q650" s="78"/>
      <c r="R650" s="78"/>
      <c r="S650" s="78"/>
      <c r="T650" s="78"/>
      <c r="U650" s="78"/>
      <c r="V650" s="78"/>
      <c r="W650" s="78"/>
      <c r="X650" s="78"/>
      <c r="Y650" s="78"/>
      <c r="Z650" s="78"/>
      <c r="AA650" s="78"/>
      <c r="AB650" s="78"/>
      <c r="AC650" s="78"/>
      <c r="AD650" s="78"/>
      <c r="AE650" s="78"/>
      <c r="AH650"/>
    </row>
    <row r="651" spans="8:34" s="23" customFormat="1" x14ac:dyDescent="0.25">
      <c r="H651" s="78"/>
      <c r="I651" s="78"/>
      <c r="J651" s="78"/>
      <c r="K651" s="78"/>
      <c r="L651" s="78"/>
      <c r="M651" s="78"/>
      <c r="N651" s="78"/>
      <c r="O651" s="78"/>
      <c r="P651" s="78"/>
      <c r="Q651" s="78"/>
      <c r="R651" s="78"/>
      <c r="S651" s="78"/>
      <c r="T651" s="78"/>
      <c r="U651" s="78"/>
      <c r="V651" s="78"/>
      <c r="W651" s="78"/>
      <c r="X651" s="78"/>
      <c r="Y651" s="78"/>
      <c r="Z651" s="78"/>
      <c r="AA651" s="78"/>
      <c r="AB651" s="78"/>
      <c r="AC651" s="78"/>
      <c r="AD651" s="78"/>
      <c r="AE651" s="78"/>
      <c r="AH651"/>
    </row>
    <row r="652" spans="8:34" s="23" customFormat="1" x14ac:dyDescent="0.25">
      <c r="H652" s="78"/>
      <c r="I652" s="78"/>
      <c r="J652" s="78"/>
      <c r="K652" s="78"/>
      <c r="L652" s="78"/>
      <c r="M652" s="78"/>
      <c r="N652" s="78"/>
      <c r="O652" s="78"/>
      <c r="P652" s="78"/>
      <c r="Q652" s="78"/>
      <c r="R652" s="78"/>
      <c r="S652" s="78"/>
      <c r="T652" s="78"/>
      <c r="U652" s="78"/>
      <c r="V652" s="78"/>
      <c r="W652" s="78"/>
      <c r="X652" s="78"/>
      <c r="Y652" s="78"/>
      <c r="Z652" s="78"/>
      <c r="AA652" s="78"/>
      <c r="AB652" s="78"/>
      <c r="AC652" s="78"/>
      <c r="AD652" s="78"/>
      <c r="AE652" s="78"/>
      <c r="AH652"/>
    </row>
    <row r="653" spans="8:34" s="23" customFormat="1" x14ac:dyDescent="0.25">
      <c r="H653" s="78"/>
      <c r="I653" s="78"/>
      <c r="J653" s="78"/>
      <c r="K653" s="78"/>
      <c r="L653" s="78"/>
      <c r="M653" s="78"/>
      <c r="N653" s="78"/>
      <c r="O653" s="78"/>
      <c r="P653" s="78"/>
      <c r="Q653" s="78"/>
      <c r="R653" s="78"/>
      <c r="S653" s="78"/>
      <c r="T653" s="78"/>
      <c r="U653" s="78"/>
      <c r="V653" s="78"/>
      <c r="W653" s="78"/>
      <c r="X653" s="78"/>
      <c r="Y653" s="78"/>
      <c r="Z653" s="78"/>
      <c r="AA653" s="78"/>
      <c r="AB653" s="78"/>
      <c r="AC653" s="78"/>
      <c r="AD653" s="78"/>
      <c r="AE653" s="78"/>
      <c r="AH653"/>
    </row>
    <row r="654" spans="8:34" s="23" customFormat="1" x14ac:dyDescent="0.25">
      <c r="H654" s="78"/>
      <c r="I654" s="78"/>
      <c r="J654" s="78"/>
      <c r="K654" s="78"/>
      <c r="L654" s="78"/>
      <c r="M654" s="78"/>
      <c r="N654" s="78"/>
      <c r="O654" s="78"/>
      <c r="P654" s="78"/>
      <c r="Q654" s="78"/>
      <c r="R654" s="78"/>
      <c r="S654" s="78"/>
      <c r="T654" s="78"/>
      <c r="U654" s="78"/>
      <c r="V654" s="78"/>
      <c r="W654" s="78"/>
      <c r="X654" s="78"/>
      <c r="Y654" s="78"/>
      <c r="Z654" s="78"/>
      <c r="AA654" s="78"/>
      <c r="AB654" s="78"/>
      <c r="AC654" s="78"/>
      <c r="AD654" s="78"/>
      <c r="AE654" s="78"/>
      <c r="AH654"/>
    </row>
    <row r="655" spans="8:34" s="23" customFormat="1" x14ac:dyDescent="0.25">
      <c r="H655" s="78"/>
      <c r="I655" s="78"/>
      <c r="J655" s="78"/>
      <c r="K655" s="78"/>
      <c r="L655" s="78"/>
      <c r="M655" s="78"/>
      <c r="N655" s="78"/>
      <c r="O655" s="78"/>
      <c r="P655" s="78"/>
      <c r="Q655" s="78"/>
      <c r="R655" s="78"/>
      <c r="S655" s="78"/>
      <c r="T655" s="78"/>
      <c r="U655" s="78"/>
      <c r="V655" s="78"/>
      <c r="W655" s="78"/>
      <c r="X655" s="78"/>
      <c r="Y655" s="78"/>
      <c r="Z655" s="78"/>
      <c r="AA655" s="78"/>
      <c r="AB655" s="78"/>
      <c r="AC655" s="78"/>
      <c r="AD655" s="78"/>
      <c r="AE655" s="78"/>
      <c r="AH655"/>
    </row>
    <row r="656" spans="8:34" s="23" customFormat="1" x14ac:dyDescent="0.25">
      <c r="H656" s="78"/>
      <c r="I656" s="78"/>
      <c r="J656" s="78"/>
      <c r="K656" s="78"/>
      <c r="L656" s="78"/>
      <c r="M656" s="78"/>
      <c r="N656" s="78"/>
      <c r="O656" s="78"/>
      <c r="P656" s="78"/>
      <c r="Q656" s="78"/>
      <c r="R656" s="78"/>
      <c r="S656" s="78"/>
      <c r="T656" s="78"/>
      <c r="U656" s="78"/>
      <c r="V656" s="78"/>
      <c r="W656" s="78"/>
      <c r="X656" s="78"/>
      <c r="Y656" s="78"/>
      <c r="Z656" s="78"/>
      <c r="AA656" s="78"/>
      <c r="AB656" s="78"/>
      <c r="AC656" s="78"/>
      <c r="AD656" s="78"/>
      <c r="AE656" s="78"/>
      <c r="AH656"/>
    </row>
    <row r="657" spans="5:93" s="23" customFormat="1" x14ac:dyDescent="0.25">
      <c r="H657" s="78"/>
      <c r="I657" s="78"/>
      <c r="J657" s="78"/>
      <c r="K657" s="78"/>
      <c r="L657" s="78"/>
      <c r="M657" s="78"/>
      <c r="N657" s="78"/>
      <c r="O657" s="78"/>
      <c r="P657" s="78"/>
      <c r="Q657" s="78"/>
      <c r="R657" s="78"/>
      <c r="S657" s="78"/>
      <c r="T657" s="78"/>
      <c r="U657" s="78"/>
      <c r="V657" s="78"/>
      <c r="W657" s="78"/>
      <c r="X657" s="78"/>
      <c r="Y657" s="78"/>
      <c r="Z657" s="78"/>
      <c r="AA657" s="78"/>
      <c r="AB657" s="78"/>
      <c r="AC657" s="78"/>
      <c r="AD657" s="78"/>
      <c r="AE657" s="78"/>
      <c r="AH657"/>
    </row>
    <row r="658" spans="5:93" s="23" customFormat="1" x14ac:dyDescent="0.25">
      <c r="H658" s="78"/>
      <c r="I658" s="78"/>
      <c r="J658" s="78"/>
      <c r="K658" s="78"/>
      <c r="L658" s="78"/>
      <c r="M658" s="78"/>
      <c r="N658" s="78"/>
      <c r="O658" s="78"/>
      <c r="P658" s="78"/>
      <c r="Q658" s="78"/>
      <c r="R658" s="78"/>
      <c r="S658" s="78"/>
      <c r="T658" s="78"/>
      <c r="U658" s="78"/>
      <c r="V658" s="78"/>
      <c r="W658" s="78"/>
      <c r="X658" s="78"/>
      <c r="Y658" s="78"/>
      <c r="Z658" s="78"/>
      <c r="AA658" s="78"/>
      <c r="AB658" s="78"/>
      <c r="AC658" s="78"/>
      <c r="AD658" s="78"/>
      <c r="AE658" s="78"/>
      <c r="AH658"/>
    </row>
    <row r="659" spans="5:93" s="23" customFormat="1" x14ac:dyDescent="0.25">
      <c r="H659" s="78"/>
      <c r="I659" s="78"/>
      <c r="J659" s="78"/>
      <c r="K659" s="78"/>
      <c r="L659" s="78"/>
      <c r="M659" s="78"/>
      <c r="N659" s="78"/>
      <c r="O659" s="78"/>
      <c r="P659" s="78"/>
      <c r="Q659" s="78"/>
      <c r="R659" s="78"/>
      <c r="S659" s="78"/>
      <c r="T659" s="78"/>
      <c r="U659" s="78"/>
      <c r="V659" s="78"/>
      <c r="W659" s="78"/>
      <c r="X659" s="78"/>
      <c r="Y659" s="78"/>
      <c r="Z659" s="78"/>
      <c r="AA659" s="78"/>
      <c r="AB659" s="78"/>
      <c r="AC659" s="78"/>
      <c r="AD659" s="78"/>
      <c r="AE659" s="78"/>
      <c r="AH659"/>
    </row>
    <row r="660" spans="5:93" s="23" customFormat="1" x14ac:dyDescent="0.25">
      <c r="H660" s="78"/>
      <c r="I660" s="78"/>
      <c r="J660" s="78"/>
      <c r="K660" s="78"/>
      <c r="L660" s="78"/>
      <c r="M660" s="78"/>
      <c r="N660" s="78"/>
      <c r="O660" s="78"/>
      <c r="P660" s="78"/>
      <c r="Q660" s="78"/>
      <c r="R660" s="78"/>
      <c r="S660" s="78"/>
      <c r="T660" s="78"/>
      <c r="U660" s="78"/>
      <c r="V660" s="78"/>
      <c r="W660" s="78"/>
      <c r="X660" s="78"/>
      <c r="Y660" s="78"/>
      <c r="Z660" s="78"/>
      <c r="AA660" s="78"/>
      <c r="AB660" s="78"/>
      <c r="AC660" s="78"/>
      <c r="AD660" s="78"/>
      <c r="AE660" s="78"/>
      <c r="AH660"/>
    </row>
    <row r="661" spans="5:93" s="23" customFormat="1" x14ac:dyDescent="0.25">
      <c r="H661" s="78"/>
      <c r="I661" s="78"/>
      <c r="J661" s="78"/>
      <c r="K661" s="78"/>
      <c r="L661" s="78"/>
      <c r="M661" s="78"/>
      <c r="N661" s="78"/>
      <c r="O661" s="78"/>
      <c r="P661" s="78"/>
      <c r="Q661" s="78"/>
      <c r="R661" s="78"/>
      <c r="S661" s="78"/>
      <c r="T661" s="78"/>
      <c r="U661" s="78"/>
      <c r="V661" s="78"/>
      <c r="W661" s="78"/>
      <c r="X661" s="78"/>
      <c r="Y661" s="78"/>
      <c r="Z661" s="78"/>
      <c r="AA661" s="78"/>
      <c r="AB661" s="78"/>
      <c r="AC661" s="78"/>
      <c r="AD661" s="78"/>
      <c r="AE661" s="78"/>
      <c r="AH661"/>
    </row>
    <row r="662" spans="5:93" s="23" customFormat="1" x14ac:dyDescent="0.25">
      <c r="H662" s="78"/>
      <c r="I662" s="78"/>
      <c r="J662" s="78"/>
      <c r="K662" s="78"/>
      <c r="L662" s="78"/>
      <c r="M662" s="78"/>
      <c r="N662" s="78"/>
      <c r="O662" s="78"/>
      <c r="P662" s="78"/>
      <c r="Q662" s="78"/>
      <c r="R662" s="78"/>
      <c r="S662" s="78"/>
      <c r="T662" s="78"/>
      <c r="U662" s="78"/>
      <c r="V662" s="78"/>
      <c r="W662" s="78"/>
      <c r="X662" s="78"/>
      <c r="Y662" s="78"/>
      <c r="Z662" s="78"/>
      <c r="AA662" s="78"/>
      <c r="AB662" s="78"/>
      <c r="AC662" s="78"/>
      <c r="AD662" s="78"/>
      <c r="AE662" s="78"/>
      <c r="AH662"/>
    </row>
    <row r="663" spans="5:93" s="23" customFormat="1" x14ac:dyDescent="0.25">
      <c r="H663" s="78"/>
      <c r="I663" s="78"/>
      <c r="J663" s="78"/>
      <c r="K663" s="78"/>
      <c r="L663" s="78"/>
      <c r="M663" s="78"/>
      <c r="N663" s="78"/>
      <c r="O663" s="78"/>
      <c r="P663" s="78"/>
      <c r="Q663" s="78"/>
      <c r="R663" s="78"/>
      <c r="S663" s="78"/>
      <c r="T663" s="78"/>
      <c r="U663" s="78"/>
      <c r="V663" s="78"/>
      <c r="W663" s="78"/>
      <c r="X663" s="78"/>
      <c r="Y663" s="78"/>
      <c r="Z663" s="78"/>
      <c r="AA663" s="78"/>
      <c r="AB663" s="78"/>
      <c r="AC663" s="78"/>
      <c r="AD663" s="78"/>
      <c r="AE663" s="78"/>
      <c r="AH663"/>
    </row>
    <row r="664" spans="5:93" s="24" customFormat="1" x14ac:dyDescent="0.25">
      <c r="E664" s="51"/>
      <c r="G664" s="51"/>
      <c r="H664" s="25"/>
      <c r="I664" s="25"/>
      <c r="J664" s="25"/>
      <c r="K664" s="25"/>
      <c r="L664" s="25"/>
      <c r="M664" s="25"/>
      <c r="N664" s="25"/>
      <c r="O664" s="25"/>
      <c r="P664" s="25"/>
      <c r="Q664" s="25"/>
      <c r="R664" s="25"/>
      <c r="S664" s="25"/>
      <c r="T664" s="25"/>
      <c r="U664" s="25"/>
      <c r="V664" s="25"/>
      <c r="W664" s="25"/>
      <c r="X664" s="25"/>
      <c r="Y664" s="25"/>
      <c r="Z664" s="25"/>
      <c r="AA664" s="25"/>
      <c r="AB664" s="25"/>
      <c r="AC664" s="25"/>
      <c r="AD664" s="25"/>
      <c r="AE664" s="25"/>
      <c r="AH664"/>
      <c r="AI664" s="23"/>
      <c r="AJ664" s="23"/>
      <c r="AK664" s="23"/>
      <c r="AL664" s="23"/>
      <c r="AM664" s="23"/>
      <c r="AN664" s="23"/>
      <c r="AO664" s="23"/>
      <c r="AP664" s="23"/>
      <c r="AQ664" s="23"/>
      <c r="AR664" s="23"/>
      <c r="AS664" s="23"/>
      <c r="AT664" s="23"/>
      <c r="AU664" s="23"/>
      <c r="AV664" s="23"/>
      <c r="AW664" s="23"/>
      <c r="AX664" s="23"/>
      <c r="AY664" s="23"/>
      <c r="AZ664" s="23"/>
      <c r="BA664" s="23"/>
      <c r="BB664" s="23"/>
      <c r="BC664" s="23"/>
      <c r="BD664" s="23"/>
      <c r="BE664" s="23"/>
      <c r="BF664" s="23"/>
      <c r="BG664" s="23"/>
      <c r="BH664" s="23"/>
      <c r="BI664" s="23"/>
      <c r="BJ664" s="23"/>
      <c r="BK664" s="23"/>
      <c r="BL664" s="23"/>
      <c r="BM664" s="23"/>
      <c r="BN664" s="23"/>
      <c r="BO664" s="23"/>
      <c r="BP664" s="23"/>
      <c r="BQ664" s="23"/>
      <c r="BR664" s="23"/>
      <c r="BS664" s="23"/>
      <c r="BT664" s="23"/>
      <c r="BU664" s="23"/>
      <c r="BV664" s="23"/>
      <c r="BW664" s="23"/>
      <c r="BX664" s="23"/>
      <c r="BY664" s="23"/>
      <c r="BZ664" s="23"/>
      <c r="CA664" s="23"/>
      <c r="CB664" s="23"/>
      <c r="CC664" s="23"/>
      <c r="CD664" s="23"/>
      <c r="CE664" s="23"/>
      <c r="CF664" s="23"/>
      <c r="CG664" s="23"/>
      <c r="CH664" s="23"/>
      <c r="CI664" s="23"/>
      <c r="CJ664" s="23"/>
      <c r="CK664" s="23"/>
      <c r="CL664" s="23"/>
      <c r="CM664" s="23"/>
      <c r="CN664" s="23"/>
      <c r="CO664" s="23"/>
    </row>
    <row r="665" spans="5:93" s="24" customFormat="1" x14ac:dyDescent="0.25">
      <c r="E665" s="42"/>
      <c r="G665" s="42"/>
      <c r="H665" s="25"/>
      <c r="I665" s="25"/>
      <c r="J665" s="25"/>
      <c r="K665" s="25"/>
      <c r="L665" s="25"/>
      <c r="M665" s="25"/>
      <c r="N665" s="25"/>
      <c r="O665" s="25"/>
      <c r="P665" s="25"/>
      <c r="Q665" s="25"/>
      <c r="R665" s="25"/>
      <c r="S665" s="25"/>
      <c r="T665" s="25"/>
      <c r="U665" s="25"/>
      <c r="V665" s="25"/>
      <c r="W665" s="25"/>
      <c r="X665" s="25"/>
      <c r="Y665" s="25"/>
      <c r="Z665" s="25"/>
      <c r="AA665" s="25"/>
      <c r="AB665" s="25"/>
      <c r="AC665" s="25"/>
      <c r="AD665" s="25"/>
      <c r="AE665" s="25"/>
      <c r="AH665"/>
      <c r="AI665" s="23"/>
      <c r="AJ665" s="23"/>
      <c r="AK665" s="23"/>
      <c r="AL665" s="23"/>
      <c r="AM665" s="23"/>
      <c r="AN665" s="23"/>
      <c r="AO665" s="23"/>
      <c r="AP665" s="23"/>
      <c r="AQ665" s="23"/>
      <c r="AR665" s="23"/>
      <c r="AS665" s="23"/>
      <c r="AT665" s="23"/>
      <c r="AU665" s="23"/>
      <c r="AV665" s="23"/>
      <c r="AW665" s="23"/>
      <c r="AX665" s="23"/>
      <c r="AY665" s="23"/>
      <c r="AZ665" s="23"/>
      <c r="BA665" s="23"/>
      <c r="BB665" s="23"/>
      <c r="BC665" s="23"/>
      <c r="BD665" s="23"/>
      <c r="BE665" s="23"/>
      <c r="BF665" s="23"/>
      <c r="BG665" s="23"/>
      <c r="BH665" s="23"/>
      <c r="BI665" s="23"/>
      <c r="BJ665" s="23"/>
      <c r="BK665" s="23"/>
      <c r="BL665" s="23"/>
      <c r="BM665" s="23"/>
      <c r="BN665" s="23"/>
      <c r="BO665" s="23"/>
      <c r="BP665" s="23"/>
      <c r="BQ665" s="23"/>
      <c r="BR665" s="23"/>
      <c r="BS665" s="23"/>
      <c r="BT665" s="23"/>
      <c r="BU665" s="23"/>
      <c r="BV665" s="23"/>
      <c r="BW665" s="23"/>
      <c r="BX665" s="23"/>
      <c r="BY665" s="23"/>
      <c r="BZ665" s="23"/>
      <c r="CA665" s="23"/>
      <c r="CB665" s="23"/>
      <c r="CC665" s="23"/>
      <c r="CD665" s="23"/>
      <c r="CE665" s="23"/>
      <c r="CF665" s="23"/>
      <c r="CG665" s="23"/>
      <c r="CH665" s="23"/>
      <c r="CI665" s="23"/>
      <c r="CJ665" s="23"/>
      <c r="CK665" s="23"/>
      <c r="CL665" s="23"/>
      <c r="CM665" s="23"/>
      <c r="CN665" s="23"/>
      <c r="CO665" s="23"/>
    </row>
    <row r="666" spans="5:93" s="24" customFormat="1" x14ac:dyDescent="0.25">
      <c r="E666" s="42"/>
      <c r="G666" s="42"/>
      <c r="H666" s="25"/>
      <c r="I666" s="25"/>
      <c r="J666" s="25"/>
      <c r="K666" s="25"/>
      <c r="L666" s="25"/>
      <c r="M666" s="25"/>
      <c r="N666" s="25"/>
      <c r="O666" s="25"/>
      <c r="P666" s="25"/>
      <c r="Q666" s="25"/>
      <c r="R666" s="25"/>
      <c r="S666" s="25"/>
      <c r="T666" s="25"/>
      <c r="U666" s="25"/>
      <c r="V666" s="25"/>
      <c r="W666" s="25"/>
      <c r="X666" s="25"/>
      <c r="Y666" s="25"/>
      <c r="Z666" s="25"/>
      <c r="AA666" s="25"/>
      <c r="AB666" s="25"/>
      <c r="AC666" s="25"/>
      <c r="AD666" s="25"/>
      <c r="AE666" s="25"/>
      <c r="AH666"/>
      <c r="AI666" s="23"/>
      <c r="AJ666" s="23"/>
      <c r="AK666" s="23"/>
      <c r="AL666" s="23"/>
      <c r="AM666" s="23"/>
      <c r="AN666" s="23"/>
      <c r="AO666" s="23"/>
      <c r="AP666" s="23"/>
      <c r="AQ666" s="23"/>
      <c r="AR666" s="23"/>
      <c r="AS666" s="23"/>
      <c r="AT666" s="23"/>
      <c r="AU666" s="23"/>
      <c r="AV666" s="23"/>
      <c r="AW666" s="23"/>
      <c r="AX666" s="23"/>
      <c r="AY666" s="23"/>
      <c r="AZ666" s="23"/>
      <c r="BA666" s="23"/>
      <c r="BB666" s="23"/>
      <c r="BC666" s="23"/>
      <c r="BD666" s="23"/>
      <c r="BE666" s="23"/>
      <c r="BF666" s="23"/>
      <c r="BG666" s="23"/>
      <c r="BH666" s="23"/>
      <c r="BI666" s="23"/>
      <c r="BJ666" s="23"/>
      <c r="BK666" s="23"/>
      <c r="BL666" s="23"/>
      <c r="BM666" s="23"/>
      <c r="BN666" s="23"/>
      <c r="BO666" s="23"/>
      <c r="BP666" s="23"/>
      <c r="BQ666" s="23"/>
      <c r="BR666" s="23"/>
      <c r="BS666" s="23"/>
      <c r="BT666" s="23"/>
      <c r="BU666" s="23"/>
      <c r="BV666" s="23"/>
      <c r="BW666" s="23"/>
      <c r="BX666" s="23"/>
      <c r="BY666" s="23"/>
      <c r="BZ666" s="23"/>
      <c r="CA666" s="23"/>
      <c r="CB666" s="23"/>
      <c r="CC666" s="23"/>
      <c r="CD666" s="23"/>
      <c r="CE666" s="23"/>
      <c r="CF666" s="23"/>
      <c r="CG666" s="23"/>
      <c r="CH666" s="23"/>
      <c r="CI666" s="23"/>
      <c r="CJ666" s="23"/>
      <c r="CK666" s="23"/>
      <c r="CL666" s="23"/>
      <c r="CM666" s="23"/>
      <c r="CN666" s="23"/>
      <c r="CO666" s="23"/>
    </row>
    <row r="667" spans="5:93" s="24" customFormat="1" x14ac:dyDescent="0.25">
      <c r="E667" s="42"/>
      <c r="G667" s="42"/>
      <c r="H667" s="25"/>
      <c r="I667" s="25"/>
      <c r="J667" s="25"/>
      <c r="K667" s="25"/>
      <c r="L667" s="25"/>
      <c r="M667" s="25"/>
      <c r="N667" s="25"/>
      <c r="O667" s="25"/>
      <c r="P667" s="25"/>
      <c r="Q667" s="25"/>
      <c r="R667" s="25"/>
      <c r="S667" s="25"/>
      <c r="T667" s="25"/>
      <c r="U667" s="25"/>
      <c r="V667" s="25"/>
      <c r="W667" s="25"/>
      <c r="X667" s="25"/>
      <c r="Y667" s="25"/>
      <c r="Z667" s="25"/>
      <c r="AA667" s="25"/>
      <c r="AB667" s="25"/>
      <c r="AC667" s="25"/>
      <c r="AD667" s="25"/>
      <c r="AE667" s="25"/>
      <c r="AH667"/>
      <c r="AI667" s="23"/>
      <c r="AJ667" s="23"/>
      <c r="AK667" s="23"/>
      <c r="AL667" s="23"/>
      <c r="AM667" s="23"/>
      <c r="AN667" s="23"/>
      <c r="AO667" s="23"/>
      <c r="AP667" s="23"/>
      <c r="AQ667" s="23"/>
      <c r="AR667" s="23"/>
      <c r="AS667" s="23"/>
      <c r="AT667" s="23"/>
      <c r="AU667" s="23"/>
      <c r="AV667" s="23"/>
      <c r="AW667" s="23"/>
      <c r="AX667" s="23"/>
      <c r="AY667" s="23"/>
      <c r="AZ667" s="23"/>
      <c r="BA667" s="23"/>
      <c r="BB667" s="23"/>
      <c r="BC667" s="23"/>
      <c r="BD667" s="23"/>
      <c r="BE667" s="23"/>
      <c r="BF667" s="23"/>
      <c r="BG667" s="23"/>
      <c r="BH667" s="23"/>
      <c r="BI667" s="23"/>
      <c r="BJ667" s="23"/>
      <c r="BK667" s="23"/>
      <c r="BL667" s="23"/>
      <c r="BM667" s="23"/>
      <c r="BN667" s="23"/>
      <c r="BO667" s="23"/>
      <c r="BP667" s="23"/>
      <c r="BQ667" s="23"/>
      <c r="BR667" s="23"/>
      <c r="BS667" s="23"/>
      <c r="BT667" s="23"/>
      <c r="BU667" s="23"/>
      <c r="BV667" s="23"/>
      <c r="BW667" s="23"/>
      <c r="BX667" s="23"/>
      <c r="BY667" s="23"/>
      <c r="BZ667" s="23"/>
      <c r="CA667" s="23"/>
      <c r="CB667" s="23"/>
      <c r="CC667" s="23"/>
      <c r="CD667" s="23"/>
      <c r="CE667" s="23"/>
      <c r="CF667" s="23"/>
      <c r="CG667" s="23"/>
      <c r="CH667" s="23"/>
      <c r="CI667" s="23"/>
      <c r="CJ667" s="23"/>
      <c r="CK667" s="23"/>
      <c r="CL667" s="23"/>
      <c r="CM667" s="23"/>
      <c r="CN667" s="23"/>
      <c r="CO667" s="23"/>
    </row>
    <row r="668" spans="5:93" s="24" customFormat="1" x14ac:dyDescent="0.25">
      <c r="E668" s="42"/>
      <c r="G668" s="42"/>
      <c r="H668" s="25"/>
      <c r="I668" s="25"/>
      <c r="J668" s="25"/>
      <c r="K668" s="25"/>
      <c r="L668" s="25"/>
      <c r="M668" s="25"/>
      <c r="N668" s="25"/>
      <c r="O668" s="25"/>
      <c r="P668" s="25"/>
      <c r="Q668" s="25"/>
      <c r="R668" s="25"/>
      <c r="S668" s="25"/>
      <c r="T668" s="25"/>
      <c r="U668" s="25"/>
      <c r="V668" s="25"/>
      <c r="W668" s="25"/>
      <c r="X668" s="25"/>
      <c r="Y668" s="25"/>
      <c r="Z668" s="25"/>
      <c r="AA668" s="25"/>
      <c r="AB668" s="25"/>
      <c r="AC668" s="25"/>
      <c r="AD668" s="25"/>
      <c r="AE668" s="25"/>
      <c r="AH668"/>
      <c r="AI668" s="23"/>
      <c r="AJ668" s="23"/>
      <c r="AK668" s="23"/>
      <c r="AL668" s="23"/>
      <c r="AM668" s="23"/>
      <c r="AN668" s="23"/>
      <c r="AO668" s="23"/>
      <c r="AP668" s="23"/>
      <c r="AQ668" s="23"/>
      <c r="AR668" s="23"/>
      <c r="AS668" s="23"/>
      <c r="AT668" s="23"/>
      <c r="AU668" s="23"/>
      <c r="AV668" s="23"/>
      <c r="AW668" s="23"/>
      <c r="AX668" s="23"/>
      <c r="AY668" s="23"/>
      <c r="AZ668" s="23"/>
      <c r="BA668" s="23"/>
      <c r="BB668" s="23"/>
      <c r="BC668" s="23"/>
      <c r="BD668" s="23"/>
      <c r="BE668" s="23"/>
      <c r="BF668" s="23"/>
      <c r="BG668" s="23"/>
      <c r="BH668" s="23"/>
      <c r="BI668" s="23"/>
      <c r="BJ668" s="23"/>
      <c r="BK668" s="23"/>
      <c r="BL668" s="23"/>
      <c r="BM668" s="23"/>
      <c r="BN668" s="23"/>
      <c r="BO668" s="23"/>
      <c r="BP668" s="23"/>
      <c r="BQ668" s="23"/>
      <c r="BR668" s="23"/>
      <c r="BS668" s="23"/>
      <c r="BT668" s="23"/>
      <c r="BU668" s="23"/>
      <c r="BV668" s="23"/>
      <c r="BW668" s="23"/>
      <c r="BX668" s="23"/>
      <c r="BY668" s="23"/>
      <c r="BZ668" s="23"/>
      <c r="CA668" s="23"/>
      <c r="CB668" s="23"/>
      <c r="CC668" s="23"/>
      <c r="CD668" s="23"/>
      <c r="CE668" s="23"/>
      <c r="CF668" s="23"/>
      <c r="CG668" s="23"/>
      <c r="CH668" s="23"/>
      <c r="CI668" s="23"/>
      <c r="CJ668" s="23"/>
      <c r="CK668" s="23"/>
      <c r="CL668" s="23"/>
      <c r="CM668" s="23"/>
      <c r="CN668" s="23"/>
      <c r="CO668" s="23"/>
    </row>
    <row r="669" spans="5:93" s="24" customFormat="1" x14ac:dyDescent="0.25">
      <c r="E669" s="42"/>
      <c r="G669" s="42"/>
      <c r="H669" s="25"/>
      <c r="I669" s="25"/>
      <c r="J669" s="25"/>
      <c r="K669" s="25"/>
      <c r="L669" s="25"/>
      <c r="M669" s="25"/>
      <c r="N669" s="25"/>
      <c r="O669" s="25"/>
      <c r="P669" s="25"/>
      <c r="Q669" s="25"/>
      <c r="R669" s="25"/>
      <c r="S669" s="25"/>
      <c r="T669" s="25"/>
      <c r="U669" s="25"/>
      <c r="V669" s="25"/>
      <c r="W669" s="25"/>
      <c r="X669" s="25"/>
      <c r="Y669" s="25"/>
      <c r="Z669" s="25"/>
      <c r="AA669" s="25"/>
      <c r="AB669" s="25"/>
      <c r="AC669" s="25"/>
      <c r="AD669" s="25"/>
      <c r="AE669" s="25"/>
      <c r="AH669"/>
      <c r="AI669" s="23"/>
      <c r="AJ669" s="23"/>
      <c r="AK669" s="23"/>
      <c r="AL669" s="23"/>
      <c r="AM669" s="23"/>
      <c r="AN669" s="23"/>
      <c r="AO669" s="23"/>
      <c r="AP669" s="23"/>
      <c r="AQ669" s="23"/>
      <c r="AR669" s="23"/>
      <c r="AS669" s="23"/>
      <c r="AT669" s="23"/>
      <c r="AU669" s="23"/>
      <c r="AV669" s="23"/>
      <c r="AW669" s="23"/>
      <c r="AX669" s="23"/>
      <c r="AY669" s="23"/>
      <c r="AZ669" s="23"/>
      <c r="BA669" s="23"/>
      <c r="BB669" s="23"/>
      <c r="BC669" s="23"/>
      <c r="BD669" s="23"/>
      <c r="BE669" s="23"/>
      <c r="BF669" s="23"/>
      <c r="BG669" s="23"/>
      <c r="BH669" s="23"/>
      <c r="BI669" s="23"/>
      <c r="BJ669" s="23"/>
      <c r="BK669" s="23"/>
      <c r="BL669" s="23"/>
      <c r="BM669" s="23"/>
      <c r="BN669" s="23"/>
      <c r="BO669" s="23"/>
      <c r="BP669" s="23"/>
      <c r="BQ669" s="23"/>
      <c r="BR669" s="23"/>
      <c r="BS669" s="23"/>
      <c r="BT669" s="23"/>
      <c r="BU669" s="23"/>
      <c r="BV669" s="23"/>
      <c r="BW669" s="23"/>
      <c r="BX669" s="23"/>
      <c r="BY669" s="23"/>
      <c r="BZ669" s="23"/>
      <c r="CA669" s="23"/>
      <c r="CB669" s="23"/>
      <c r="CC669" s="23"/>
      <c r="CD669" s="23"/>
      <c r="CE669" s="23"/>
      <c r="CF669" s="23"/>
      <c r="CG669" s="23"/>
      <c r="CH669" s="23"/>
      <c r="CI669" s="23"/>
      <c r="CJ669" s="23"/>
      <c r="CK669" s="23"/>
      <c r="CL669" s="23"/>
      <c r="CM669" s="23"/>
      <c r="CN669" s="23"/>
      <c r="CO669" s="23"/>
    </row>
    <row r="670" spans="5:93" s="24" customFormat="1" x14ac:dyDescent="0.25">
      <c r="E670" s="42"/>
      <c r="G670" s="42"/>
      <c r="H670" s="25"/>
      <c r="I670" s="25"/>
      <c r="J670" s="25"/>
      <c r="K670" s="25"/>
      <c r="L670" s="25"/>
      <c r="M670" s="25"/>
      <c r="N670" s="25"/>
      <c r="O670" s="25"/>
      <c r="P670" s="25"/>
      <c r="Q670" s="25"/>
      <c r="R670" s="25"/>
      <c r="S670" s="25"/>
      <c r="T670" s="25"/>
      <c r="U670" s="25"/>
      <c r="V670" s="25"/>
      <c r="W670" s="25"/>
      <c r="X670" s="25"/>
      <c r="Y670" s="25"/>
      <c r="Z670" s="25"/>
      <c r="AA670" s="25"/>
      <c r="AB670" s="25"/>
      <c r="AC670" s="25"/>
      <c r="AD670" s="25"/>
      <c r="AE670" s="25"/>
      <c r="AH670"/>
      <c r="AI670" s="23"/>
      <c r="AJ670" s="23"/>
      <c r="AK670" s="23"/>
      <c r="AL670" s="23"/>
      <c r="AM670" s="23"/>
      <c r="AN670" s="23"/>
      <c r="AO670" s="23"/>
      <c r="AP670" s="23"/>
      <c r="AQ670" s="23"/>
      <c r="AR670" s="23"/>
      <c r="AS670" s="23"/>
      <c r="AT670" s="23"/>
      <c r="AU670" s="23"/>
      <c r="AV670" s="23"/>
      <c r="AW670" s="23"/>
      <c r="AX670" s="23"/>
      <c r="AY670" s="23"/>
      <c r="AZ670" s="23"/>
      <c r="BA670" s="23"/>
      <c r="BB670" s="23"/>
      <c r="BC670" s="23"/>
      <c r="BD670" s="23"/>
      <c r="BE670" s="23"/>
      <c r="BF670" s="23"/>
      <c r="BG670" s="23"/>
      <c r="BH670" s="23"/>
      <c r="BI670" s="23"/>
      <c r="BJ670" s="23"/>
      <c r="BK670" s="23"/>
      <c r="BL670" s="23"/>
      <c r="BM670" s="23"/>
      <c r="BN670" s="23"/>
      <c r="BO670" s="23"/>
      <c r="BP670" s="23"/>
      <c r="BQ670" s="23"/>
      <c r="BR670" s="23"/>
      <c r="BS670" s="23"/>
      <c r="BT670" s="23"/>
      <c r="BU670" s="23"/>
      <c r="BV670" s="23"/>
      <c r="BW670" s="23"/>
      <c r="BX670" s="23"/>
      <c r="BY670" s="23"/>
      <c r="BZ670" s="23"/>
      <c r="CA670" s="23"/>
      <c r="CB670" s="23"/>
      <c r="CC670" s="23"/>
      <c r="CD670" s="23"/>
      <c r="CE670" s="23"/>
      <c r="CF670" s="23"/>
      <c r="CG670" s="23"/>
      <c r="CH670" s="23"/>
      <c r="CI670" s="23"/>
      <c r="CJ670" s="23"/>
      <c r="CK670" s="23"/>
      <c r="CL670" s="23"/>
      <c r="CM670" s="23"/>
      <c r="CN670" s="23"/>
      <c r="CO670" s="23"/>
    </row>
    <row r="671" spans="5:93" s="24" customFormat="1" x14ac:dyDescent="0.25">
      <c r="E671" s="42"/>
      <c r="G671" s="42"/>
      <c r="H671" s="25"/>
      <c r="I671" s="25"/>
      <c r="J671" s="25"/>
      <c r="K671" s="25"/>
      <c r="L671" s="25"/>
      <c r="M671" s="25"/>
      <c r="N671" s="25"/>
      <c r="O671" s="25"/>
      <c r="P671" s="25"/>
      <c r="Q671" s="25"/>
      <c r="R671" s="25"/>
      <c r="S671" s="25"/>
      <c r="T671" s="25"/>
      <c r="U671" s="25"/>
      <c r="V671" s="25"/>
      <c r="W671" s="25"/>
      <c r="X671" s="25"/>
      <c r="Y671" s="25"/>
      <c r="Z671" s="25"/>
      <c r="AA671" s="25"/>
      <c r="AB671" s="25"/>
      <c r="AC671" s="25"/>
      <c r="AD671" s="25"/>
      <c r="AE671" s="25"/>
      <c r="AH671"/>
      <c r="AI671" s="23"/>
      <c r="AJ671" s="23"/>
      <c r="AK671" s="23"/>
      <c r="AL671" s="23"/>
      <c r="AM671" s="23"/>
      <c r="AN671" s="23"/>
      <c r="AO671" s="23"/>
      <c r="AP671" s="23"/>
      <c r="AQ671" s="23"/>
      <c r="AR671" s="23"/>
      <c r="AS671" s="23"/>
      <c r="AT671" s="23"/>
      <c r="AU671" s="23"/>
      <c r="AV671" s="23"/>
      <c r="AW671" s="23"/>
      <c r="AX671" s="23"/>
      <c r="AY671" s="23"/>
      <c r="AZ671" s="23"/>
      <c r="BA671" s="23"/>
      <c r="BB671" s="23"/>
      <c r="BC671" s="23"/>
      <c r="BD671" s="23"/>
      <c r="BE671" s="23"/>
      <c r="BF671" s="23"/>
      <c r="BG671" s="23"/>
      <c r="BH671" s="23"/>
      <c r="BI671" s="23"/>
      <c r="BJ671" s="23"/>
      <c r="BK671" s="23"/>
      <c r="BL671" s="23"/>
      <c r="BM671" s="23"/>
      <c r="BN671" s="23"/>
      <c r="BO671" s="23"/>
      <c r="BP671" s="23"/>
      <c r="BQ671" s="23"/>
      <c r="BR671" s="23"/>
      <c r="BS671" s="23"/>
      <c r="BT671" s="23"/>
      <c r="BU671" s="23"/>
      <c r="BV671" s="23"/>
      <c r="BW671" s="23"/>
      <c r="BX671" s="23"/>
      <c r="BY671" s="23"/>
      <c r="BZ671" s="23"/>
      <c r="CA671" s="23"/>
      <c r="CB671" s="23"/>
      <c r="CC671" s="23"/>
      <c r="CD671" s="23"/>
      <c r="CE671" s="23"/>
      <c r="CF671" s="23"/>
      <c r="CG671" s="23"/>
      <c r="CH671" s="23"/>
      <c r="CI671" s="23"/>
      <c r="CJ671" s="23"/>
      <c r="CK671" s="23"/>
      <c r="CL671" s="23"/>
      <c r="CM671" s="23"/>
      <c r="CN671" s="23"/>
      <c r="CO671" s="23"/>
    </row>
    <row r="672" spans="5:93" s="24" customFormat="1" x14ac:dyDescent="0.25">
      <c r="E672" s="42"/>
      <c r="G672" s="42"/>
      <c r="H672" s="25"/>
      <c r="I672" s="25"/>
      <c r="J672" s="25"/>
      <c r="K672" s="25"/>
      <c r="L672" s="25"/>
      <c r="M672" s="25"/>
      <c r="N672" s="25"/>
      <c r="O672" s="25"/>
      <c r="P672" s="25"/>
      <c r="Q672" s="25"/>
      <c r="R672" s="25"/>
      <c r="S672" s="25"/>
      <c r="T672" s="25"/>
      <c r="U672" s="25"/>
      <c r="V672" s="25"/>
      <c r="W672" s="25"/>
      <c r="X672" s="25"/>
      <c r="Y672" s="25"/>
      <c r="Z672" s="25"/>
      <c r="AA672" s="25"/>
      <c r="AB672" s="25"/>
      <c r="AC672" s="25"/>
      <c r="AD672" s="25"/>
      <c r="AE672" s="25"/>
      <c r="AH672"/>
      <c r="AI672" s="23"/>
      <c r="AJ672" s="23"/>
      <c r="AK672" s="23"/>
      <c r="AL672" s="23"/>
      <c r="AM672" s="23"/>
      <c r="AN672" s="23"/>
      <c r="AO672" s="23"/>
      <c r="AP672" s="23"/>
      <c r="AQ672" s="23"/>
      <c r="AR672" s="23"/>
      <c r="AS672" s="23"/>
      <c r="AT672" s="23"/>
      <c r="AU672" s="23"/>
      <c r="AV672" s="23"/>
      <c r="AW672" s="23"/>
      <c r="AX672" s="23"/>
      <c r="AY672" s="23"/>
      <c r="AZ672" s="23"/>
      <c r="BA672" s="23"/>
      <c r="BB672" s="23"/>
      <c r="BC672" s="23"/>
      <c r="BD672" s="23"/>
      <c r="BE672" s="23"/>
      <c r="BF672" s="23"/>
      <c r="BG672" s="23"/>
      <c r="BH672" s="23"/>
      <c r="BI672" s="23"/>
      <c r="BJ672" s="23"/>
      <c r="BK672" s="23"/>
      <c r="BL672" s="23"/>
      <c r="BM672" s="23"/>
      <c r="BN672" s="23"/>
      <c r="BO672" s="23"/>
      <c r="BP672" s="23"/>
      <c r="BQ672" s="23"/>
      <c r="BR672" s="23"/>
      <c r="BS672" s="23"/>
      <c r="BT672" s="23"/>
      <c r="BU672" s="23"/>
      <c r="BV672" s="23"/>
      <c r="BW672" s="23"/>
      <c r="BX672" s="23"/>
      <c r="BY672" s="23"/>
      <c r="BZ672" s="23"/>
      <c r="CA672" s="23"/>
      <c r="CB672" s="23"/>
      <c r="CC672" s="23"/>
      <c r="CD672" s="23"/>
      <c r="CE672" s="23"/>
      <c r="CF672" s="23"/>
      <c r="CG672" s="23"/>
      <c r="CH672" s="23"/>
      <c r="CI672" s="23"/>
      <c r="CJ672" s="23"/>
      <c r="CK672" s="23"/>
      <c r="CL672" s="23"/>
      <c r="CM672" s="23"/>
      <c r="CN672" s="23"/>
      <c r="CO672" s="23"/>
    </row>
    <row r="673" spans="5:93" s="24" customFormat="1" x14ac:dyDescent="0.25">
      <c r="E673" s="42"/>
      <c r="G673" s="42"/>
      <c r="H673" s="25"/>
      <c r="I673" s="25"/>
      <c r="J673" s="25"/>
      <c r="K673" s="25"/>
      <c r="L673" s="25"/>
      <c r="M673" s="25"/>
      <c r="N673" s="25"/>
      <c r="O673" s="25"/>
      <c r="P673" s="25"/>
      <c r="Q673" s="25"/>
      <c r="R673" s="25"/>
      <c r="S673" s="25"/>
      <c r="T673" s="25"/>
      <c r="U673" s="25"/>
      <c r="V673" s="25"/>
      <c r="W673" s="25"/>
      <c r="X673" s="25"/>
      <c r="Y673" s="25"/>
      <c r="Z673" s="25"/>
      <c r="AA673" s="25"/>
      <c r="AB673" s="25"/>
      <c r="AC673" s="25"/>
      <c r="AD673" s="25"/>
      <c r="AE673" s="25"/>
      <c r="AH673"/>
      <c r="AI673" s="23"/>
      <c r="AJ673" s="23"/>
      <c r="AK673" s="23"/>
      <c r="AL673" s="23"/>
      <c r="AM673" s="23"/>
      <c r="AN673" s="23"/>
      <c r="AO673" s="23"/>
      <c r="AP673" s="23"/>
      <c r="AQ673" s="23"/>
      <c r="AR673" s="23"/>
      <c r="AS673" s="23"/>
      <c r="AT673" s="23"/>
      <c r="AU673" s="23"/>
      <c r="AV673" s="23"/>
      <c r="AW673" s="23"/>
      <c r="AX673" s="23"/>
      <c r="AY673" s="23"/>
      <c r="AZ673" s="23"/>
      <c r="BA673" s="23"/>
      <c r="BB673" s="23"/>
      <c r="BC673" s="23"/>
      <c r="BD673" s="23"/>
      <c r="BE673" s="23"/>
      <c r="BF673" s="23"/>
      <c r="BG673" s="23"/>
      <c r="BH673" s="23"/>
      <c r="BI673" s="23"/>
      <c r="BJ673" s="23"/>
      <c r="BK673" s="23"/>
      <c r="BL673" s="23"/>
      <c r="BM673" s="23"/>
      <c r="BN673" s="23"/>
      <c r="BO673" s="23"/>
      <c r="BP673" s="23"/>
      <c r="BQ673" s="23"/>
      <c r="BR673" s="23"/>
      <c r="BS673" s="23"/>
      <c r="BT673" s="23"/>
      <c r="BU673" s="23"/>
      <c r="BV673" s="23"/>
      <c r="BW673" s="23"/>
      <c r="BX673" s="23"/>
      <c r="BY673" s="23"/>
      <c r="BZ673" s="23"/>
      <c r="CA673" s="23"/>
      <c r="CB673" s="23"/>
      <c r="CC673" s="23"/>
      <c r="CD673" s="23"/>
      <c r="CE673" s="23"/>
      <c r="CF673" s="23"/>
      <c r="CG673" s="23"/>
      <c r="CH673" s="23"/>
      <c r="CI673" s="23"/>
      <c r="CJ673" s="23"/>
      <c r="CK673" s="23"/>
      <c r="CL673" s="23"/>
      <c r="CM673" s="23"/>
      <c r="CN673" s="23"/>
      <c r="CO673" s="23"/>
    </row>
  </sheetData>
  <phoneticPr fontId="17" type="noConversion"/>
  <conditionalFormatting sqref="J13:AK13">
    <cfRule type="expression" dxfId="23" priority="31">
      <formula>J13&lt;J9</formula>
    </cfRule>
  </conditionalFormatting>
  <conditionalFormatting sqref="J23:AK23">
    <cfRule type="expression" dxfId="22" priority="6">
      <formula>J23&lt;J19</formula>
    </cfRule>
  </conditionalFormatting>
  <conditionalFormatting sqref="J33:AK33">
    <cfRule type="expression" dxfId="21" priority="5">
      <formula>J33&lt;J29</formula>
    </cfRule>
  </conditionalFormatting>
  <conditionalFormatting sqref="J43:AK43">
    <cfRule type="expression" dxfId="20" priority="4">
      <formula>J43&lt;J39</formula>
    </cfRule>
  </conditionalFormatting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6"/>
  <dimension ref="A1:CO28"/>
  <sheetViews>
    <sheetView topLeftCell="B1" zoomScale="64" zoomScaleNormal="64" workbookViewId="0">
      <selection activeCell="K22" activeCellId="1" sqref="K12:AG13 K22:AG23"/>
    </sheetView>
  </sheetViews>
  <sheetFormatPr baseColWidth="10" defaultColWidth="11.42578125" defaultRowHeight="15" x14ac:dyDescent="0.25"/>
  <cols>
    <col min="1" max="1" width="11.28515625" customWidth="1"/>
    <col min="2" max="7" width="7.140625" customWidth="1"/>
    <col min="8" max="8" width="22.140625" customWidth="1"/>
    <col min="9" max="9" width="6.28515625" customWidth="1"/>
    <col min="10" max="34" width="5.5703125" customWidth="1"/>
  </cols>
  <sheetData>
    <row r="1" spans="1:93" ht="15.75" thickBot="1" x14ac:dyDescent="0.3"/>
    <row r="2" spans="1:93" s="24" customFormat="1" ht="25.5" customHeight="1" thickBot="1" x14ac:dyDescent="0.3">
      <c r="A2" s="120" t="s">
        <v>103</v>
      </c>
      <c r="B2" s="1" t="str">
        <f>J4</f>
        <v>W2/20</v>
      </c>
      <c r="D2" s="23"/>
      <c r="E2" s="23"/>
      <c r="F2" s="23"/>
      <c r="G2" s="23"/>
      <c r="H2" s="23"/>
      <c r="L2" s="23"/>
      <c r="M2" s="23"/>
      <c r="N2" s="23"/>
      <c r="O2" s="23"/>
      <c r="AF2" s="23"/>
      <c r="AG2" s="23"/>
      <c r="AH2" s="23"/>
      <c r="AK2" s="23"/>
      <c r="AL2" s="23"/>
      <c r="AM2" s="23"/>
      <c r="AN2" s="23"/>
      <c r="AO2" s="23"/>
      <c r="AP2" s="23"/>
      <c r="AQ2" s="23"/>
      <c r="AR2" s="23"/>
      <c r="AS2" s="23"/>
      <c r="AT2" s="23"/>
      <c r="AU2" s="23"/>
      <c r="AV2" s="23"/>
      <c r="AW2" s="23"/>
      <c r="AX2" s="23"/>
      <c r="AY2" s="23"/>
      <c r="AZ2" s="23"/>
      <c r="BA2" s="23"/>
      <c r="BB2" s="23"/>
      <c r="BC2" s="23"/>
      <c r="BD2" s="23"/>
      <c r="BE2" s="23"/>
      <c r="BF2" s="23"/>
      <c r="BG2" s="23"/>
      <c r="BH2" s="23"/>
      <c r="BI2" s="23"/>
      <c r="BJ2" s="23"/>
      <c r="BK2" s="23"/>
      <c r="BL2" s="23"/>
      <c r="BM2" s="23"/>
      <c r="BN2" s="23"/>
      <c r="BO2" s="23"/>
      <c r="BP2" s="23"/>
      <c r="BQ2" s="23"/>
      <c r="BR2" s="23"/>
      <c r="BS2" s="23"/>
      <c r="BT2" s="23"/>
      <c r="BU2" s="23"/>
      <c r="BV2" s="23"/>
      <c r="BW2" s="23"/>
      <c r="BX2" s="23"/>
      <c r="BY2" s="23"/>
      <c r="BZ2" s="23"/>
      <c r="CA2" s="23"/>
      <c r="CB2" s="23"/>
      <c r="CC2" s="23"/>
      <c r="CD2" s="23"/>
      <c r="CE2" s="23"/>
      <c r="CF2" s="23"/>
      <c r="CG2" s="23"/>
      <c r="CH2" s="23"/>
      <c r="CI2" s="23"/>
      <c r="CJ2" s="23"/>
      <c r="CK2" s="23"/>
      <c r="CL2" s="23"/>
      <c r="CM2" s="23"/>
      <c r="CN2" s="23"/>
      <c r="CO2" s="23"/>
    </row>
    <row r="3" spans="1:93" s="141" customFormat="1" ht="19.5" customHeight="1" x14ac:dyDescent="0.35">
      <c r="A3" s="23"/>
      <c r="B3" s="23"/>
      <c r="C3" s="23"/>
      <c r="D3" s="40"/>
      <c r="E3" s="23"/>
      <c r="F3" s="40"/>
      <c r="G3" s="23"/>
      <c r="H3" s="23"/>
      <c r="I3" s="23"/>
      <c r="J3" s="23"/>
      <c r="K3" s="23"/>
      <c r="L3" s="23"/>
      <c r="M3" s="23"/>
      <c r="N3" s="23"/>
      <c r="O3" s="23"/>
      <c r="P3" s="23"/>
      <c r="Q3" s="23"/>
      <c r="R3" s="23"/>
      <c r="S3" s="23"/>
      <c r="T3" s="23"/>
      <c r="U3" s="23"/>
      <c r="V3" s="23"/>
      <c r="W3" s="23"/>
      <c r="X3" s="23"/>
      <c r="Y3" s="23"/>
      <c r="Z3" s="23"/>
      <c r="AA3" s="23"/>
      <c r="AB3" s="23"/>
      <c r="AC3" s="23"/>
      <c r="AD3" s="23"/>
      <c r="AE3" s="23"/>
      <c r="AF3" s="23"/>
      <c r="AG3" s="23"/>
      <c r="AH3" s="23"/>
      <c r="AI3" s="24"/>
      <c r="AJ3" s="24"/>
      <c r="AK3" s="23"/>
      <c r="AL3" s="23"/>
      <c r="AM3" s="23"/>
      <c r="AN3" s="23"/>
      <c r="AO3" s="23"/>
      <c r="AP3" s="23"/>
      <c r="AQ3" s="23"/>
      <c r="AR3" s="23"/>
      <c r="AS3" s="23"/>
      <c r="AT3" s="23"/>
      <c r="AU3" s="23"/>
      <c r="AV3" s="23"/>
      <c r="AW3" s="23"/>
      <c r="AX3" s="23"/>
      <c r="AY3" s="23"/>
      <c r="AZ3" s="23"/>
      <c r="BA3" s="23"/>
      <c r="BB3" s="23"/>
      <c r="BC3" s="23"/>
      <c r="BD3" s="23"/>
      <c r="BE3" s="23"/>
      <c r="BF3" s="23"/>
      <c r="BG3" s="23"/>
      <c r="BH3" s="23"/>
      <c r="BI3" s="23"/>
      <c r="BJ3" s="23"/>
      <c r="BK3" s="23"/>
      <c r="BL3" s="23"/>
      <c r="BM3" s="23"/>
      <c r="BN3" s="23"/>
      <c r="BO3" s="23"/>
      <c r="BP3" s="23"/>
      <c r="BQ3" s="23"/>
      <c r="BR3" s="23"/>
      <c r="BS3" s="23"/>
      <c r="BT3" s="23"/>
      <c r="BU3" s="23"/>
      <c r="BV3" s="23"/>
      <c r="BW3" s="23"/>
      <c r="BX3" s="23"/>
      <c r="BY3" s="23"/>
      <c r="BZ3" s="23"/>
      <c r="CA3" s="23"/>
      <c r="CB3" s="23"/>
      <c r="CC3" s="23"/>
      <c r="CD3" s="23"/>
      <c r="CE3" s="23"/>
      <c r="CF3" s="23"/>
      <c r="CG3" s="23"/>
      <c r="CH3" s="23"/>
      <c r="CI3" s="23"/>
      <c r="CJ3" s="23"/>
      <c r="CK3" s="23"/>
      <c r="CL3" s="23"/>
      <c r="CM3" s="23"/>
      <c r="CN3" s="23"/>
      <c r="CO3" s="23"/>
    </row>
    <row r="4" spans="1:93" ht="22.5" customHeight="1" x14ac:dyDescent="0.25">
      <c r="A4" s="68" t="s">
        <v>121</v>
      </c>
      <c r="B4" s="68" t="s">
        <v>122</v>
      </c>
      <c r="C4" s="68" t="s">
        <v>105</v>
      </c>
      <c r="D4" s="68" t="s">
        <v>123</v>
      </c>
      <c r="E4" s="68" t="s">
        <v>101</v>
      </c>
      <c r="F4" s="68" t="s">
        <v>124</v>
      </c>
      <c r="G4" s="130" t="s">
        <v>125</v>
      </c>
      <c r="H4" s="146" t="s">
        <v>102</v>
      </c>
      <c r="I4" s="212" t="s">
        <v>76</v>
      </c>
      <c r="J4" s="212" t="s">
        <v>77</v>
      </c>
      <c r="K4" s="212" t="s">
        <v>78</v>
      </c>
      <c r="L4" s="212" t="s">
        <v>79</v>
      </c>
      <c r="M4" s="212" t="s">
        <v>80</v>
      </c>
      <c r="N4" s="212" t="s">
        <v>81</v>
      </c>
      <c r="O4" s="212" t="s">
        <v>82</v>
      </c>
      <c r="P4" s="212" t="s">
        <v>83</v>
      </c>
      <c r="Q4" s="212" t="s">
        <v>84</v>
      </c>
      <c r="R4" s="212" t="s">
        <v>85</v>
      </c>
      <c r="S4" s="212" t="s">
        <v>86</v>
      </c>
      <c r="T4" s="212" t="s">
        <v>87</v>
      </c>
      <c r="U4" s="212" t="s">
        <v>88</v>
      </c>
      <c r="V4" s="212" t="s">
        <v>89</v>
      </c>
      <c r="W4" s="212" t="s">
        <v>90</v>
      </c>
      <c r="X4" s="212" t="s">
        <v>91</v>
      </c>
      <c r="Y4" s="212" t="s">
        <v>92</v>
      </c>
      <c r="Z4" s="212" t="s">
        <v>93</v>
      </c>
      <c r="AA4" s="212" t="s">
        <v>94</v>
      </c>
      <c r="AB4" s="212" t="s">
        <v>95</v>
      </c>
      <c r="AC4" s="212" t="s">
        <v>96</v>
      </c>
      <c r="AD4" s="212" t="s">
        <v>97</v>
      </c>
      <c r="AE4" s="212" t="s">
        <v>98</v>
      </c>
      <c r="AF4" s="213" t="s">
        <v>99</v>
      </c>
      <c r="AG4" s="212" t="s">
        <v>100</v>
      </c>
      <c r="AH4" s="212"/>
      <c r="AI4" s="212"/>
      <c r="AJ4" s="212"/>
      <c r="AK4" s="212"/>
      <c r="AL4" s="23"/>
      <c r="AM4" s="23"/>
      <c r="AN4" s="23"/>
      <c r="AO4" s="23"/>
      <c r="AP4" s="23"/>
      <c r="AQ4" s="23"/>
      <c r="AR4" s="23"/>
      <c r="AS4" s="23"/>
      <c r="AT4" s="23"/>
      <c r="AU4" s="23"/>
      <c r="AV4" s="23"/>
      <c r="AW4" s="23"/>
      <c r="AX4" s="23"/>
      <c r="AY4" s="23"/>
      <c r="AZ4" s="23"/>
      <c r="BA4" s="23"/>
      <c r="BB4" s="23"/>
      <c r="BC4" s="23"/>
      <c r="BD4" s="23"/>
      <c r="BE4" s="23"/>
      <c r="BF4" s="23"/>
      <c r="BG4" s="23"/>
      <c r="BH4" s="23"/>
      <c r="BI4" s="23"/>
      <c r="BJ4" s="23"/>
      <c r="BK4" s="23"/>
      <c r="BL4" s="23"/>
      <c r="BM4" s="23"/>
      <c r="BN4" s="23"/>
      <c r="BO4" s="23"/>
      <c r="BP4" s="23"/>
      <c r="BQ4" s="23"/>
      <c r="BR4" s="23"/>
      <c r="BS4" s="23"/>
      <c r="BT4" s="23"/>
      <c r="BU4" s="23"/>
      <c r="BV4" s="23"/>
      <c r="BW4" s="23"/>
      <c r="BX4" s="23"/>
      <c r="BY4" s="23"/>
      <c r="BZ4" s="23"/>
      <c r="CA4" s="23"/>
      <c r="CB4" s="23"/>
      <c r="CC4" s="23"/>
      <c r="CD4" s="23"/>
      <c r="CE4" s="23"/>
      <c r="CF4" s="23"/>
      <c r="CG4" s="23"/>
      <c r="CH4" s="23"/>
      <c r="CI4" s="23"/>
      <c r="CJ4" s="23"/>
      <c r="CK4" s="23"/>
    </row>
    <row r="5" spans="1:93" ht="21" customHeight="1" x14ac:dyDescent="0.25">
      <c r="A5" s="30">
        <v>1000</v>
      </c>
      <c r="B5" s="102" t="s">
        <v>29</v>
      </c>
      <c r="C5" s="103" t="s">
        <v>51</v>
      </c>
      <c r="D5" s="117" t="s">
        <v>35</v>
      </c>
      <c r="E5" s="103" t="s">
        <v>51</v>
      </c>
      <c r="F5" s="117" t="s">
        <v>35</v>
      </c>
      <c r="G5" s="75">
        <v>1</v>
      </c>
      <c r="H5" s="168" t="s">
        <v>115</v>
      </c>
      <c r="I5" s="169"/>
      <c r="J5" s="263">
        <f>J8</f>
        <v>80</v>
      </c>
      <c r="K5" s="169"/>
      <c r="L5" s="169"/>
      <c r="M5" s="169"/>
      <c r="N5" s="169"/>
      <c r="O5" s="169"/>
      <c r="P5" s="169"/>
      <c r="Q5" s="169"/>
      <c r="R5" s="169"/>
      <c r="S5" s="169"/>
      <c r="T5" s="169"/>
      <c r="U5" s="169"/>
      <c r="V5" s="169"/>
      <c r="W5" s="169"/>
      <c r="X5" s="169"/>
      <c r="Y5" s="169"/>
      <c r="Z5" s="169"/>
      <c r="AA5" s="169"/>
      <c r="AB5" s="169"/>
      <c r="AC5" s="169"/>
      <c r="AD5" s="169"/>
      <c r="AE5" s="169"/>
      <c r="AF5" s="169"/>
      <c r="AG5" s="169"/>
      <c r="AH5" s="263"/>
      <c r="AI5" s="263"/>
      <c r="AJ5" s="263"/>
      <c r="AK5" s="263"/>
      <c r="AL5" s="24"/>
      <c r="AM5" s="24"/>
      <c r="AN5" s="24"/>
      <c r="AO5" s="24"/>
      <c r="AP5" s="24"/>
      <c r="AQ5" s="24"/>
      <c r="AR5" s="24"/>
      <c r="AS5" s="24"/>
      <c r="AT5" s="24"/>
      <c r="AU5" s="24"/>
      <c r="AV5" s="24"/>
      <c r="AW5" s="24"/>
      <c r="AX5" s="24"/>
      <c r="AY5" s="24"/>
      <c r="AZ5" s="24"/>
      <c r="BA5" s="24"/>
      <c r="BB5" s="24"/>
      <c r="BC5" s="24"/>
      <c r="BD5" s="24"/>
      <c r="BE5" s="24"/>
      <c r="BF5" s="24"/>
      <c r="BG5" s="24"/>
      <c r="BH5" s="24"/>
      <c r="BI5" s="24"/>
      <c r="BJ5" s="24"/>
      <c r="BK5" s="24"/>
      <c r="BL5" s="24"/>
      <c r="BM5" s="24"/>
      <c r="BN5" s="24"/>
      <c r="BO5" s="24"/>
      <c r="BP5" s="24"/>
      <c r="BQ5" s="24"/>
      <c r="BR5" s="24"/>
      <c r="BS5" s="24"/>
      <c r="BT5" s="24"/>
      <c r="BU5" s="24"/>
      <c r="BV5" s="24"/>
      <c r="BW5" s="24"/>
      <c r="BX5" s="24"/>
      <c r="BY5" s="24"/>
      <c r="BZ5" s="24"/>
      <c r="CA5" s="24"/>
      <c r="CB5" s="24"/>
      <c r="CC5" s="24"/>
      <c r="CD5" s="24"/>
      <c r="CE5" s="24"/>
      <c r="CF5" s="24"/>
      <c r="CG5" s="24"/>
      <c r="CH5" s="24"/>
      <c r="CI5" s="24"/>
      <c r="CJ5" s="24"/>
      <c r="CK5" s="24"/>
      <c r="CL5" s="24"/>
    </row>
    <row r="6" spans="1:93" ht="19.5" customHeight="1" x14ac:dyDescent="0.25">
      <c r="A6" s="30">
        <v>1000</v>
      </c>
      <c r="B6" s="102" t="s">
        <v>29</v>
      </c>
      <c r="C6" s="103" t="s">
        <v>49</v>
      </c>
      <c r="D6" s="42" t="s">
        <v>48</v>
      </c>
      <c r="E6" s="103" t="s">
        <v>51</v>
      </c>
      <c r="F6" s="117" t="s">
        <v>35</v>
      </c>
      <c r="G6" s="59">
        <v>1</v>
      </c>
      <c r="H6" s="168" t="s">
        <v>116</v>
      </c>
      <c r="I6" s="169"/>
      <c r="J6" s="263">
        <f>J11</f>
        <v>70</v>
      </c>
      <c r="K6" s="169"/>
      <c r="L6" s="169"/>
      <c r="M6" s="169"/>
      <c r="N6" s="169"/>
      <c r="O6" s="169"/>
      <c r="P6" s="169"/>
      <c r="Q6" s="169"/>
      <c r="R6" s="169"/>
      <c r="S6" s="169"/>
      <c r="T6" s="169"/>
      <c r="U6" s="169"/>
      <c r="V6" s="169"/>
      <c r="W6" s="169"/>
      <c r="X6" s="169"/>
      <c r="Y6" s="169"/>
      <c r="Z6" s="169"/>
      <c r="AA6" s="169"/>
      <c r="AB6" s="169"/>
      <c r="AC6" s="169"/>
      <c r="AD6" s="169"/>
      <c r="AE6" s="169"/>
      <c r="AF6" s="169"/>
      <c r="AG6" s="169"/>
      <c r="AH6" s="263"/>
      <c r="AI6" s="263"/>
      <c r="AJ6" s="263"/>
      <c r="AK6" s="263"/>
      <c r="AL6" s="24"/>
      <c r="AM6" s="24"/>
      <c r="AN6" s="24"/>
      <c r="AO6" s="24"/>
      <c r="AP6" s="24"/>
      <c r="AQ6" s="24"/>
      <c r="AR6" s="24"/>
      <c r="AS6" s="24"/>
      <c r="AT6" s="24"/>
      <c r="AU6" s="24"/>
      <c r="AV6" s="24"/>
      <c r="AW6" s="24"/>
      <c r="AX6" s="24"/>
      <c r="AY6" s="24"/>
      <c r="AZ6" s="24"/>
      <c r="BA6" s="24"/>
      <c r="BB6" s="24"/>
      <c r="BC6" s="24"/>
      <c r="BD6" s="24"/>
      <c r="BE6" s="24"/>
      <c r="BF6" s="24"/>
      <c r="BG6" s="24"/>
      <c r="BH6" s="24"/>
      <c r="BI6" s="24"/>
      <c r="BJ6" s="24"/>
      <c r="BK6" s="24"/>
      <c r="BL6" s="24"/>
      <c r="BM6" s="24"/>
      <c r="BN6" s="24"/>
      <c r="BO6" s="24"/>
      <c r="BP6" s="24"/>
      <c r="BQ6" s="24"/>
      <c r="BR6" s="24"/>
      <c r="BS6" s="24"/>
      <c r="BT6" s="24"/>
      <c r="BU6" s="24"/>
      <c r="BV6" s="24"/>
      <c r="BW6" s="24"/>
      <c r="BX6" s="24"/>
      <c r="BY6" s="24"/>
      <c r="BZ6" s="24"/>
      <c r="CA6" s="24"/>
      <c r="CB6" s="24"/>
      <c r="CC6" s="24"/>
      <c r="CD6" s="24"/>
      <c r="CE6" s="24"/>
      <c r="CF6" s="24"/>
      <c r="CG6" s="24"/>
      <c r="CH6" s="24"/>
      <c r="CI6" s="24"/>
      <c r="CJ6" s="24"/>
      <c r="CK6" s="24"/>
      <c r="CL6" s="24"/>
    </row>
    <row r="7" spans="1:93" ht="15.75" thickBot="1" x14ac:dyDescent="0.3">
      <c r="A7" s="30">
        <v>1000</v>
      </c>
      <c r="B7" s="102" t="s">
        <v>29</v>
      </c>
      <c r="C7" s="103" t="s">
        <v>51</v>
      </c>
      <c r="D7" s="117" t="s">
        <v>35</v>
      </c>
      <c r="E7" s="103" t="s">
        <v>51</v>
      </c>
      <c r="F7" s="117" t="s">
        <v>35</v>
      </c>
      <c r="G7" s="59">
        <v>1</v>
      </c>
      <c r="H7" s="168" t="s">
        <v>120</v>
      </c>
      <c r="I7" s="38">
        <f>MJ_Initialisation!AF10</f>
        <v>200</v>
      </c>
      <c r="J7" s="293">
        <f>I7+J6-J5</f>
        <v>190</v>
      </c>
      <c r="K7" s="169"/>
      <c r="L7" s="169"/>
      <c r="M7" s="169"/>
      <c r="N7" s="169"/>
      <c r="O7" s="169"/>
      <c r="P7" s="169"/>
      <c r="Q7" s="169"/>
      <c r="R7" s="169"/>
      <c r="S7" s="169"/>
      <c r="T7" s="169"/>
      <c r="U7" s="169"/>
      <c r="V7" s="169"/>
      <c r="W7" s="169"/>
      <c r="X7" s="169"/>
      <c r="Y7" s="169"/>
      <c r="Z7" s="169"/>
      <c r="AA7" s="169"/>
      <c r="AB7" s="169"/>
      <c r="AC7" s="169"/>
      <c r="AD7" s="169"/>
      <c r="AE7" s="169"/>
      <c r="AF7" s="169"/>
      <c r="AG7" s="169"/>
      <c r="AH7" s="263"/>
      <c r="AI7" s="263"/>
      <c r="AJ7" s="263"/>
      <c r="AK7" s="263"/>
    </row>
    <row r="8" spans="1:93" x14ac:dyDescent="0.25">
      <c r="A8" s="30">
        <v>1000</v>
      </c>
      <c r="B8" s="102" t="s">
        <v>29</v>
      </c>
      <c r="C8" s="103" t="s">
        <v>51</v>
      </c>
      <c r="D8" s="117" t="s">
        <v>35</v>
      </c>
      <c r="E8" s="103" t="s">
        <v>51</v>
      </c>
      <c r="F8" s="117" t="s">
        <v>35</v>
      </c>
      <c r="G8" s="75">
        <v>1</v>
      </c>
      <c r="H8" s="27" t="s">
        <v>26</v>
      </c>
      <c r="I8" s="76"/>
      <c r="J8" s="29">
        <f>MJ_Initialisation!D10</f>
        <v>80</v>
      </c>
      <c r="K8" s="29">
        <f>MJ_Initialisation!E10</f>
        <v>110</v>
      </c>
      <c r="L8" s="29">
        <f>MJ_Initialisation!F10</f>
        <v>10</v>
      </c>
      <c r="M8" s="29">
        <f>MJ_Initialisation!G10</f>
        <v>90</v>
      </c>
      <c r="N8" s="29">
        <f>MJ_Initialisation!H10</f>
        <v>10</v>
      </c>
      <c r="O8" s="29">
        <f>MJ_Initialisation!I10</f>
        <v>40</v>
      </c>
      <c r="P8" s="29">
        <f>MJ_Initialisation!J10</f>
        <v>0</v>
      </c>
      <c r="Q8" s="29">
        <f>MJ_Initialisation!K10</f>
        <v>150</v>
      </c>
      <c r="R8" s="29">
        <f>MJ_Initialisation!L10</f>
        <v>0</v>
      </c>
      <c r="S8" s="29">
        <f>MJ_Initialisation!M10</f>
        <v>140</v>
      </c>
      <c r="T8" s="29">
        <f>MJ_Initialisation!N10</f>
        <v>140</v>
      </c>
      <c r="U8" s="29">
        <f>MJ_Initialisation!O10</f>
        <v>110</v>
      </c>
      <c r="V8" s="29">
        <f>MJ_Initialisation!P10</f>
        <v>80</v>
      </c>
      <c r="W8" s="29">
        <f>MJ_Initialisation!Q10</f>
        <v>60</v>
      </c>
      <c r="X8" s="29">
        <f>MJ_Initialisation!R10</f>
        <v>50</v>
      </c>
      <c r="Y8" s="29">
        <f>MJ_Initialisation!S10</f>
        <v>30</v>
      </c>
      <c r="Z8" s="29">
        <f>MJ_Initialisation!T10</f>
        <v>100</v>
      </c>
      <c r="AA8" s="29">
        <f>MJ_Initialisation!U10</f>
        <v>50</v>
      </c>
      <c r="AB8" s="29">
        <f>MJ_Initialisation!V10</f>
        <v>150</v>
      </c>
      <c r="AC8" s="29">
        <f>MJ_Initialisation!W10</f>
        <v>130</v>
      </c>
      <c r="AD8" s="29">
        <f>MJ_Initialisation!X10</f>
        <v>170</v>
      </c>
      <c r="AE8" s="29">
        <f>MJ_Initialisation!Y10</f>
        <v>20</v>
      </c>
      <c r="AF8" s="29">
        <f>MJ_Initialisation!Z10</f>
        <v>20</v>
      </c>
      <c r="AG8" s="29">
        <f>MJ_Initialisation!AA10</f>
        <v>20</v>
      </c>
      <c r="AH8" s="235"/>
      <c r="AI8" s="235"/>
      <c r="AJ8" s="235"/>
      <c r="AK8" s="235"/>
    </row>
    <row r="9" spans="1:93" ht="15.75" thickBot="1" x14ac:dyDescent="0.3">
      <c r="A9" s="30">
        <v>1000</v>
      </c>
      <c r="B9" s="102" t="s">
        <v>29</v>
      </c>
      <c r="C9" s="103" t="s">
        <v>51</v>
      </c>
      <c r="D9" s="117" t="s">
        <v>35</v>
      </c>
      <c r="E9" s="103" t="s">
        <v>51</v>
      </c>
      <c r="F9" s="117" t="s">
        <v>35</v>
      </c>
      <c r="G9" s="59">
        <v>1</v>
      </c>
      <c r="H9" s="125" t="s">
        <v>24</v>
      </c>
      <c r="I9" s="31"/>
      <c r="J9" s="223">
        <v>150</v>
      </c>
      <c r="K9" s="223">
        <v>150</v>
      </c>
      <c r="L9" s="223">
        <v>150</v>
      </c>
      <c r="M9" s="223">
        <v>150</v>
      </c>
      <c r="N9" s="223">
        <v>150</v>
      </c>
      <c r="O9" s="223">
        <v>150</v>
      </c>
      <c r="P9" s="223">
        <v>150</v>
      </c>
      <c r="Q9" s="223">
        <v>150</v>
      </c>
      <c r="R9" s="223">
        <v>150</v>
      </c>
      <c r="S9" s="223">
        <v>150</v>
      </c>
      <c r="T9" s="223">
        <v>150</v>
      </c>
      <c r="U9" s="223">
        <v>150</v>
      </c>
      <c r="V9" s="223">
        <v>150</v>
      </c>
      <c r="W9" s="223">
        <v>150</v>
      </c>
      <c r="X9" s="223">
        <v>150</v>
      </c>
      <c r="Y9" s="223">
        <v>150</v>
      </c>
      <c r="Z9" s="223">
        <v>150</v>
      </c>
      <c r="AA9" s="223">
        <v>150</v>
      </c>
      <c r="AB9" s="223">
        <v>150</v>
      </c>
      <c r="AC9" s="223">
        <v>150</v>
      </c>
      <c r="AD9" s="223">
        <v>150</v>
      </c>
      <c r="AE9" s="223">
        <v>150</v>
      </c>
      <c r="AF9" s="223">
        <v>150</v>
      </c>
      <c r="AG9" s="223">
        <v>150</v>
      </c>
      <c r="AH9" s="223"/>
      <c r="AI9" s="223"/>
      <c r="AJ9" s="223"/>
      <c r="AK9" s="223"/>
    </row>
    <row r="10" spans="1:93" x14ac:dyDescent="0.25">
      <c r="A10" s="30">
        <v>1000</v>
      </c>
      <c r="B10" s="102" t="s">
        <v>29</v>
      </c>
      <c r="C10" s="103" t="s">
        <v>49</v>
      </c>
      <c r="D10" s="42" t="s">
        <v>48</v>
      </c>
      <c r="E10" s="103" t="s">
        <v>51</v>
      </c>
      <c r="F10" s="117" t="s">
        <v>35</v>
      </c>
      <c r="G10" s="60">
        <v>1</v>
      </c>
      <c r="H10" s="32" t="s">
        <v>41</v>
      </c>
      <c r="I10" s="33"/>
      <c r="J10" s="94"/>
      <c r="K10" s="29">
        <f>MJ_Initialisation!E28</f>
        <v>70</v>
      </c>
      <c r="L10" s="29">
        <f>MJ_Initialisation!F28</f>
        <v>10</v>
      </c>
      <c r="M10" s="29">
        <f>MJ_Initialisation!G28</f>
        <v>90</v>
      </c>
      <c r="N10" s="29">
        <f>MJ_Initialisation!H28</f>
        <v>10</v>
      </c>
      <c r="O10" s="29">
        <f>MJ_Initialisation!I28</f>
        <v>40</v>
      </c>
      <c r="P10" s="29">
        <f>MJ_Initialisation!J28</f>
        <v>0</v>
      </c>
      <c r="Q10" s="29">
        <f>MJ_Initialisation!K28</f>
        <v>150</v>
      </c>
      <c r="R10" s="29">
        <f>MJ_Initialisation!L28</f>
        <v>0</v>
      </c>
      <c r="S10" s="29">
        <f>MJ_Initialisation!M28</f>
        <v>140</v>
      </c>
      <c r="T10" s="29">
        <f>MJ_Initialisation!N28</f>
        <v>140</v>
      </c>
      <c r="U10" s="29">
        <f>MJ_Initialisation!O28</f>
        <v>110</v>
      </c>
      <c r="V10" s="29">
        <f>MJ_Initialisation!P28</f>
        <v>80</v>
      </c>
      <c r="W10" s="29">
        <f>MJ_Initialisation!Q28</f>
        <v>60</v>
      </c>
      <c r="X10" s="29">
        <f>MJ_Initialisation!R28</f>
        <v>50</v>
      </c>
      <c r="Y10" s="29">
        <f>MJ_Initialisation!S28</f>
        <v>30</v>
      </c>
      <c r="Z10" s="29">
        <f>MJ_Initialisation!T28</f>
        <v>100</v>
      </c>
      <c r="AA10" s="29">
        <f>MJ_Initialisation!U28</f>
        <v>50</v>
      </c>
      <c r="AB10" s="29">
        <f>MJ_Initialisation!V28</f>
        <v>150</v>
      </c>
      <c r="AC10" s="29">
        <f>MJ_Initialisation!W28</f>
        <v>130</v>
      </c>
      <c r="AD10" s="29">
        <f>MJ_Initialisation!X28</f>
        <v>170</v>
      </c>
      <c r="AE10" s="29">
        <f>MJ_Initialisation!Y28</f>
        <v>20</v>
      </c>
      <c r="AF10" s="29">
        <f>MJ_Initialisation!Z28</f>
        <v>20</v>
      </c>
      <c r="AG10" s="29">
        <f>MJ_Initialisation!AA28</f>
        <v>20</v>
      </c>
      <c r="AH10" s="235"/>
      <c r="AI10" s="235"/>
      <c r="AJ10" s="235"/>
      <c r="AK10" s="235"/>
    </row>
    <row r="11" spans="1:93" ht="21.75" customHeight="1" x14ac:dyDescent="0.25">
      <c r="A11" s="30">
        <v>1000</v>
      </c>
      <c r="B11" s="102" t="s">
        <v>29</v>
      </c>
      <c r="C11" s="103" t="s">
        <v>49</v>
      </c>
      <c r="D11" s="42" t="s">
        <v>48</v>
      </c>
      <c r="E11" s="103" t="s">
        <v>51</v>
      </c>
      <c r="F11" s="117" t="s">
        <v>35</v>
      </c>
      <c r="G11" s="59">
        <v>1</v>
      </c>
      <c r="H11" s="35" t="s">
        <v>27</v>
      </c>
      <c r="I11" s="31"/>
      <c r="J11" s="36">
        <f>MJ_Initialisation!D28</f>
        <v>70</v>
      </c>
      <c r="K11" s="298"/>
      <c r="L11" s="93"/>
      <c r="M11" s="5"/>
      <c r="N11" s="2"/>
      <c r="O11" s="2"/>
      <c r="P11" s="2"/>
      <c r="Q11" s="2"/>
      <c r="R11" s="2"/>
      <c r="S11" s="2"/>
      <c r="T11" s="5"/>
      <c r="U11" s="5"/>
      <c r="V11" s="5"/>
      <c r="W11" s="5"/>
      <c r="X11" s="5"/>
      <c r="Y11" s="5"/>
      <c r="Z11" s="5"/>
      <c r="AA11" s="5"/>
      <c r="AB11" s="5"/>
      <c r="AC11" s="5"/>
      <c r="AD11" s="5"/>
      <c r="AE11" s="5"/>
      <c r="AF11" s="148"/>
      <c r="AG11" s="5"/>
      <c r="AH11" s="222"/>
      <c r="AI11" s="222"/>
      <c r="AJ11" s="222"/>
      <c r="AK11" s="222"/>
    </row>
    <row r="12" spans="1:93" x14ac:dyDescent="0.25">
      <c r="A12" s="30">
        <v>1000</v>
      </c>
      <c r="B12" s="102" t="s">
        <v>29</v>
      </c>
      <c r="C12" s="103" t="s">
        <v>51</v>
      </c>
      <c r="D12" s="117" t="s">
        <v>35</v>
      </c>
      <c r="E12" s="103" t="s">
        <v>49</v>
      </c>
      <c r="F12" s="42" t="s">
        <v>48</v>
      </c>
      <c r="G12" s="60">
        <v>1</v>
      </c>
      <c r="H12" s="126" t="s">
        <v>57</v>
      </c>
      <c r="I12" s="37"/>
      <c r="J12" s="238">
        <f>MAX(J8+J9-J11-I7,0)</f>
        <v>0</v>
      </c>
      <c r="K12" s="238">
        <f>MAX(K8+K9-K11-J13,0)</f>
        <v>70</v>
      </c>
      <c r="L12" s="238">
        <f>MAX(L8+L9-L11-K13,0)</f>
        <v>10</v>
      </c>
      <c r="M12" s="238">
        <f t="shared" ref="L12:AG12" si="0">MAX(M8+M9-M11-L13,0)</f>
        <v>90</v>
      </c>
      <c r="N12" s="238">
        <f t="shared" si="0"/>
        <v>10</v>
      </c>
      <c r="O12" s="238">
        <f t="shared" si="0"/>
        <v>40</v>
      </c>
      <c r="P12" s="238">
        <f t="shared" si="0"/>
        <v>0</v>
      </c>
      <c r="Q12" s="238">
        <f t="shared" si="0"/>
        <v>150</v>
      </c>
      <c r="R12" s="238">
        <f t="shared" si="0"/>
        <v>0</v>
      </c>
      <c r="S12" s="238">
        <f t="shared" si="0"/>
        <v>140</v>
      </c>
      <c r="T12" s="238">
        <f t="shared" si="0"/>
        <v>140</v>
      </c>
      <c r="U12" s="238">
        <f t="shared" si="0"/>
        <v>110</v>
      </c>
      <c r="V12" s="238">
        <f t="shared" si="0"/>
        <v>80</v>
      </c>
      <c r="W12" s="238">
        <f t="shared" si="0"/>
        <v>60</v>
      </c>
      <c r="X12" s="238">
        <f t="shared" si="0"/>
        <v>50</v>
      </c>
      <c r="Y12" s="238">
        <f t="shared" si="0"/>
        <v>30</v>
      </c>
      <c r="Z12" s="238">
        <f t="shared" si="0"/>
        <v>100</v>
      </c>
      <c r="AA12" s="238">
        <f t="shared" si="0"/>
        <v>50</v>
      </c>
      <c r="AB12" s="238">
        <f t="shared" si="0"/>
        <v>150</v>
      </c>
      <c r="AC12" s="238">
        <f t="shared" si="0"/>
        <v>130</v>
      </c>
      <c r="AD12" s="238">
        <f t="shared" si="0"/>
        <v>170</v>
      </c>
      <c r="AE12" s="238">
        <f t="shared" si="0"/>
        <v>20</v>
      </c>
      <c r="AF12" s="238">
        <f t="shared" si="0"/>
        <v>20</v>
      </c>
      <c r="AG12" s="238">
        <f t="shared" si="0"/>
        <v>20</v>
      </c>
      <c r="AH12" s="238"/>
      <c r="AI12" s="238"/>
      <c r="AJ12" s="238"/>
      <c r="AK12" s="238"/>
    </row>
    <row r="13" spans="1:93" x14ac:dyDescent="0.25">
      <c r="A13" s="30">
        <v>1000</v>
      </c>
      <c r="B13" s="102" t="s">
        <v>29</v>
      </c>
      <c r="C13" s="103" t="s">
        <v>51</v>
      </c>
      <c r="D13" s="117" t="s">
        <v>35</v>
      </c>
      <c r="E13" s="103" t="s">
        <v>51</v>
      </c>
      <c r="F13" s="117" t="s">
        <v>35</v>
      </c>
      <c r="G13" s="59">
        <v>1</v>
      </c>
      <c r="H13" s="125" t="s">
        <v>37</v>
      </c>
      <c r="J13" s="39">
        <f>I7+J12+J11-J8</f>
        <v>190</v>
      </c>
      <c r="K13" s="39">
        <f t="shared" ref="K13:AG13" si="1">J13+K12+K11-K8</f>
        <v>150</v>
      </c>
      <c r="L13" s="39">
        <f t="shared" si="1"/>
        <v>150</v>
      </c>
      <c r="M13" s="39">
        <f>L13+M12+M11-M8</f>
        <v>150</v>
      </c>
      <c r="N13" s="39">
        <f t="shared" si="1"/>
        <v>150</v>
      </c>
      <c r="O13" s="39">
        <f t="shared" si="1"/>
        <v>150</v>
      </c>
      <c r="P13" s="39">
        <f t="shared" si="1"/>
        <v>150</v>
      </c>
      <c r="Q13" s="39">
        <f t="shared" si="1"/>
        <v>150</v>
      </c>
      <c r="R13" s="39">
        <f t="shared" si="1"/>
        <v>150</v>
      </c>
      <c r="S13" s="39">
        <f t="shared" si="1"/>
        <v>150</v>
      </c>
      <c r="T13" s="39">
        <f t="shared" si="1"/>
        <v>150</v>
      </c>
      <c r="U13" s="39">
        <f t="shared" si="1"/>
        <v>150</v>
      </c>
      <c r="V13" s="39">
        <f t="shared" si="1"/>
        <v>150</v>
      </c>
      <c r="W13" s="39">
        <f t="shared" si="1"/>
        <v>150</v>
      </c>
      <c r="X13" s="39">
        <f t="shared" si="1"/>
        <v>150</v>
      </c>
      <c r="Y13" s="39">
        <f t="shared" si="1"/>
        <v>150</v>
      </c>
      <c r="Z13" s="39">
        <f t="shared" si="1"/>
        <v>150</v>
      </c>
      <c r="AA13" s="39">
        <f t="shared" si="1"/>
        <v>150</v>
      </c>
      <c r="AB13" s="39">
        <f t="shared" si="1"/>
        <v>150</v>
      </c>
      <c r="AC13" s="39">
        <f t="shared" si="1"/>
        <v>150</v>
      </c>
      <c r="AD13" s="39">
        <f t="shared" si="1"/>
        <v>150</v>
      </c>
      <c r="AE13" s="39">
        <f t="shared" si="1"/>
        <v>150</v>
      </c>
      <c r="AF13" s="149">
        <f t="shared" si="1"/>
        <v>150</v>
      </c>
      <c r="AG13" s="39">
        <f t="shared" si="1"/>
        <v>150</v>
      </c>
      <c r="AH13" s="238"/>
      <c r="AI13" s="238"/>
      <c r="AJ13" s="238"/>
      <c r="AK13" s="238"/>
    </row>
    <row r="14" spans="1:93" ht="18" customHeight="1" x14ac:dyDescent="0.25">
      <c r="A14" s="79"/>
      <c r="B14" s="79"/>
      <c r="C14" s="77"/>
      <c r="D14" s="77"/>
      <c r="E14" s="77"/>
      <c r="F14" s="77"/>
      <c r="G14" s="70"/>
      <c r="H14" s="70"/>
      <c r="I14" s="70"/>
      <c r="J14" s="70"/>
      <c r="K14" s="70"/>
      <c r="L14" s="70"/>
      <c r="M14" s="70"/>
      <c r="N14" s="70"/>
      <c r="O14" s="70"/>
      <c r="P14" s="70"/>
      <c r="Q14" s="70"/>
      <c r="R14" s="70"/>
      <c r="S14" s="70"/>
      <c r="T14" s="70"/>
      <c r="U14" s="70"/>
      <c r="V14" s="70"/>
      <c r="W14" s="70"/>
      <c r="X14" s="70"/>
      <c r="Y14" s="70"/>
      <c r="Z14" s="70"/>
      <c r="AA14" s="70"/>
      <c r="AB14" s="70"/>
      <c r="AC14" s="11"/>
      <c r="AD14" s="11"/>
      <c r="AE14" s="11"/>
      <c r="AF14" s="62"/>
      <c r="AG14" s="77"/>
      <c r="AH14" s="244"/>
      <c r="AI14" s="244"/>
      <c r="AJ14" s="244"/>
      <c r="AK14" s="244"/>
    </row>
    <row r="15" spans="1:93" ht="19.5" customHeight="1" x14ac:dyDescent="0.25">
      <c r="A15" s="30">
        <v>2000</v>
      </c>
      <c r="B15" s="121" t="s">
        <v>30</v>
      </c>
      <c r="C15" s="103" t="s">
        <v>51</v>
      </c>
      <c r="D15" s="117" t="s">
        <v>35</v>
      </c>
      <c r="E15" s="103" t="s">
        <v>51</v>
      </c>
      <c r="F15" s="117" t="s">
        <v>35</v>
      </c>
      <c r="G15" s="60">
        <v>1</v>
      </c>
      <c r="H15" s="168" t="s">
        <v>115</v>
      </c>
      <c r="I15" s="169"/>
      <c r="J15" s="263">
        <f>J18</f>
        <v>40</v>
      </c>
      <c r="K15" s="169"/>
      <c r="L15" s="169"/>
      <c r="M15" s="169"/>
      <c r="N15" s="169"/>
      <c r="O15" s="169"/>
      <c r="P15" s="169"/>
      <c r="Q15" s="169"/>
      <c r="R15" s="169"/>
      <c r="S15" s="169"/>
      <c r="T15" s="169"/>
      <c r="U15" s="169"/>
      <c r="V15" s="169"/>
      <c r="W15" s="169"/>
      <c r="X15" s="169"/>
      <c r="Y15" s="169"/>
      <c r="Z15" s="169"/>
      <c r="AA15" s="169"/>
      <c r="AB15" s="169"/>
      <c r="AC15" s="169"/>
      <c r="AD15" s="169"/>
      <c r="AE15" s="169"/>
      <c r="AF15" s="169"/>
      <c r="AG15" s="169"/>
      <c r="AH15" s="263"/>
      <c r="AI15" s="263"/>
      <c r="AJ15" s="263"/>
      <c r="AK15" s="263"/>
      <c r="AL15" s="24"/>
      <c r="AM15" s="24"/>
      <c r="AN15" s="24"/>
      <c r="AO15" s="24"/>
      <c r="AP15" s="24"/>
      <c r="AQ15" s="24"/>
      <c r="AR15" s="24"/>
      <c r="AS15" s="24"/>
      <c r="AT15" s="24"/>
      <c r="AU15" s="24"/>
      <c r="AV15" s="24"/>
      <c r="AW15" s="24"/>
      <c r="AX15" s="24"/>
      <c r="AY15" s="24"/>
      <c r="AZ15" s="24"/>
      <c r="BA15" s="24"/>
      <c r="BB15" s="24"/>
      <c r="BC15" s="24"/>
      <c r="BD15" s="24"/>
      <c r="BE15" s="24"/>
      <c r="BF15" s="24"/>
      <c r="BG15" s="24"/>
      <c r="BH15" s="24"/>
      <c r="BI15" s="24"/>
      <c r="BJ15" s="24"/>
      <c r="BK15" s="24"/>
      <c r="BL15" s="24"/>
      <c r="BM15" s="24"/>
      <c r="BN15" s="24"/>
      <c r="BO15" s="24"/>
      <c r="BP15" s="24"/>
      <c r="BQ15" s="24"/>
      <c r="BR15" s="24"/>
      <c r="BS15" s="24"/>
      <c r="BT15" s="24"/>
      <c r="BU15" s="24"/>
      <c r="BV15" s="24"/>
      <c r="BW15" s="24"/>
      <c r="BX15" s="24"/>
      <c r="BY15" s="24"/>
      <c r="BZ15" s="24"/>
      <c r="CA15" s="24"/>
      <c r="CB15" s="24"/>
      <c r="CC15" s="24"/>
      <c r="CD15" s="24"/>
      <c r="CE15" s="24"/>
      <c r="CF15" s="24"/>
      <c r="CG15" s="24"/>
      <c r="CH15" s="24"/>
      <c r="CI15" s="24"/>
      <c r="CJ15" s="24"/>
      <c r="CK15" s="24"/>
    </row>
    <row r="16" spans="1:93" ht="19.5" customHeight="1" x14ac:dyDescent="0.25">
      <c r="A16" s="30">
        <v>2000</v>
      </c>
      <c r="B16" s="121" t="s">
        <v>30</v>
      </c>
      <c r="C16" s="103" t="s">
        <v>49</v>
      </c>
      <c r="D16" s="42" t="s">
        <v>48</v>
      </c>
      <c r="E16" s="103" t="s">
        <v>51</v>
      </c>
      <c r="F16" s="117" t="s">
        <v>35</v>
      </c>
      <c r="G16" s="59">
        <v>1</v>
      </c>
      <c r="H16" s="168" t="s">
        <v>116</v>
      </c>
      <c r="I16" s="169"/>
      <c r="J16" s="263">
        <f>J21</f>
        <v>80</v>
      </c>
      <c r="K16" s="169"/>
      <c r="L16" s="169"/>
      <c r="M16" s="169"/>
      <c r="N16" s="169"/>
      <c r="O16" s="169"/>
      <c r="P16" s="169"/>
      <c r="Q16" s="169"/>
      <c r="R16" s="169"/>
      <c r="S16" s="169"/>
      <c r="T16" s="169"/>
      <c r="U16" s="169"/>
      <c r="V16" s="169"/>
      <c r="W16" s="169"/>
      <c r="X16" s="169"/>
      <c r="Y16" s="169"/>
      <c r="Z16" s="169"/>
      <c r="AA16" s="169"/>
      <c r="AB16" s="169"/>
      <c r="AC16" s="169"/>
      <c r="AD16" s="169"/>
      <c r="AE16" s="169"/>
      <c r="AF16" s="169"/>
      <c r="AG16" s="169"/>
      <c r="AH16" s="263"/>
      <c r="AI16" s="263"/>
      <c r="AJ16" s="263"/>
      <c r="AK16" s="263"/>
      <c r="AL16" s="24"/>
      <c r="AM16" s="24"/>
      <c r="AN16" s="24"/>
      <c r="AO16" s="24"/>
      <c r="AP16" s="24"/>
      <c r="AQ16" s="24"/>
      <c r="AR16" s="24"/>
      <c r="AS16" s="24"/>
      <c r="AT16" s="24"/>
      <c r="AU16" s="24"/>
      <c r="AV16" s="24"/>
      <c r="AW16" s="24"/>
      <c r="AX16" s="24"/>
      <c r="AY16" s="24"/>
      <c r="AZ16" s="24"/>
      <c r="BA16" s="24"/>
      <c r="BB16" s="24"/>
      <c r="BC16" s="24"/>
      <c r="BD16" s="24"/>
      <c r="BE16" s="24"/>
      <c r="BF16" s="24"/>
      <c r="BG16" s="24"/>
      <c r="BH16" s="24"/>
      <c r="BI16" s="24"/>
      <c r="BJ16" s="24"/>
      <c r="BK16" s="24"/>
      <c r="BL16" s="24"/>
      <c r="BM16" s="24"/>
      <c r="BN16" s="24"/>
      <c r="BO16" s="24"/>
      <c r="BP16" s="24"/>
      <c r="BQ16" s="24"/>
      <c r="BR16" s="24"/>
      <c r="BS16" s="24"/>
      <c r="BT16" s="24"/>
      <c r="BU16" s="24"/>
      <c r="BV16" s="24"/>
      <c r="BW16" s="24"/>
      <c r="BX16" s="24"/>
      <c r="BY16" s="24"/>
      <c r="BZ16" s="24"/>
      <c r="CA16" s="24"/>
      <c r="CB16" s="24"/>
      <c r="CC16" s="24"/>
      <c r="CD16" s="24"/>
      <c r="CE16" s="24"/>
      <c r="CF16" s="24"/>
      <c r="CG16" s="24"/>
      <c r="CH16" s="24"/>
      <c r="CI16" s="24"/>
      <c r="CJ16" s="24"/>
      <c r="CK16" s="24"/>
    </row>
    <row r="17" spans="1:37" ht="15.75" thickBot="1" x14ac:dyDescent="0.3">
      <c r="A17" s="30">
        <v>2000</v>
      </c>
      <c r="B17" s="121" t="s">
        <v>30</v>
      </c>
      <c r="C17" s="103" t="s">
        <v>51</v>
      </c>
      <c r="D17" s="117" t="s">
        <v>35</v>
      </c>
      <c r="E17" s="103" t="s">
        <v>51</v>
      </c>
      <c r="F17" s="117" t="s">
        <v>35</v>
      </c>
      <c r="G17" s="60">
        <v>1</v>
      </c>
      <c r="H17" s="168" t="s">
        <v>120</v>
      </c>
      <c r="I17" s="38">
        <f>MJ_Initialisation!AF11</f>
        <v>200</v>
      </c>
      <c r="J17" s="293">
        <f>I17+J16-J15</f>
        <v>240</v>
      </c>
      <c r="K17" s="169"/>
      <c r="L17" s="169"/>
      <c r="M17" s="169"/>
      <c r="N17" s="169"/>
      <c r="O17" s="169"/>
      <c r="P17" s="169"/>
      <c r="Q17" s="169"/>
      <c r="R17" s="169"/>
      <c r="S17" s="169"/>
      <c r="T17" s="169"/>
      <c r="U17" s="169"/>
      <c r="V17" s="169"/>
      <c r="W17" s="169"/>
      <c r="X17" s="169"/>
      <c r="Y17" s="169"/>
      <c r="Z17" s="169"/>
      <c r="AA17" s="169"/>
      <c r="AB17" s="169"/>
      <c r="AC17" s="169"/>
      <c r="AD17" s="169"/>
      <c r="AE17" s="169"/>
      <c r="AF17" s="169"/>
      <c r="AG17" s="169"/>
      <c r="AH17" s="263"/>
      <c r="AI17" s="263"/>
      <c r="AJ17" s="263"/>
      <c r="AK17" s="263"/>
    </row>
    <row r="18" spans="1:37" x14ac:dyDescent="0.25">
      <c r="A18" s="30">
        <v>2000</v>
      </c>
      <c r="B18" s="121" t="s">
        <v>30</v>
      </c>
      <c r="C18" s="103" t="s">
        <v>51</v>
      </c>
      <c r="D18" s="117" t="s">
        <v>35</v>
      </c>
      <c r="E18" s="103" t="s">
        <v>51</v>
      </c>
      <c r="F18" s="117" t="s">
        <v>35</v>
      </c>
      <c r="G18" s="60">
        <v>1</v>
      </c>
      <c r="H18" s="27" t="s">
        <v>26</v>
      </c>
      <c r="I18" s="76"/>
      <c r="J18" s="29">
        <f>MJ_Initialisation!D11</f>
        <v>40</v>
      </c>
      <c r="K18" s="29">
        <f>MJ_Initialisation!E11</f>
        <v>140</v>
      </c>
      <c r="L18" s="29">
        <f>MJ_Initialisation!F11</f>
        <v>20</v>
      </c>
      <c r="M18" s="29">
        <f>MJ_Initialisation!G11</f>
        <v>170</v>
      </c>
      <c r="N18" s="29">
        <f>MJ_Initialisation!H11</f>
        <v>0</v>
      </c>
      <c r="O18" s="29">
        <f>MJ_Initialisation!I11</f>
        <v>60</v>
      </c>
      <c r="P18" s="29">
        <f>MJ_Initialisation!J11</f>
        <v>20</v>
      </c>
      <c r="Q18" s="29">
        <f>MJ_Initialisation!K11</f>
        <v>170</v>
      </c>
      <c r="R18" s="29">
        <f>MJ_Initialisation!L11</f>
        <v>40</v>
      </c>
      <c r="S18" s="29">
        <f>MJ_Initialisation!M11</f>
        <v>80</v>
      </c>
      <c r="T18" s="29">
        <f>MJ_Initialisation!N11</f>
        <v>130</v>
      </c>
      <c r="U18" s="29">
        <f>MJ_Initialisation!O11</f>
        <v>140</v>
      </c>
      <c r="V18" s="29">
        <f>MJ_Initialisation!P11</f>
        <v>30</v>
      </c>
      <c r="W18" s="29">
        <f>MJ_Initialisation!Q11</f>
        <v>70</v>
      </c>
      <c r="X18" s="29">
        <f>MJ_Initialisation!R11</f>
        <v>120</v>
      </c>
      <c r="Y18" s="29">
        <f>MJ_Initialisation!S11</f>
        <v>140</v>
      </c>
      <c r="Z18" s="29">
        <f>MJ_Initialisation!T11</f>
        <v>10</v>
      </c>
      <c r="AA18" s="29">
        <f>MJ_Initialisation!U11</f>
        <v>110</v>
      </c>
      <c r="AB18" s="29">
        <f>MJ_Initialisation!V11</f>
        <v>30</v>
      </c>
      <c r="AC18" s="29">
        <f>MJ_Initialisation!W11</f>
        <v>30</v>
      </c>
      <c r="AD18" s="29">
        <f>MJ_Initialisation!X11</f>
        <v>60</v>
      </c>
      <c r="AE18" s="29">
        <f>MJ_Initialisation!Y11</f>
        <v>100</v>
      </c>
      <c r="AF18" s="29">
        <f>MJ_Initialisation!Z11</f>
        <v>100</v>
      </c>
      <c r="AG18" s="29">
        <f>MJ_Initialisation!AA11</f>
        <v>140</v>
      </c>
      <c r="AH18" s="235"/>
      <c r="AI18" s="235"/>
      <c r="AJ18" s="235"/>
      <c r="AK18" s="235"/>
    </row>
    <row r="19" spans="1:37" ht="15.75" thickBot="1" x14ac:dyDescent="0.3">
      <c r="A19" s="30">
        <v>2000</v>
      </c>
      <c r="B19" s="121" t="s">
        <v>30</v>
      </c>
      <c r="C19" s="103" t="s">
        <v>51</v>
      </c>
      <c r="D19" s="117" t="s">
        <v>35</v>
      </c>
      <c r="E19" s="103" t="s">
        <v>51</v>
      </c>
      <c r="F19" s="117" t="s">
        <v>35</v>
      </c>
      <c r="G19" s="60">
        <v>1</v>
      </c>
      <c r="H19" s="125" t="s">
        <v>24</v>
      </c>
      <c r="I19" s="31"/>
      <c r="J19" s="223">
        <v>150</v>
      </c>
      <c r="K19" s="223">
        <v>150</v>
      </c>
      <c r="L19" s="223">
        <v>150</v>
      </c>
      <c r="M19" s="223">
        <v>150</v>
      </c>
      <c r="N19" s="223">
        <v>150</v>
      </c>
      <c r="O19" s="223">
        <v>150</v>
      </c>
      <c r="P19" s="223">
        <v>150</v>
      </c>
      <c r="Q19" s="223">
        <v>150</v>
      </c>
      <c r="R19" s="223">
        <v>150</v>
      </c>
      <c r="S19" s="223">
        <v>150</v>
      </c>
      <c r="T19" s="223">
        <v>150</v>
      </c>
      <c r="U19" s="223">
        <v>150</v>
      </c>
      <c r="V19" s="223">
        <v>150</v>
      </c>
      <c r="W19" s="223">
        <v>150</v>
      </c>
      <c r="X19" s="223">
        <v>150</v>
      </c>
      <c r="Y19" s="223">
        <v>150</v>
      </c>
      <c r="Z19" s="223">
        <v>150</v>
      </c>
      <c r="AA19" s="223">
        <v>150</v>
      </c>
      <c r="AB19" s="223">
        <v>150</v>
      </c>
      <c r="AC19" s="223">
        <v>150</v>
      </c>
      <c r="AD19" s="223">
        <v>150</v>
      </c>
      <c r="AE19" s="223">
        <v>150</v>
      </c>
      <c r="AF19" s="223">
        <v>150</v>
      </c>
      <c r="AG19" s="223">
        <v>150</v>
      </c>
      <c r="AH19" s="223"/>
      <c r="AI19" s="223"/>
      <c r="AJ19" s="223"/>
      <c r="AK19" s="223"/>
    </row>
    <row r="20" spans="1:37" x14ac:dyDescent="0.25">
      <c r="A20" s="30">
        <v>2000</v>
      </c>
      <c r="B20" s="121" t="s">
        <v>30</v>
      </c>
      <c r="C20" s="103" t="s">
        <v>49</v>
      </c>
      <c r="D20" s="42" t="s">
        <v>48</v>
      </c>
      <c r="E20" s="103" t="s">
        <v>51</v>
      </c>
      <c r="F20" s="117" t="s">
        <v>35</v>
      </c>
      <c r="G20" s="59">
        <v>1</v>
      </c>
      <c r="H20" s="32" t="s">
        <v>41</v>
      </c>
      <c r="I20" s="33"/>
      <c r="J20" s="94"/>
      <c r="K20" s="29">
        <f>MJ_Initialisation!E30</f>
        <v>50</v>
      </c>
      <c r="L20" s="29">
        <f>MJ_Initialisation!F30</f>
        <v>20</v>
      </c>
      <c r="M20" s="29">
        <f>MJ_Initialisation!G30</f>
        <v>170</v>
      </c>
      <c r="N20" s="29">
        <f>MJ_Initialisation!H30</f>
        <v>0</v>
      </c>
      <c r="O20" s="29">
        <f>MJ_Initialisation!I30</f>
        <v>60</v>
      </c>
      <c r="P20" s="29">
        <f>MJ_Initialisation!J30</f>
        <v>20</v>
      </c>
      <c r="Q20" s="29">
        <f>MJ_Initialisation!K30</f>
        <v>170</v>
      </c>
      <c r="R20" s="29">
        <f>MJ_Initialisation!L30</f>
        <v>40</v>
      </c>
      <c r="S20" s="29">
        <f>MJ_Initialisation!M30</f>
        <v>80</v>
      </c>
      <c r="T20" s="29">
        <f>MJ_Initialisation!N30</f>
        <v>130</v>
      </c>
      <c r="U20" s="29">
        <f>MJ_Initialisation!O30</f>
        <v>140</v>
      </c>
      <c r="V20" s="29">
        <f>MJ_Initialisation!P30</f>
        <v>30</v>
      </c>
      <c r="W20" s="29">
        <f>MJ_Initialisation!Q30</f>
        <v>70</v>
      </c>
      <c r="X20" s="29">
        <f>MJ_Initialisation!R30</f>
        <v>120</v>
      </c>
      <c r="Y20" s="29">
        <f>MJ_Initialisation!S30</f>
        <v>140</v>
      </c>
      <c r="Z20" s="29">
        <f>MJ_Initialisation!T30</f>
        <v>10</v>
      </c>
      <c r="AA20" s="29">
        <f>MJ_Initialisation!U30</f>
        <v>110</v>
      </c>
      <c r="AB20" s="29">
        <f>MJ_Initialisation!V30</f>
        <v>30</v>
      </c>
      <c r="AC20" s="29">
        <f>MJ_Initialisation!W30</f>
        <v>30</v>
      </c>
      <c r="AD20" s="29">
        <f>MJ_Initialisation!X30</f>
        <v>60</v>
      </c>
      <c r="AE20" s="29">
        <f>MJ_Initialisation!Y30</f>
        <v>100</v>
      </c>
      <c r="AF20" s="29">
        <f>MJ_Initialisation!Z30</f>
        <v>100</v>
      </c>
      <c r="AG20" s="29">
        <f>MJ_Initialisation!AA30</f>
        <v>140</v>
      </c>
      <c r="AH20" s="235"/>
      <c r="AI20" s="235"/>
      <c r="AJ20" s="235"/>
      <c r="AK20" s="235"/>
    </row>
    <row r="21" spans="1:37" ht="23.25" customHeight="1" x14ac:dyDescent="0.25">
      <c r="A21" s="30">
        <v>2000</v>
      </c>
      <c r="B21" s="121" t="s">
        <v>30</v>
      </c>
      <c r="C21" s="103" t="s">
        <v>49</v>
      </c>
      <c r="D21" s="42" t="s">
        <v>48</v>
      </c>
      <c r="E21" s="103" t="s">
        <v>51</v>
      </c>
      <c r="F21" s="117" t="s">
        <v>35</v>
      </c>
      <c r="G21" s="59">
        <v>1</v>
      </c>
      <c r="H21" s="35" t="s">
        <v>27</v>
      </c>
      <c r="I21" s="31"/>
      <c r="J21" s="36">
        <f>MJ_Initialisation!D30</f>
        <v>80</v>
      </c>
      <c r="K21" s="93"/>
      <c r="L21" s="93"/>
      <c r="M21" s="5"/>
      <c r="N21" s="2"/>
      <c r="O21" s="2"/>
      <c r="P21" s="2"/>
      <c r="Q21" s="2"/>
      <c r="R21" s="2"/>
      <c r="S21" s="2"/>
      <c r="T21" s="5"/>
      <c r="U21" s="5"/>
      <c r="V21" s="5"/>
      <c r="W21" s="5"/>
      <c r="X21" s="5"/>
      <c r="Y21" s="5"/>
      <c r="Z21" s="5"/>
      <c r="AA21" s="5"/>
      <c r="AB21" s="5"/>
      <c r="AC21" s="5"/>
      <c r="AD21" s="5"/>
      <c r="AE21" s="5"/>
      <c r="AF21" s="148"/>
      <c r="AG21" s="5"/>
      <c r="AH21" s="222"/>
      <c r="AI21" s="222"/>
      <c r="AJ21" s="222"/>
      <c r="AK21" s="222"/>
    </row>
    <row r="22" spans="1:37" x14ac:dyDescent="0.25">
      <c r="A22" s="30">
        <v>2000</v>
      </c>
      <c r="B22" s="121" t="s">
        <v>30</v>
      </c>
      <c r="C22" s="103" t="s">
        <v>51</v>
      </c>
      <c r="D22" s="117" t="s">
        <v>35</v>
      </c>
      <c r="E22" s="103" t="s">
        <v>49</v>
      </c>
      <c r="F22" s="42" t="s">
        <v>48</v>
      </c>
      <c r="G22" s="60">
        <v>1</v>
      </c>
      <c r="H22" s="126" t="s">
        <v>57</v>
      </c>
      <c r="I22" s="93"/>
      <c r="J22" s="238">
        <f>MAX(J18+J19-J21-I17,0)</f>
        <v>0</v>
      </c>
      <c r="K22" s="238">
        <f>MAX(K18+K19-K21-J23,0)</f>
        <v>50</v>
      </c>
      <c r="L22" s="238">
        <f t="shared" ref="L22:AG22" si="2">MAX(L18+L19-L21-K23,0)</f>
        <v>20</v>
      </c>
      <c r="M22" s="238">
        <f t="shared" si="2"/>
        <v>170</v>
      </c>
      <c r="N22" s="238">
        <f t="shared" si="2"/>
        <v>0</v>
      </c>
      <c r="O22" s="238">
        <f t="shared" si="2"/>
        <v>60</v>
      </c>
      <c r="P22" s="238">
        <f t="shared" si="2"/>
        <v>20</v>
      </c>
      <c r="Q22" s="238">
        <f t="shared" si="2"/>
        <v>170</v>
      </c>
      <c r="R22" s="238">
        <f t="shared" si="2"/>
        <v>40</v>
      </c>
      <c r="S22" s="238">
        <f t="shared" si="2"/>
        <v>80</v>
      </c>
      <c r="T22" s="238">
        <f t="shared" si="2"/>
        <v>130</v>
      </c>
      <c r="U22" s="238">
        <f t="shared" si="2"/>
        <v>140</v>
      </c>
      <c r="V22" s="238">
        <f t="shared" si="2"/>
        <v>30</v>
      </c>
      <c r="W22" s="238">
        <f t="shared" si="2"/>
        <v>70</v>
      </c>
      <c r="X22" s="238">
        <f t="shared" si="2"/>
        <v>120</v>
      </c>
      <c r="Y22" s="238">
        <f t="shared" si="2"/>
        <v>140</v>
      </c>
      <c r="Z22" s="238">
        <f t="shared" si="2"/>
        <v>10</v>
      </c>
      <c r="AA22" s="238">
        <f t="shared" si="2"/>
        <v>110</v>
      </c>
      <c r="AB22" s="238">
        <f t="shared" si="2"/>
        <v>30</v>
      </c>
      <c r="AC22" s="238">
        <f t="shared" si="2"/>
        <v>30</v>
      </c>
      <c r="AD22" s="238">
        <f t="shared" si="2"/>
        <v>60</v>
      </c>
      <c r="AE22" s="238">
        <f t="shared" si="2"/>
        <v>100</v>
      </c>
      <c r="AF22" s="238">
        <f t="shared" si="2"/>
        <v>100</v>
      </c>
      <c r="AG22" s="238">
        <f t="shared" si="2"/>
        <v>140</v>
      </c>
      <c r="AH22" s="238"/>
      <c r="AI22" s="238"/>
      <c r="AJ22" s="238"/>
      <c r="AK22" s="238"/>
    </row>
    <row r="23" spans="1:37" x14ac:dyDescent="0.25">
      <c r="A23" s="30">
        <v>2000</v>
      </c>
      <c r="B23" s="121" t="s">
        <v>30</v>
      </c>
      <c r="C23" s="103" t="s">
        <v>51</v>
      </c>
      <c r="D23" s="117" t="s">
        <v>35</v>
      </c>
      <c r="E23" s="103" t="s">
        <v>51</v>
      </c>
      <c r="F23" s="117" t="s">
        <v>35</v>
      </c>
      <c r="G23" s="60">
        <v>1</v>
      </c>
      <c r="H23" s="167" t="s">
        <v>37</v>
      </c>
      <c r="I23" s="5"/>
      <c r="J23" s="39">
        <f>I17+J22+J21-J18</f>
        <v>240</v>
      </c>
      <c r="K23" s="39">
        <f t="shared" ref="K23:L23" si="3">J23+K22+K21-K18</f>
        <v>150</v>
      </c>
      <c r="L23" s="39">
        <f t="shared" si="3"/>
        <v>150</v>
      </c>
      <c r="M23" s="39">
        <f>L23+M22+M21-M18</f>
        <v>150</v>
      </c>
      <c r="N23" s="39">
        <f t="shared" ref="N23:AG23" si="4">M23+N22+N21-N18</f>
        <v>150</v>
      </c>
      <c r="O23" s="39">
        <f t="shared" si="4"/>
        <v>150</v>
      </c>
      <c r="P23" s="39">
        <f t="shared" si="4"/>
        <v>150</v>
      </c>
      <c r="Q23" s="39">
        <f t="shared" si="4"/>
        <v>150</v>
      </c>
      <c r="R23" s="39">
        <f t="shared" si="4"/>
        <v>150</v>
      </c>
      <c r="S23" s="39">
        <f t="shared" si="4"/>
        <v>150</v>
      </c>
      <c r="T23" s="39">
        <f t="shared" si="4"/>
        <v>150</v>
      </c>
      <c r="U23" s="39">
        <f t="shared" si="4"/>
        <v>150</v>
      </c>
      <c r="V23" s="39">
        <f t="shared" si="4"/>
        <v>150</v>
      </c>
      <c r="W23" s="39">
        <f t="shared" si="4"/>
        <v>150</v>
      </c>
      <c r="X23" s="39">
        <f t="shared" si="4"/>
        <v>150</v>
      </c>
      <c r="Y23" s="39">
        <f t="shared" si="4"/>
        <v>150</v>
      </c>
      <c r="Z23" s="39">
        <f t="shared" si="4"/>
        <v>150</v>
      </c>
      <c r="AA23" s="39">
        <f t="shared" si="4"/>
        <v>150</v>
      </c>
      <c r="AB23" s="39">
        <f t="shared" si="4"/>
        <v>150</v>
      </c>
      <c r="AC23" s="39">
        <f t="shared" si="4"/>
        <v>150</v>
      </c>
      <c r="AD23" s="39">
        <f t="shared" si="4"/>
        <v>150</v>
      </c>
      <c r="AE23" s="39">
        <f t="shared" si="4"/>
        <v>150</v>
      </c>
      <c r="AF23" s="149">
        <f t="shared" si="4"/>
        <v>150</v>
      </c>
      <c r="AG23" s="39">
        <f t="shared" si="4"/>
        <v>150</v>
      </c>
      <c r="AH23" s="238"/>
      <c r="AI23" s="238"/>
      <c r="AJ23" s="238"/>
      <c r="AK23" s="238"/>
    </row>
    <row r="24" spans="1:37" x14ac:dyDescent="0.25">
      <c r="A24" s="79"/>
      <c r="B24" s="79"/>
      <c r="C24" s="72"/>
      <c r="D24" s="72"/>
      <c r="E24" s="72"/>
      <c r="F24" s="72"/>
      <c r="G24" s="72"/>
      <c r="H24" s="72"/>
      <c r="I24" s="72"/>
      <c r="J24" s="72"/>
      <c r="K24" s="72"/>
      <c r="L24" s="72"/>
      <c r="M24" s="72"/>
      <c r="N24" s="72"/>
      <c r="O24" s="72"/>
      <c r="P24" s="72"/>
      <c r="Q24" s="72"/>
      <c r="R24" s="72"/>
      <c r="S24" s="72"/>
      <c r="T24" s="72"/>
      <c r="U24" s="72"/>
      <c r="V24" s="72"/>
      <c r="W24" s="72"/>
      <c r="X24" s="72"/>
      <c r="Y24" s="72"/>
      <c r="Z24" s="72"/>
      <c r="AA24" s="72"/>
      <c r="AB24" s="72"/>
      <c r="AC24" s="71"/>
      <c r="AD24" s="71"/>
      <c r="AE24" s="71"/>
      <c r="AF24" s="73"/>
      <c r="AG24" s="152"/>
      <c r="AH24" s="259"/>
      <c r="AI24" s="259"/>
      <c r="AJ24" s="259"/>
      <c r="AK24" s="259"/>
    </row>
    <row r="25" spans="1:37" s="23" customFormat="1" x14ac:dyDescent="0.25">
      <c r="A25" s="30">
        <v>1000</v>
      </c>
      <c r="B25" s="102" t="s">
        <v>29</v>
      </c>
      <c r="C25" s="103" t="s">
        <v>49</v>
      </c>
      <c r="D25" s="42" t="s">
        <v>48</v>
      </c>
      <c r="E25" s="103" t="s">
        <v>51</v>
      </c>
      <c r="F25" s="117" t="s">
        <v>35</v>
      </c>
      <c r="G25" s="30">
        <v>1</v>
      </c>
      <c r="H25" s="98" t="s">
        <v>56</v>
      </c>
      <c r="I25" s="93"/>
      <c r="J25" s="93"/>
      <c r="K25" s="34">
        <f ca="1">PA_CDC!I22</f>
        <v>70</v>
      </c>
      <c r="L25" s="34">
        <f ca="1">PA_CDC!J22</f>
        <v>10</v>
      </c>
      <c r="M25" s="34">
        <f ca="1">PA_CDC!K22</f>
        <v>90</v>
      </c>
      <c r="N25" s="34">
        <f ca="1">PA_CDC!L22</f>
        <v>10</v>
      </c>
      <c r="O25" s="34">
        <f ca="1">PA_CDC!M22</f>
        <v>40</v>
      </c>
      <c r="P25" s="34">
        <f ca="1">PA_CDC!N22</f>
        <v>0</v>
      </c>
      <c r="Q25" s="34">
        <f ca="1">PA_CDC!O22</f>
        <v>150</v>
      </c>
      <c r="R25" s="34">
        <f ca="1">PA_CDC!P22</f>
        <v>0</v>
      </c>
      <c r="S25" s="34">
        <f ca="1">PA_CDC!Q22</f>
        <v>140</v>
      </c>
      <c r="T25" s="34">
        <f ca="1">PA_CDC!R22</f>
        <v>140</v>
      </c>
      <c r="U25" s="34">
        <f ca="1">PA_CDC!S22</f>
        <v>110</v>
      </c>
      <c r="V25" s="34">
        <f ca="1">PA_CDC!T22</f>
        <v>80</v>
      </c>
      <c r="W25" s="34">
        <f ca="1">PA_CDC!U22</f>
        <v>60</v>
      </c>
      <c r="X25" s="34">
        <f ca="1">PA_CDC!V22</f>
        <v>50</v>
      </c>
      <c r="Y25" s="34">
        <f ca="1">PA_CDC!W22</f>
        <v>30</v>
      </c>
      <c r="Z25" s="34">
        <f ca="1">PA_CDC!X22</f>
        <v>100</v>
      </c>
      <c r="AA25" s="34">
        <f ca="1">PA_CDC!Y22</f>
        <v>50</v>
      </c>
      <c r="AB25" s="34">
        <f ca="1">PA_CDC!Z22</f>
        <v>150</v>
      </c>
      <c r="AC25" s="34">
        <f ca="1">PA_CDC!AA22</f>
        <v>130</v>
      </c>
      <c r="AD25" s="34">
        <f ca="1">PA_CDC!AB22</f>
        <v>170</v>
      </c>
      <c r="AE25" s="34">
        <f ca="1">PA_CDC!AC22</f>
        <v>20</v>
      </c>
      <c r="AF25" s="34">
        <f ca="1">PA_CDC!AD22</f>
        <v>20</v>
      </c>
      <c r="AG25" s="34">
        <f ca="1">PA_CDC!AE22</f>
        <v>20</v>
      </c>
      <c r="AH25" s="236"/>
      <c r="AI25" s="236"/>
      <c r="AJ25" s="236"/>
      <c r="AK25" s="236"/>
    </row>
    <row r="26" spans="1:37" s="23" customFormat="1" x14ac:dyDescent="0.25">
      <c r="A26" s="30">
        <v>2000</v>
      </c>
      <c r="B26" s="121" t="s">
        <v>30</v>
      </c>
      <c r="C26" s="103" t="s">
        <v>49</v>
      </c>
      <c r="D26" s="42" t="s">
        <v>48</v>
      </c>
      <c r="E26" s="103" t="s">
        <v>51</v>
      </c>
      <c r="F26" s="117" t="s">
        <v>35</v>
      </c>
      <c r="G26" s="30">
        <v>1</v>
      </c>
      <c r="H26" s="98" t="s">
        <v>56</v>
      </c>
      <c r="I26" s="93"/>
      <c r="J26" s="93"/>
      <c r="K26" s="34">
        <f ca="1">PA_CDC!I56</f>
        <v>50</v>
      </c>
      <c r="L26" s="34">
        <f ca="1">PA_CDC!J56</f>
        <v>20</v>
      </c>
      <c r="M26" s="34">
        <f ca="1">PA_CDC!K56</f>
        <v>170</v>
      </c>
      <c r="N26" s="34">
        <f ca="1">PA_CDC!L56</f>
        <v>0</v>
      </c>
      <c r="O26" s="34">
        <f ca="1">PA_CDC!M56</f>
        <v>60</v>
      </c>
      <c r="P26" s="34">
        <f ca="1">PA_CDC!N56</f>
        <v>20</v>
      </c>
      <c r="Q26" s="34">
        <f ca="1">PA_CDC!O56</f>
        <v>170</v>
      </c>
      <c r="R26" s="34">
        <f ca="1">PA_CDC!P56</f>
        <v>40</v>
      </c>
      <c r="S26" s="34">
        <f ca="1">PA_CDC!Q56</f>
        <v>80</v>
      </c>
      <c r="T26" s="34">
        <f ca="1">PA_CDC!R56</f>
        <v>130</v>
      </c>
      <c r="U26" s="34">
        <f ca="1">PA_CDC!S56</f>
        <v>140</v>
      </c>
      <c r="V26" s="34">
        <f ca="1">PA_CDC!T56</f>
        <v>30</v>
      </c>
      <c r="W26" s="34">
        <f ca="1">PA_CDC!U56</f>
        <v>70</v>
      </c>
      <c r="X26" s="34">
        <f ca="1">PA_CDC!V56</f>
        <v>120</v>
      </c>
      <c r="Y26" s="34">
        <f ca="1">PA_CDC!W56</f>
        <v>140</v>
      </c>
      <c r="Z26" s="34">
        <f ca="1">PA_CDC!X56</f>
        <v>10</v>
      </c>
      <c r="AA26" s="34">
        <f ca="1">PA_CDC!Y56</f>
        <v>110</v>
      </c>
      <c r="AB26" s="34">
        <f ca="1">PA_CDC!Z56</f>
        <v>30</v>
      </c>
      <c r="AC26" s="34">
        <f ca="1">PA_CDC!AA56</f>
        <v>30</v>
      </c>
      <c r="AD26" s="34">
        <f ca="1">PA_CDC!AB56</f>
        <v>60</v>
      </c>
      <c r="AE26" s="34">
        <f ca="1">PA_CDC!AC56</f>
        <v>100</v>
      </c>
      <c r="AF26" s="34">
        <f ca="1">PA_CDC!AD56</f>
        <v>100</v>
      </c>
      <c r="AG26" s="34">
        <f ca="1">PA_CDC!AE56</f>
        <v>140</v>
      </c>
      <c r="AH26" s="236"/>
      <c r="AI26" s="236"/>
      <c r="AJ26" s="236"/>
      <c r="AK26" s="236"/>
    </row>
    <row r="28" spans="1:37" x14ac:dyDescent="0.25">
      <c r="J28" s="296"/>
    </row>
  </sheetData>
  <conditionalFormatting sqref="J23:AK23 J13:AK13">
    <cfRule type="expression" dxfId="19" priority="2">
      <formula>J13&lt;J9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euil7"/>
  <dimension ref="A1:CO29"/>
  <sheetViews>
    <sheetView topLeftCell="A10" zoomScale="68" zoomScaleNormal="68" workbookViewId="0">
      <selection activeCell="L22" activeCellId="1" sqref="L12:AG13 L22:AG23"/>
    </sheetView>
  </sheetViews>
  <sheetFormatPr baseColWidth="10" defaultColWidth="11.42578125" defaultRowHeight="15" x14ac:dyDescent="0.25"/>
  <cols>
    <col min="1" max="7" width="7" customWidth="1"/>
    <col min="8" max="8" width="17.28515625" customWidth="1"/>
    <col min="9" max="33" width="5.7109375" customWidth="1"/>
    <col min="34" max="34" width="6.7109375" customWidth="1"/>
  </cols>
  <sheetData>
    <row r="1" spans="1:93" ht="15.75" thickBot="1" x14ac:dyDescent="0.3"/>
    <row r="2" spans="1:93" s="24" customFormat="1" ht="25.5" customHeight="1" thickBot="1" x14ac:dyDescent="0.3">
      <c r="A2" s="120" t="s">
        <v>103</v>
      </c>
      <c r="B2" s="1" t="str">
        <f>J4</f>
        <v>W2/20</v>
      </c>
      <c r="D2" s="23"/>
      <c r="E2" s="23"/>
      <c r="F2" s="23"/>
      <c r="G2" s="23"/>
      <c r="H2" s="23"/>
      <c r="L2" s="23"/>
      <c r="M2" s="23"/>
      <c r="N2" s="23"/>
      <c r="O2" s="23"/>
      <c r="AF2" s="23"/>
      <c r="AG2" s="23"/>
      <c r="AH2"/>
      <c r="AK2" s="23"/>
      <c r="AL2" s="23"/>
      <c r="AM2" s="23"/>
      <c r="AN2" s="23"/>
      <c r="AO2" s="23"/>
      <c r="AP2" s="23"/>
      <c r="AQ2" s="23"/>
      <c r="AR2" s="23"/>
      <c r="AS2" s="23"/>
      <c r="AT2" s="23"/>
      <c r="AU2" s="23"/>
      <c r="AV2" s="23"/>
      <c r="AW2" s="23"/>
      <c r="AX2" s="23"/>
      <c r="AY2" s="23"/>
      <c r="AZ2" s="23"/>
      <c r="BA2" s="23"/>
      <c r="BB2" s="23"/>
      <c r="BC2" s="23"/>
      <c r="BD2" s="23"/>
      <c r="BE2" s="23"/>
      <c r="BF2" s="23"/>
      <c r="BG2" s="23"/>
      <c r="BH2" s="23"/>
      <c r="BI2" s="23"/>
      <c r="BJ2" s="23"/>
      <c r="BK2" s="23"/>
      <c r="BL2" s="23"/>
      <c r="BM2" s="23"/>
      <c r="BN2" s="23"/>
      <c r="BO2" s="23"/>
      <c r="BP2" s="23"/>
      <c r="BQ2" s="23"/>
      <c r="BR2" s="23"/>
      <c r="BS2" s="23"/>
      <c r="BT2" s="23"/>
      <c r="BU2" s="23"/>
      <c r="BV2" s="23"/>
      <c r="BW2" s="23"/>
      <c r="BX2" s="23"/>
      <c r="BY2" s="23"/>
      <c r="BZ2" s="23"/>
      <c r="CA2" s="23"/>
      <c r="CB2" s="23"/>
      <c r="CC2" s="23"/>
      <c r="CD2" s="23"/>
      <c r="CE2" s="23"/>
      <c r="CF2" s="23"/>
      <c r="CG2" s="23"/>
      <c r="CH2" s="23"/>
      <c r="CI2" s="23"/>
      <c r="CJ2" s="23"/>
      <c r="CK2" s="23"/>
      <c r="CL2" s="23"/>
      <c r="CM2" s="23"/>
      <c r="CN2" s="23"/>
      <c r="CO2" s="23"/>
    </row>
    <row r="3" spans="1:93" s="141" customFormat="1" ht="19.5" customHeight="1" x14ac:dyDescent="0.35">
      <c r="A3" s="23"/>
      <c r="B3" s="23"/>
      <c r="C3" s="23"/>
      <c r="D3" s="40"/>
      <c r="E3" s="23"/>
      <c r="F3" s="40"/>
      <c r="G3" s="23"/>
      <c r="H3" s="23"/>
      <c r="I3" s="23"/>
      <c r="J3" s="23"/>
      <c r="K3" s="23"/>
      <c r="L3" s="23"/>
      <c r="M3" s="23"/>
      <c r="N3" s="23"/>
      <c r="O3" s="23"/>
      <c r="P3" s="23"/>
      <c r="Q3" s="23"/>
      <c r="R3" s="23"/>
      <c r="S3" s="23"/>
      <c r="T3" s="23"/>
      <c r="U3" s="23"/>
      <c r="V3" s="23"/>
      <c r="W3" s="23"/>
      <c r="X3" s="23"/>
      <c r="Y3" s="23"/>
      <c r="Z3" s="23"/>
      <c r="AA3" s="23"/>
      <c r="AB3" s="23"/>
      <c r="AC3" s="23"/>
      <c r="AD3" s="23"/>
      <c r="AE3" s="23"/>
      <c r="AF3" s="23"/>
      <c r="AG3" s="23"/>
      <c r="AH3"/>
      <c r="AI3" s="24"/>
      <c r="AJ3" s="24"/>
      <c r="AK3" s="23"/>
      <c r="AL3" s="23"/>
      <c r="AM3" s="23"/>
      <c r="AN3" s="23"/>
      <c r="AO3" s="23"/>
      <c r="AP3" s="23"/>
      <c r="AQ3" s="23"/>
      <c r="AR3" s="23"/>
      <c r="AS3" s="23"/>
      <c r="AT3" s="23"/>
      <c r="AU3" s="23"/>
      <c r="AV3" s="23"/>
      <c r="AW3" s="23"/>
      <c r="AX3" s="23"/>
      <c r="AY3" s="23"/>
      <c r="AZ3" s="23"/>
      <c r="BA3" s="23"/>
      <c r="BB3" s="23"/>
      <c r="BC3" s="23"/>
      <c r="BD3" s="23"/>
      <c r="BE3" s="23"/>
      <c r="BF3" s="23"/>
      <c r="BG3" s="23"/>
      <c r="BH3" s="23"/>
      <c r="BI3" s="23"/>
      <c r="BJ3" s="23"/>
      <c r="BK3" s="23"/>
      <c r="BL3" s="23"/>
      <c r="BM3" s="23"/>
      <c r="BN3" s="23"/>
      <c r="BO3" s="23"/>
      <c r="BP3" s="23"/>
      <c r="BQ3" s="23"/>
      <c r="BR3" s="23"/>
      <c r="BS3" s="23"/>
      <c r="BT3" s="23"/>
      <c r="BU3" s="23"/>
      <c r="BV3" s="23"/>
      <c r="BW3" s="23"/>
      <c r="BX3" s="23"/>
      <c r="BY3" s="23"/>
      <c r="BZ3" s="23"/>
      <c r="CA3" s="23"/>
      <c r="CB3" s="23"/>
      <c r="CC3" s="23"/>
      <c r="CD3" s="23"/>
      <c r="CE3" s="23"/>
      <c r="CF3" s="23"/>
      <c r="CG3" s="23"/>
      <c r="CH3" s="23"/>
      <c r="CI3" s="23"/>
      <c r="CJ3" s="23"/>
      <c r="CK3" s="23"/>
      <c r="CL3" s="23"/>
      <c r="CM3" s="23"/>
      <c r="CN3" s="23"/>
      <c r="CO3" s="23"/>
    </row>
    <row r="4" spans="1:93" ht="25.5" customHeight="1" x14ac:dyDescent="0.25">
      <c r="A4" s="68" t="s">
        <v>121</v>
      </c>
      <c r="B4" s="68" t="s">
        <v>122</v>
      </c>
      <c r="C4" s="68" t="s">
        <v>105</v>
      </c>
      <c r="D4" s="68" t="s">
        <v>123</v>
      </c>
      <c r="E4" s="68" t="s">
        <v>101</v>
      </c>
      <c r="F4" s="68" t="s">
        <v>124</v>
      </c>
      <c r="G4" s="130" t="s">
        <v>125</v>
      </c>
      <c r="H4" s="146" t="s">
        <v>102</v>
      </c>
      <c r="I4" s="214" t="s">
        <v>76</v>
      </c>
      <c r="J4" s="214" t="s">
        <v>77</v>
      </c>
      <c r="K4" s="214" t="s">
        <v>78</v>
      </c>
      <c r="L4" s="214" t="s">
        <v>79</v>
      </c>
      <c r="M4" s="214" t="s">
        <v>80</v>
      </c>
      <c r="N4" s="214" t="s">
        <v>81</v>
      </c>
      <c r="O4" s="214" t="s">
        <v>82</v>
      </c>
      <c r="P4" s="214" t="s">
        <v>83</v>
      </c>
      <c r="Q4" s="214" t="s">
        <v>84</v>
      </c>
      <c r="R4" s="214" t="s">
        <v>85</v>
      </c>
      <c r="S4" s="214" t="s">
        <v>86</v>
      </c>
      <c r="T4" s="214" t="s">
        <v>87</v>
      </c>
      <c r="U4" s="214" t="s">
        <v>88</v>
      </c>
      <c r="V4" s="214" t="s">
        <v>89</v>
      </c>
      <c r="W4" s="214" t="s">
        <v>90</v>
      </c>
      <c r="X4" s="214" t="s">
        <v>91</v>
      </c>
      <c r="Y4" s="214" t="s">
        <v>92</v>
      </c>
      <c r="Z4" s="214" t="s">
        <v>93</v>
      </c>
      <c r="AA4" s="214" t="s">
        <v>94</v>
      </c>
      <c r="AB4" s="214" t="s">
        <v>95</v>
      </c>
      <c r="AC4" s="214" t="s">
        <v>96</v>
      </c>
      <c r="AD4" s="214" t="s">
        <v>97</v>
      </c>
      <c r="AE4" s="214" t="s">
        <v>98</v>
      </c>
      <c r="AF4" s="215" t="s">
        <v>99</v>
      </c>
      <c r="AG4" s="214" t="s">
        <v>100</v>
      </c>
      <c r="AH4" s="214"/>
      <c r="AI4" s="214"/>
      <c r="AJ4" s="214"/>
      <c r="AK4" s="214"/>
      <c r="AL4" s="23"/>
      <c r="AM4" s="23"/>
      <c r="AN4" s="23"/>
      <c r="AO4" s="23"/>
      <c r="AP4" s="23"/>
      <c r="AQ4" s="23"/>
      <c r="AR4" s="23"/>
      <c r="AS4" s="23"/>
      <c r="AT4" s="23"/>
      <c r="AU4" s="23"/>
      <c r="AV4" s="23"/>
      <c r="AW4" s="23"/>
      <c r="AX4" s="23"/>
      <c r="AY4" s="23"/>
      <c r="AZ4" s="23"/>
      <c r="BA4" s="23"/>
      <c r="BB4" s="23"/>
      <c r="BC4" s="23"/>
      <c r="BD4" s="23"/>
      <c r="BE4" s="23"/>
      <c r="BF4" s="23"/>
      <c r="BG4" s="23"/>
      <c r="BH4" s="23"/>
      <c r="BI4" s="23"/>
      <c r="BJ4" s="23"/>
      <c r="BK4" s="23"/>
      <c r="BL4" s="23"/>
      <c r="BM4" s="23"/>
      <c r="BN4" s="23"/>
      <c r="BO4" s="23"/>
      <c r="BP4" s="23"/>
      <c r="BQ4" s="23"/>
      <c r="BR4" s="23"/>
      <c r="BS4" s="23"/>
      <c r="BT4" s="23"/>
      <c r="BU4" s="23"/>
      <c r="BV4" s="23"/>
      <c r="BW4" s="23"/>
      <c r="BX4" s="23"/>
      <c r="BY4" s="23"/>
      <c r="BZ4" s="23"/>
      <c r="CA4" s="23"/>
      <c r="CB4" s="23"/>
      <c r="CC4" s="23"/>
      <c r="CD4" s="23"/>
      <c r="CE4" s="23"/>
      <c r="CF4" s="23"/>
      <c r="CG4" s="23"/>
      <c r="CH4" s="23"/>
      <c r="CI4" s="23"/>
      <c r="CJ4" s="23"/>
      <c r="CK4" s="23"/>
    </row>
    <row r="5" spans="1:93" ht="19.5" customHeight="1" x14ac:dyDescent="0.25">
      <c r="A5" s="30">
        <v>1000</v>
      </c>
      <c r="B5" s="102" t="s">
        <v>29</v>
      </c>
      <c r="C5" s="103" t="s">
        <v>52</v>
      </c>
      <c r="D5" s="118" t="s">
        <v>36</v>
      </c>
      <c r="E5" s="103" t="s">
        <v>52</v>
      </c>
      <c r="F5" s="118" t="s">
        <v>36</v>
      </c>
      <c r="G5" s="75">
        <v>2</v>
      </c>
      <c r="H5" s="168" t="s">
        <v>115</v>
      </c>
      <c r="I5" s="169"/>
      <c r="J5" s="263">
        <f>J8</f>
        <v>50</v>
      </c>
      <c r="K5" s="169"/>
      <c r="L5" s="169"/>
      <c r="M5" s="169"/>
      <c r="N5" s="169"/>
      <c r="O5" s="169"/>
      <c r="P5" s="169"/>
      <c r="Q5" s="169"/>
      <c r="R5" s="169"/>
      <c r="S5" s="169"/>
      <c r="T5" s="169"/>
      <c r="U5" s="169"/>
      <c r="V5" s="169"/>
      <c r="W5" s="169"/>
      <c r="X5" s="169"/>
      <c r="Y5" s="169"/>
      <c r="Z5" s="169"/>
      <c r="AA5" s="169"/>
      <c r="AB5" s="169"/>
      <c r="AC5" s="169"/>
      <c r="AD5" s="169"/>
      <c r="AE5" s="169"/>
      <c r="AF5" s="169"/>
      <c r="AG5" s="169"/>
      <c r="AH5" s="263"/>
      <c r="AI5" s="263"/>
      <c r="AJ5" s="263"/>
      <c r="AK5" s="263"/>
      <c r="AL5" s="24"/>
      <c r="AM5" s="24"/>
      <c r="AN5" s="24"/>
      <c r="AO5" s="24"/>
      <c r="AP5" s="24"/>
      <c r="AQ5" s="24"/>
      <c r="AR5" s="24"/>
      <c r="AS5" s="24"/>
      <c r="AT5" s="24"/>
      <c r="AU5" s="24"/>
      <c r="AV5" s="24"/>
      <c r="AW5" s="24"/>
      <c r="AX5" s="24"/>
      <c r="AY5" s="24"/>
      <c r="AZ5" s="24"/>
      <c r="BA5" s="24"/>
      <c r="BB5" s="24"/>
      <c r="BC5" s="24"/>
      <c r="BD5" s="24"/>
      <c r="BE5" s="24"/>
      <c r="BF5" s="24"/>
      <c r="BG5" s="24"/>
      <c r="BH5" s="24"/>
      <c r="BI5" s="24"/>
      <c r="BJ5" s="24"/>
      <c r="BK5" s="24"/>
      <c r="BL5" s="24"/>
      <c r="BM5" s="24"/>
      <c r="BN5" s="24"/>
      <c r="BO5" s="24"/>
      <c r="BP5" s="24"/>
      <c r="BQ5" s="24"/>
      <c r="BR5" s="24"/>
      <c r="BS5" s="24"/>
      <c r="BT5" s="24"/>
      <c r="BU5" s="24"/>
      <c r="BV5" s="24"/>
      <c r="BW5" s="24"/>
      <c r="BX5" s="24"/>
      <c r="BY5" s="24"/>
      <c r="BZ5" s="24"/>
      <c r="CA5" s="24"/>
      <c r="CB5" s="24"/>
      <c r="CC5" s="24"/>
      <c r="CD5" s="24"/>
      <c r="CE5" s="24"/>
      <c r="CF5" s="24"/>
      <c r="CG5" s="24"/>
      <c r="CH5" s="24"/>
      <c r="CI5" s="24"/>
      <c r="CJ5" s="24"/>
      <c r="CK5" s="24"/>
    </row>
    <row r="6" spans="1:93" ht="19.5" customHeight="1" x14ac:dyDescent="0.25">
      <c r="A6" s="30">
        <v>1000</v>
      </c>
      <c r="B6" s="102" t="s">
        <v>29</v>
      </c>
      <c r="C6" s="103" t="s">
        <v>49</v>
      </c>
      <c r="D6" s="42" t="s">
        <v>48</v>
      </c>
      <c r="E6" s="103" t="s">
        <v>52</v>
      </c>
      <c r="F6" s="118" t="s">
        <v>36</v>
      </c>
      <c r="G6" s="59">
        <v>2</v>
      </c>
      <c r="H6" s="168" t="s">
        <v>116</v>
      </c>
      <c r="I6" s="169"/>
      <c r="J6" s="263">
        <f>J11</f>
        <v>100</v>
      </c>
      <c r="K6" s="169"/>
      <c r="L6" s="169"/>
      <c r="M6" s="169"/>
      <c r="N6" s="169"/>
      <c r="O6" s="169"/>
      <c r="P6" s="169"/>
      <c r="Q6" s="169"/>
      <c r="R6" s="169"/>
      <c r="S6" s="169"/>
      <c r="T6" s="169"/>
      <c r="U6" s="169"/>
      <c r="V6" s="169"/>
      <c r="W6" s="169"/>
      <c r="X6" s="169"/>
      <c r="Y6" s="169"/>
      <c r="Z6" s="169"/>
      <c r="AA6" s="169"/>
      <c r="AB6" s="169"/>
      <c r="AC6" s="169"/>
      <c r="AD6" s="169"/>
      <c r="AE6" s="169"/>
      <c r="AF6" s="169"/>
      <c r="AG6" s="169"/>
      <c r="AH6" s="263"/>
      <c r="AI6" s="263"/>
      <c r="AJ6" s="263"/>
      <c r="AK6" s="263"/>
      <c r="AL6" s="24"/>
      <c r="AM6" s="24"/>
      <c r="AN6" s="24"/>
      <c r="AO6" s="24"/>
      <c r="AP6" s="24"/>
      <c r="AQ6" s="24"/>
      <c r="AR6" s="24"/>
      <c r="AS6" s="24"/>
      <c r="AT6" s="24"/>
      <c r="AU6" s="24"/>
      <c r="AV6" s="24"/>
      <c r="AW6" s="24"/>
      <c r="AX6" s="24"/>
      <c r="AY6" s="24"/>
      <c r="AZ6" s="24"/>
      <c r="BA6" s="24"/>
      <c r="BB6" s="24"/>
      <c r="BC6" s="24"/>
      <c r="BD6" s="24"/>
      <c r="BE6" s="24"/>
      <c r="BF6" s="24"/>
      <c r="BG6" s="24"/>
      <c r="BH6" s="24"/>
      <c r="BI6" s="24"/>
      <c r="BJ6" s="24"/>
      <c r="BK6" s="24"/>
      <c r="BL6" s="24"/>
      <c r="BM6" s="24"/>
      <c r="BN6" s="24"/>
      <c r="BO6" s="24"/>
      <c r="BP6" s="24"/>
      <c r="BQ6" s="24"/>
      <c r="BR6" s="24"/>
      <c r="BS6" s="24"/>
      <c r="BT6" s="24"/>
      <c r="BU6" s="24"/>
      <c r="BV6" s="24"/>
      <c r="BW6" s="24"/>
      <c r="BX6" s="24"/>
      <c r="BY6" s="24"/>
      <c r="BZ6" s="24"/>
      <c r="CA6" s="24"/>
      <c r="CB6" s="24"/>
      <c r="CC6" s="24"/>
      <c r="CD6" s="24"/>
      <c r="CE6" s="24"/>
      <c r="CF6" s="24"/>
      <c r="CG6" s="24"/>
      <c r="CH6" s="24"/>
      <c r="CI6" s="24"/>
      <c r="CJ6" s="24"/>
      <c r="CK6" s="24"/>
    </row>
    <row r="7" spans="1:93" ht="19.5" customHeight="1" thickBot="1" x14ac:dyDescent="0.3">
      <c r="A7" s="30">
        <v>1000</v>
      </c>
      <c r="B7" s="102" t="s">
        <v>29</v>
      </c>
      <c r="C7" s="103" t="s">
        <v>52</v>
      </c>
      <c r="D7" s="118" t="s">
        <v>36</v>
      </c>
      <c r="E7" s="103" t="s">
        <v>52</v>
      </c>
      <c r="F7" s="118" t="s">
        <v>36</v>
      </c>
      <c r="G7" s="59">
        <v>2</v>
      </c>
      <c r="H7" s="168" t="s">
        <v>120</v>
      </c>
      <c r="I7" s="38">
        <f>MJ_Initialisation!AF12</f>
        <v>250</v>
      </c>
      <c r="J7" s="293">
        <f>I7+J6-J5</f>
        <v>300</v>
      </c>
      <c r="K7" s="169"/>
      <c r="L7" s="169"/>
      <c r="M7" s="169"/>
      <c r="N7" s="169"/>
      <c r="O7" s="169"/>
      <c r="P7" s="169"/>
      <c r="Q7" s="169"/>
      <c r="R7" s="169"/>
      <c r="S7" s="169"/>
      <c r="T7" s="169"/>
      <c r="U7" s="169"/>
      <c r="V7" s="169"/>
      <c r="W7" s="169"/>
      <c r="X7" s="169"/>
      <c r="Y7" s="169"/>
      <c r="Z7" s="169"/>
      <c r="AA7" s="169"/>
      <c r="AB7" s="169"/>
      <c r="AC7" s="169"/>
      <c r="AD7" s="169"/>
      <c r="AE7" s="169"/>
      <c r="AF7" s="169"/>
      <c r="AG7" s="169"/>
      <c r="AH7" s="263"/>
      <c r="AI7" s="263"/>
      <c r="AJ7" s="263"/>
      <c r="AK7" s="263"/>
      <c r="AL7" s="24"/>
      <c r="AM7" s="24"/>
      <c r="AN7" s="24"/>
      <c r="AO7" s="24"/>
      <c r="AP7" s="24"/>
      <c r="AQ7" s="24"/>
      <c r="AR7" s="24"/>
      <c r="AS7" s="24"/>
      <c r="AT7" s="24"/>
      <c r="AU7" s="24"/>
      <c r="AV7" s="24"/>
      <c r="AW7" s="24"/>
      <c r="AX7" s="24"/>
      <c r="AY7" s="24"/>
      <c r="AZ7" s="24"/>
      <c r="BA7" s="24"/>
      <c r="BB7" s="24"/>
      <c r="BC7" s="24"/>
      <c r="BD7" s="24"/>
      <c r="BE7" s="24"/>
      <c r="BF7" s="24"/>
      <c r="BG7" s="24"/>
      <c r="BH7" s="24"/>
      <c r="BI7" s="24"/>
      <c r="BJ7" s="24"/>
      <c r="BK7" s="24"/>
      <c r="BL7" s="24"/>
      <c r="BM7" s="24"/>
      <c r="BN7" s="24"/>
      <c r="BO7" s="24"/>
      <c r="BP7" s="24"/>
      <c r="BQ7" s="24"/>
      <c r="BR7" s="24"/>
      <c r="BS7" s="24"/>
      <c r="BT7" s="24"/>
      <c r="BU7" s="24"/>
      <c r="BV7" s="24"/>
      <c r="BW7" s="24"/>
      <c r="BX7" s="24"/>
      <c r="BY7" s="24"/>
      <c r="BZ7" s="24"/>
      <c r="CA7" s="24"/>
      <c r="CB7" s="24"/>
      <c r="CC7" s="24"/>
      <c r="CD7" s="24"/>
      <c r="CE7" s="24"/>
      <c r="CF7" s="24"/>
      <c r="CG7" s="24"/>
      <c r="CH7" s="24"/>
      <c r="CI7" s="24"/>
      <c r="CJ7" s="24"/>
      <c r="CK7" s="24"/>
    </row>
    <row r="8" spans="1:93" x14ac:dyDescent="0.25">
      <c r="A8" s="30">
        <v>1000</v>
      </c>
      <c r="B8" s="102" t="s">
        <v>29</v>
      </c>
      <c r="C8" s="103" t="s">
        <v>52</v>
      </c>
      <c r="D8" s="118" t="s">
        <v>36</v>
      </c>
      <c r="E8" s="103" t="s">
        <v>52</v>
      </c>
      <c r="F8" s="118" t="s">
        <v>36</v>
      </c>
      <c r="G8" s="75">
        <v>2</v>
      </c>
      <c r="H8" s="27" t="s">
        <v>26</v>
      </c>
      <c r="I8" s="76"/>
      <c r="J8" s="174">
        <f>MJ_Initialisation!D12</f>
        <v>50</v>
      </c>
      <c r="K8" s="174">
        <f>MJ_Initialisation!E12</f>
        <v>100</v>
      </c>
      <c r="L8" s="174">
        <f>MJ_Initialisation!F12</f>
        <v>150</v>
      </c>
      <c r="M8" s="174">
        <f>MJ_Initialisation!G12</f>
        <v>200</v>
      </c>
      <c r="N8" s="174">
        <f>MJ_Initialisation!H12</f>
        <v>200</v>
      </c>
      <c r="O8" s="174">
        <f>MJ_Initialisation!I12</f>
        <v>50</v>
      </c>
      <c r="P8" s="174">
        <f>MJ_Initialisation!J12</f>
        <v>150</v>
      </c>
      <c r="Q8" s="174">
        <f>MJ_Initialisation!K12</f>
        <v>250</v>
      </c>
      <c r="R8" s="174">
        <f>MJ_Initialisation!L12</f>
        <v>100</v>
      </c>
      <c r="S8" s="174">
        <f>MJ_Initialisation!M12</f>
        <v>50</v>
      </c>
      <c r="T8" s="174">
        <f>MJ_Initialisation!N12</f>
        <v>250</v>
      </c>
      <c r="U8" s="174">
        <f>MJ_Initialisation!O12</f>
        <v>200</v>
      </c>
      <c r="V8" s="174">
        <f>MJ_Initialisation!P12</f>
        <v>50</v>
      </c>
      <c r="W8" s="174">
        <f>MJ_Initialisation!Q12</f>
        <v>250</v>
      </c>
      <c r="X8" s="174">
        <f>MJ_Initialisation!R12</f>
        <v>200</v>
      </c>
      <c r="Y8" s="174">
        <f>MJ_Initialisation!S12</f>
        <v>250</v>
      </c>
      <c r="Z8" s="174">
        <f>MJ_Initialisation!T12</f>
        <v>250</v>
      </c>
      <c r="AA8" s="174">
        <f>MJ_Initialisation!U12</f>
        <v>150</v>
      </c>
      <c r="AB8" s="174">
        <f>MJ_Initialisation!V12</f>
        <v>250</v>
      </c>
      <c r="AC8" s="174">
        <f>MJ_Initialisation!W12</f>
        <v>150</v>
      </c>
      <c r="AD8" s="174">
        <f>MJ_Initialisation!X12</f>
        <v>300</v>
      </c>
      <c r="AE8" s="174">
        <f>MJ_Initialisation!Y12</f>
        <v>100</v>
      </c>
      <c r="AF8" s="174">
        <f>MJ_Initialisation!Z12</f>
        <v>200</v>
      </c>
      <c r="AG8" s="174">
        <f>MJ_Initialisation!AA12</f>
        <v>100</v>
      </c>
      <c r="AH8" s="266"/>
      <c r="AI8" s="266"/>
      <c r="AJ8" s="266"/>
      <c r="AK8" s="266"/>
    </row>
    <row r="9" spans="1:93" ht="15.75" thickBot="1" x14ac:dyDescent="0.3">
      <c r="A9" s="30">
        <v>1000</v>
      </c>
      <c r="B9" s="102" t="s">
        <v>29</v>
      </c>
      <c r="C9" s="103" t="s">
        <v>52</v>
      </c>
      <c r="D9" s="118" t="s">
        <v>36</v>
      </c>
      <c r="E9" s="103" t="s">
        <v>52</v>
      </c>
      <c r="F9" s="118" t="s">
        <v>36</v>
      </c>
      <c r="G9" s="59">
        <v>2</v>
      </c>
      <c r="H9" s="125" t="s">
        <v>24</v>
      </c>
      <c r="I9" s="31"/>
      <c r="J9" s="223">
        <v>300</v>
      </c>
      <c r="K9" s="223">
        <v>300</v>
      </c>
      <c r="L9" s="223">
        <v>300</v>
      </c>
      <c r="M9" s="223">
        <v>300</v>
      </c>
      <c r="N9" s="223">
        <v>300</v>
      </c>
      <c r="O9" s="223">
        <v>300</v>
      </c>
      <c r="P9" s="223">
        <v>300</v>
      </c>
      <c r="Q9" s="223">
        <v>300</v>
      </c>
      <c r="R9" s="223">
        <v>300</v>
      </c>
      <c r="S9" s="223">
        <v>300</v>
      </c>
      <c r="T9" s="223">
        <v>300</v>
      </c>
      <c r="U9" s="223">
        <v>300</v>
      </c>
      <c r="V9" s="223">
        <v>300</v>
      </c>
      <c r="W9" s="223">
        <v>300</v>
      </c>
      <c r="X9" s="223">
        <v>300</v>
      </c>
      <c r="Y9" s="223">
        <v>300</v>
      </c>
      <c r="Z9" s="223">
        <v>300</v>
      </c>
      <c r="AA9" s="223">
        <v>300</v>
      </c>
      <c r="AB9" s="223">
        <v>300</v>
      </c>
      <c r="AC9" s="223">
        <v>300</v>
      </c>
      <c r="AD9" s="223">
        <v>300</v>
      </c>
      <c r="AE9" s="223">
        <v>300</v>
      </c>
      <c r="AF9" s="223">
        <v>300</v>
      </c>
      <c r="AG9" s="223">
        <v>300</v>
      </c>
      <c r="AH9" s="223"/>
      <c r="AI9" s="223"/>
      <c r="AJ9" s="223"/>
      <c r="AK9" s="223"/>
    </row>
    <row r="10" spans="1:93" x14ac:dyDescent="0.25">
      <c r="A10" s="30">
        <v>1000</v>
      </c>
      <c r="B10" s="102" t="s">
        <v>29</v>
      </c>
      <c r="C10" s="103" t="s">
        <v>49</v>
      </c>
      <c r="D10" s="42" t="s">
        <v>48</v>
      </c>
      <c r="E10" s="103" t="s">
        <v>52</v>
      </c>
      <c r="F10" s="118" t="s">
        <v>36</v>
      </c>
      <c r="G10" s="60">
        <v>2</v>
      </c>
      <c r="H10" s="32" t="s">
        <v>41</v>
      </c>
      <c r="I10" s="33"/>
      <c r="J10" s="94"/>
      <c r="K10" s="94"/>
      <c r="L10" s="29">
        <f>MJ_Initialisation!F32</f>
        <v>150</v>
      </c>
      <c r="M10" s="29">
        <f>MJ_Initialisation!G32</f>
        <v>200</v>
      </c>
      <c r="N10" s="29">
        <f>MJ_Initialisation!H32</f>
        <v>200</v>
      </c>
      <c r="O10" s="29">
        <f>MJ_Initialisation!I32</f>
        <v>50</v>
      </c>
      <c r="P10" s="29">
        <f>MJ_Initialisation!J32</f>
        <v>150</v>
      </c>
      <c r="Q10" s="29">
        <f>MJ_Initialisation!K32</f>
        <v>250</v>
      </c>
      <c r="R10" s="29">
        <f>MJ_Initialisation!L32</f>
        <v>100</v>
      </c>
      <c r="S10" s="29">
        <f>MJ_Initialisation!M32</f>
        <v>50</v>
      </c>
      <c r="T10" s="29">
        <f>MJ_Initialisation!N32</f>
        <v>250</v>
      </c>
      <c r="U10" s="29">
        <f>MJ_Initialisation!O32</f>
        <v>200</v>
      </c>
      <c r="V10" s="29">
        <f>MJ_Initialisation!P32</f>
        <v>50</v>
      </c>
      <c r="W10" s="29">
        <f>MJ_Initialisation!Q32</f>
        <v>250</v>
      </c>
      <c r="X10" s="29">
        <f>MJ_Initialisation!R32</f>
        <v>200</v>
      </c>
      <c r="Y10" s="29">
        <f>MJ_Initialisation!S32</f>
        <v>250</v>
      </c>
      <c r="Z10" s="29">
        <f>MJ_Initialisation!T32</f>
        <v>250</v>
      </c>
      <c r="AA10" s="29">
        <f>MJ_Initialisation!U32</f>
        <v>150</v>
      </c>
      <c r="AB10" s="29">
        <f>MJ_Initialisation!V32</f>
        <v>250</v>
      </c>
      <c r="AC10" s="29">
        <f>MJ_Initialisation!W32</f>
        <v>150</v>
      </c>
      <c r="AD10" s="29">
        <f>MJ_Initialisation!X32</f>
        <v>300</v>
      </c>
      <c r="AE10" s="29">
        <f>MJ_Initialisation!Y32</f>
        <v>100</v>
      </c>
      <c r="AF10" s="29">
        <f>MJ_Initialisation!Z32</f>
        <v>200</v>
      </c>
      <c r="AG10" s="29">
        <f>MJ_Initialisation!AA32</f>
        <v>100</v>
      </c>
      <c r="AH10" s="235"/>
      <c r="AI10" s="235"/>
      <c r="AJ10" s="235"/>
      <c r="AK10" s="235"/>
    </row>
    <row r="11" spans="1:93" ht="20.25" customHeight="1" x14ac:dyDescent="0.25">
      <c r="A11" s="30">
        <v>1000</v>
      </c>
      <c r="B11" s="102" t="s">
        <v>29</v>
      </c>
      <c r="C11" s="103" t="s">
        <v>49</v>
      </c>
      <c r="D11" s="42" t="s">
        <v>48</v>
      </c>
      <c r="E11" s="103" t="s">
        <v>52</v>
      </c>
      <c r="F11" s="118" t="s">
        <v>36</v>
      </c>
      <c r="G11" s="59">
        <v>2</v>
      </c>
      <c r="H11" s="35" t="s">
        <v>27</v>
      </c>
      <c r="I11" s="31"/>
      <c r="J11" s="36">
        <f>MJ_Initialisation!D32</f>
        <v>100</v>
      </c>
      <c r="K11" s="36">
        <f>MJ_Initialisation!E32</f>
        <v>100</v>
      </c>
      <c r="L11" s="93"/>
      <c r="M11" s="5"/>
      <c r="N11" s="2"/>
      <c r="O11" s="2"/>
      <c r="P11" s="2"/>
      <c r="Q11" s="2"/>
      <c r="R11" s="2"/>
      <c r="S11" s="2"/>
      <c r="T11" s="5"/>
      <c r="U11" s="5"/>
      <c r="V11" s="5"/>
      <c r="W11" s="5"/>
      <c r="X11" s="5"/>
      <c r="Y11" s="5"/>
      <c r="Z11" s="5"/>
      <c r="AA11" s="5"/>
      <c r="AB11" s="5"/>
      <c r="AC11" s="5"/>
      <c r="AD11" s="5"/>
      <c r="AE11" s="5"/>
      <c r="AF11" s="148"/>
      <c r="AG11" s="5"/>
      <c r="AH11" s="222"/>
      <c r="AI11" s="222"/>
      <c r="AJ11" s="222"/>
      <c r="AK11" s="222"/>
    </row>
    <row r="12" spans="1:93" x14ac:dyDescent="0.25">
      <c r="A12" s="30">
        <v>1000</v>
      </c>
      <c r="B12" s="102" t="s">
        <v>29</v>
      </c>
      <c r="C12" s="103" t="s">
        <v>52</v>
      </c>
      <c r="D12" s="118" t="s">
        <v>36</v>
      </c>
      <c r="E12" s="103" t="s">
        <v>49</v>
      </c>
      <c r="F12" s="42" t="s">
        <v>48</v>
      </c>
      <c r="G12" s="60">
        <v>2</v>
      </c>
      <c r="H12" s="126" t="s">
        <v>57</v>
      </c>
      <c r="I12" s="37"/>
      <c r="J12" s="238">
        <f>MAX(J8+J9-J11-I7,0)</f>
        <v>0</v>
      </c>
      <c r="K12" s="238">
        <f>MAX(K8+K9-K11-J13,0)</f>
        <v>0</v>
      </c>
      <c r="L12" s="238">
        <f t="shared" ref="L12:AG12" si="0">MAX(L8+L9-L11-K13,0)</f>
        <v>150</v>
      </c>
      <c r="M12" s="238">
        <f t="shared" si="0"/>
        <v>200</v>
      </c>
      <c r="N12" s="238">
        <f t="shared" si="0"/>
        <v>200</v>
      </c>
      <c r="O12" s="238">
        <f t="shared" si="0"/>
        <v>50</v>
      </c>
      <c r="P12" s="238">
        <f t="shared" si="0"/>
        <v>150</v>
      </c>
      <c r="Q12" s="238">
        <f t="shared" si="0"/>
        <v>250</v>
      </c>
      <c r="R12" s="238">
        <f t="shared" si="0"/>
        <v>100</v>
      </c>
      <c r="S12" s="238">
        <f t="shared" si="0"/>
        <v>50</v>
      </c>
      <c r="T12" s="238">
        <f t="shared" si="0"/>
        <v>250</v>
      </c>
      <c r="U12" s="238">
        <f t="shared" si="0"/>
        <v>200</v>
      </c>
      <c r="V12" s="238">
        <f t="shared" si="0"/>
        <v>50</v>
      </c>
      <c r="W12" s="238">
        <f t="shared" si="0"/>
        <v>250</v>
      </c>
      <c r="X12" s="238">
        <f t="shared" si="0"/>
        <v>200</v>
      </c>
      <c r="Y12" s="238">
        <f t="shared" si="0"/>
        <v>250</v>
      </c>
      <c r="Z12" s="238">
        <f t="shared" si="0"/>
        <v>250</v>
      </c>
      <c r="AA12" s="238">
        <f t="shared" si="0"/>
        <v>150</v>
      </c>
      <c r="AB12" s="238">
        <f t="shared" si="0"/>
        <v>250</v>
      </c>
      <c r="AC12" s="238">
        <f t="shared" si="0"/>
        <v>150</v>
      </c>
      <c r="AD12" s="238">
        <f t="shared" si="0"/>
        <v>300</v>
      </c>
      <c r="AE12" s="238">
        <f t="shared" si="0"/>
        <v>100</v>
      </c>
      <c r="AF12" s="238">
        <f t="shared" si="0"/>
        <v>200</v>
      </c>
      <c r="AG12" s="238">
        <f t="shared" si="0"/>
        <v>100</v>
      </c>
      <c r="AH12" s="238"/>
      <c r="AI12" s="238"/>
      <c r="AJ12" s="238"/>
      <c r="AK12" s="238"/>
    </row>
    <row r="13" spans="1:93" x14ac:dyDescent="0.25">
      <c r="A13" s="30">
        <v>1000</v>
      </c>
      <c r="B13" s="102" t="s">
        <v>29</v>
      </c>
      <c r="C13" s="103" t="s">
        <v>52</v>
      </c>
      <c r="D13" s="118" t="s">
        <v>36</v>
      </c>
      <c r="E13" s="103" t="s">
        <v>52</v>
      </c>
      <c r="F13" s="118" t="s">
        <v>36</v>
      </c>
      <c r="G13" s="59">
        <v>2</v>
      </c>
      <c r="H13" s="125" t="s">
        <v>37</v>
      </c>
      <c r="J13" s="39">
        <f>I7+J12+J11-J8</f>
        <v>300</v>
      </c>
      <c r="K13" s="39">
        <f t="shared" ref="K13:AG13" si="1">J13+K12+K11-K8</f>
        <v>300</v>
      </c>
      <c r="L13" s="39">
        <f t="shared" si="1"/>
        <v>300</v>
      </c>
      <c r="M13" s="39">
        <f t="shared" si="1"/>
        <v>300</v>
      </c>
      <c r="N13" s="39">
        <f t="shared" si="1"/>
        <v>300</v>
      </c>
      <c r="O13" s="39">
        <f t="shared" si="1"/>
        <v>300</v>
      </c>
      <c r="P13" s="39">
        <f t="shared" si="1"/>
        <v>300</v>
      </c>
      <c r="Q13" s="39">
        <f t="shared" si="1"/>
        <v>300</v>
      </c>
      <c r="R13" s="39">
        <f t="shared" si="1"/>
        <v>300</v>
      </c>
      <c r="S13" s="39">
        <f t="shared" si="1"/>
        <v>300</v>
      </c>
      <c r="T13" s="39">
        <f t="shared" si="1"/>
        <v>300</v>
      </c>
      <c r="U13" s="39">
        <f t="shared" si="1"/>
        <v>300</v>
      </c>
      <c r="V13" s="39">
        <f t="shared" si="1"/>
        <v>300</v>
      </c>
      <c r="W13" s="39">
        <f t="shared" si="1"/>
        <v>300</v>
      </c>
      <c r="X13" s="39">
        <f t="shared" si="1"/>
        <v>300</v>
      </c>
      <c r="Y13" s="39">
        <f t="shared" si="1"/>
        <v>300</v>
      </c>
      <c r="Z13" s="39">
        <f t="shared" si="1"/>
        <v>300</v>
      </c>
      <c r="AA13" s="39">
        <f t="shared" si="1"/>
        <v>300</v>
      </c>
      <c r="AB13" s="39">
        <f t="shared" si="1"/>
        <v>300</v>
      </c>
      <c r="AC13" s="39">
        <f t="shared" si="1"/>
        <v>300</v>
      </c>
      <c r="AD13" s="39">
        <f t="shared" si="1"/>
        <v>300</v>
      </c>
      <c r="AE13" s="39">
        <f t="shared" si="1"/>
        <v>300</v>
      </c>
      <c r="AF13" s="149">
        <f t="shared" si="1"/>
        <v>300</v>
      </c>
      <c r="AG13" s="39">
        <f t="shared" si="1"/>
        <v>300</v>
      </c>
      <c r="AH13" s="238"/>
      <c r="AI13" s="238"/>
      <c r="AJ13" s="238"/>
      <c r="AK13" s="238"/>
    </row>
    <row r="14" spans="1:93" ht="6.75" customHeight="1" x14ac:dyDescent="0.25">
      <c r="A14" s="70"/>
      <c r="B14" s="70"/>
      <c r="C14" s="70"/>
      <c r="D14" s="70"/>
      <c r="E14" s="70"/>
      <c r="F14" s="70"/>
      <c r="G14" s="70"/>
      <c r="H14" s="70"/>
      <c r="I14" s="70"/>
      <c r="J14" s="70"/>
      <c r="K14" s="70"/>
      <c r="L14" s="70"/>
      <c r="M14" s="70"/>
      <c r="N14" s="70"/>
      <c r="O14" s="70"/>
      <c r="P14" s="70"/>
      <c r="Q14" s="70"/>
      <c r="R14" s="70"/>
      <c r="S14" s="70"/>
      <c r="T14" s="70"/>
      <c r="U14" s="70"/>
      <c r="V14" s="70"/>
      <c r="W14" s="70"/>
      <c r="X14" s="70"/>
      <c r="Y14" s="70"/>
      <c r="Z14" s="70"/>
      <c r="AA14" s="70"/>
      <c r="AB14" s="70"/>
      <c r="AC14" s="11"/>
      <c r="AD14" s="11"/>
      <c r="AE14" s="11"/>
      <c r="AF14" s="62"/>
      <c r="AG14" s="77"/>
      <c r="AH14" s="244"/>
      <c r="AI14" s="244"/>
      <c r="AJ14" s="244"/>
      <c r="AK14" s="244"/>
    </row>
    <row r="15" spans="1:93" ht="16.5" customHeight="1" x14ac:dyDescent="0.25">
      <c r="A15" s="108">
        <v>3000</v>
      </c>
      <c r="B15" s="122" t="s">
        <v>31</v>
      </c>
      <c r="C15" s="103" t="s">
        <v>52</v>
      </c>
      <c r="D15" s="118" t="s">
        <v>36</v>
      </c>
      <c r="E15" s="103" t="s">
        <v>52</v>
      </c>
      <c r="F15" s="118" t="s">
        <v>36</v>
      </c>
      <c r="G15" s="60">
        <v>2</v>
      </c>
      <c r="H15" s="168" t="s">
        <v>115</v>
      </c>
      <c r="I15" s="169"/>
      <c r="J15" s="263">
        <f>J18</f>
        <v>150</v>
      </c>
      <c r="K15" s="169"/>
      <c r="L15" s="169"/>
      <c r="M15" s="169"/>
      <c r="N15" s="169"/>
      <c r="O15" s="169"/>
      <c r="P15" s="169"/>
      <c r="Q15" s="169"/>
      <c r="R15" s="169"/>
      <c r="S15" s="169"/>
      <c r="T15" s="169"/>
      <c r="U15" s="169"/>
      <c r="V15" s="169"/>
      <c r="W15" s="169"/>
      <c r="X15" s="169"/>
      <c r="Y15" s="169"/>
      <c r="Z15" s="169"/>
      <c r="AA15" s="169"/>
      <c r="AB15" s="169"/>
      <c r="AC15" s="169"/>
      <c r="AD15" s="169"/>
      <c r="AE15" s="169"/>
      <c r="AF15" s="169"/>
      <c r="AG15" s="169"/>
      <c r="AH15" s="263"/>
      <c r="AI15" s="263"/>
      <c r="AJ15" s="263"/>
      <c r="AK15" s="263"/>
    </row>
    <row r="16" spans="1:93" ht="16.5" customHeight="1" x14ac:dyDescent="0.25">
      <c r="A16" s="108">
        <v>3000</v>
      </c>
      <c r="B16" s="122" t="s">
        <v>31</v>
      </c>
      <c r="C16" s="103" t="s">
        <v>49</v>
      </c>
      <c r="D16" s="42" t="s">
        <v>48</v>
      </c>
      <c r="E16" s="103" t="s">
        <v>52</v>
      </c>
      <c r="F16" s="118" t="s">
        <v>36</v>
      </c>
      <c r="G16" s="59">
        <v>2</v>
      </c>
      <c r="H16" s="168" t="s">
        <v>116</v>
      </c>
      <c r="I16" s="169"/>
      <c r="J16" s="263">
        <f>J21</f>
        <v>150</v>
      </c>
      <c r="K16" s="169"/>
      <c r="L16" s="169"/>
      <c r="M16" s="169"/>
      <c r="N16" s="169"/>
      <c r="O16" s="169"/>
      <c r="P16" s="169"/>
      <c r="Q16" s="169"/>
      <c r="R16" s="169"/>
      <c r="S16" s="169"/>
      <c r="T16" s="169"/>
      <c r="U16" s="169"/>
      <c r="V16" s="169"/>
      <c r="W16" s="169"/>
      <c r="X16" s="169"/>
      <c r="Y16" s="169"/>
      <c r="Z16" s="169"/>
      <c r="AA16" s="169"/>
      <c r="AB16" s="169"/>
      <c r="AC16" s="169"/>
      <c r="AD16" s="169"/>
      <c r="AE16" s="169"/>
      <c r="AF16" s="169"/>
      <c r="AG16" s="169"/>
      <c r="AH16" s="263"/>
      <c r="AI16" s="263"/>
      <c r="AJ16" s="263"/>
      <c r="AK16" s="263"/>
    </row>
    <row r="17" spans="1:37" ht="16.5" customHeight="1" thickBot="1" x14ac:dyDescent="0.3">
      <c r="A17" s="108">
        <v>3000</v>
      </c>
      <c r="B17" s="122" t="s">
        <v>31</v>
      </c>
      <c r="C17" s="103" t="s">
        <v>52</v>
      </c>
      <c r="D17" s="118" t="s">
        <v>36</v>
      </c>
      <c r="E17" s="103" t="s">
        <v>52</v>
      </c>
      <c r="F17" s="118" t="s">
        <v>36</v>
      </c>
      <c r="G17" s="60">
        <v>2</v>
      </c>
      <c r="H17" s="168" t="s">
        <v>120</v>
      </c>
      <c r="I17" s="38">
        <f>MJ_Initialisation!AF13</f>
        <v>300</v>
      </c>
      <c r="J17" s="293">
        <f>I17+J16-J15</f>
        <v>300</v>
      </c>
      <c r="K17" s="169"/>
      <c r="L17" s="169"/>
      <c r="M17" s="169"/>
      <c r="N17" s="169"/>
      <c r="O17" s="169"/>
      <c r="P17" s="169"/>
      <c r="Q17" s="169"/>
      <c r="R17" s="169"/>
      <c r="S17" s="169"/>
      <c r="T17" s="169"/>
      <c r="U17" s="169"/>
      <c r="V17" s="169"/>
      <c r="W17" s="169"/>
      <c r="X17" s="169"/>
      <c r="Y17" s="169"/>
      <c r="Z17" s="169"/>
      <c r="AA17" s="169"/>
      <c r="AB17" s="169"/>
      <c r="AC17" s="169"/>
      <c r="AD17" s="169"/>
      <c r="AE17" s="169"/>
      <c r="AF17" s="169"/>
      <c r="AG17" s="169"/>
      <c r="AH17" s="263"/>
      <c r="AI17" s="263"/>
      <c r="AJ17" s="263"/>
      <c r="AK17" s="263"/>
    </row>
    <row r="18" spans="1:37" x14ac:dyDescent="0.25">
      <c r="A18" s="108">
        <v>3000</v>
      </c>
      <c r="B18" s="122" t="s">
        <v>31</v>
      </c>
      <c r="C18" s="103" t="s">
        <v>52</v>
      </c>
      <c r="D18" s="118" t="s">
        <v>36</v>
      </c>
      <c r="E18" s="103" t="s">
        <v>52</v>
      </c>
      <c r="F18" s="118" t="s">
        <v>36</v>
      </c>
      <c r="G18" s="60">
        <v>2</v>
      </c>
      <c r="H18" s="27" t="s">
        <v>26</v>
      </c>
      <c r="I18" s="76"/>
      <c r="J18" s="174">
        <f>MJ_Initialisation!D13</f>
        <v>150</v>
      </c>
      <c r="K18" s="174">
        <f>MJ_Initialisation!E13</f>
        <v>100</v>
      </c>
      <c r="L18" s="174">
        <f>MJ_Initialisation!F13</f>
        <v>150</v>
      </c>
      <c r="M18" s="174">
        <f>MJ_Initialisation!G13</f>
        <v>150</v>
      </c>
      <c r="N18" s="174">
        <f>MJ_Initialisation!H13</f>
        <v>200</v>
      </c>
      <c r="O18" s="174">
        <f>MJ_Initialisation!I13</f>
        <v>100</v>
      </c>
      <c r="P18" s="174">
        <f>MJ_Initialisation!J13</f>
        <v>150</v>
      </c>
      <c r="Q18" s="174">
        <f>MJ_Initialisation!K13</f>
        <v>150</v>
      </c>
      <c r="R18" s="174">
        <f>MJ_Initialisation!L13</f>
        <v>300</v>
      </c>
      <c r="S18" s="174">
        <f>MJ_Initialisation!M13</f>
        <v>150</v>
      </c>
      <c r="T18" s="174">
        <f>MJ_Initialisation!N13</f>
        <v>150</v>
      </c>
      <c r="U18" s="174">
        <f>MJ_Initialisation!O13</f>
        <v>100</v>
      </c>
      <c r="V18" s="174">
        <f>MJ_Initialisation!P13</f>
        <v>50</v>
      </c>
      <c r="W18" s="174">
        <f>MJ_Initialisation!Q13</f>
        <v>100</v>
      </c>
      <c r="X18" s="174">
        <f>MJ_Initialisation!R13</f>
        <v>150</v>
      </c>
      <c r="Y18" s="174">
        <f>MJ_Initialisation!S13</f>
        <v>150</v>
      </c>
      <c r="Z18" s="174">
        <f>MJ_Initialisation!T13</f>
        <v>100</v>
      </c>
      <c r="AA18" s="174">
        <f>MJ_Initialisation!U13</f>
        <v>50</v>
      </c>
      <c r="AB18" s="174">
        <f>MJ_Initialisation!V13</f>
        <v>250</v>
      </c>
      <c r="AC18" s="174">
        <f>MJ_Initialisation!W13</f>
        <v>150</v>
      </c>
      <c r="AD18" s="174">
        <f>MJ_Initialisation!X13</f>
        <v>250</v>
      </c>
      <c r="AE18" s="174">
        <f>MJ_Initialisation!Y13</f>
        <v>200</v>
      </c>
      <c r="AF18" s="174">
        <f>MJ_Initialisation!Z13</f>
        <v>100</v>
      </c>
      <c r="AG18" s="174">
        <f>MJ_Initialisation!AA13</f>
        <v>50</v>
      </c>
      <c r="AH18" s="266"/>
      <c r="AI18" s="266"/>
      <c r="AJ18" s="266"/>
      <c r="AK18" s="266"/>
    </row>
    <row r="19" spans="1:37" ht="15.75" thickBot="1" x14ac:dyDescent="0.3">
      <c r="A19" s="108">
        <v>3000</v>
      </c>
      <c r="B19" s="122" t="s">
        <v>31</v>
      </c>
      <c r="C19" s="103" t="s">
        <v>52</v>
      </c>
      <c r="D19" s="118" t="s">
        <v>36</v>
      </c>
      <c r="E19" s="103" t="s">
        <v>52</v>
      </c>
      <c r="F19" s="118" t="s">
        <v>36</v>
      </c>
      <c r="G19" s="60">
        <v>2</v>
      </c>
      <c r="H19" s="125" t="s">
        <v>24</v>
      </c>
      <c r="I19" s="31"/>
      <c r="J19" s="223">
        <v>300</v>
      </c>
      <c r="K19" s="223">
        <v>300</v>
      </c>
      <c r="L19" s="223">
        <v>300</v>
      </c>
      <c r="M19" s="223">
        <v>300</v>
      </c>
      <c r="N19" s="223">
        <v>300</v>
      </c>
      <c r="O19" s="223">
        <v>300</v>
      </c>
      <c r="P19" s="223">
        <v>300</v>
      </c>
      <c r="Q19" s="223">
        <v>300</v>
      </c>
      <c r="R19" s="223">
        <v>300</v>
      </c>
      <c r="S19" s="223">
        <v>300</v>
      </c>
      <c r="T19" s="223">
        <v>300</v>
      </c>
      <c r="U19" s="223">
        <v>300</v>
      </c>
      <c r="V19" s="223">
        <v>300</v>
      </c>
      <c r="W19" s="223">
        <v>300</v>
      </c>
      <c r="X19" s="223">
        <v>300</v>
      </c>
      <c r="Y19" s="223">
        <v>300</v>
      </c>
      <c r="Z19" s="223">
        <v>300</v>
      </c>
      <c r="AA19" s="223">
        <v>300</v>
      </c>
      <c r="AB19" s="223">
        <v>300</v>
      </c>
      <c r="AC19" s="223">
        <v>300</v>
      </c>
      <c r="AD19" s="223">
        <v>300</v>
      </c>
      <c r="AE19" s="223">
        <v>300</v>
      </c>
      <c r="AF19" s="223">
        <v>300</v>
      </c>
      <c r="AG19" s="223">
        <v>300</v>
      </c>
      <c r="AH19" s="223"/>
      <c r="AI19" s="223"/>
      <c r="AJ19" s="223"/>
      <c r="AK19" s="223"/>
    </row>
    <row r="20" spans="1:37" x14ac:dyDescent="0.25">
      <c r="A20" s="108">
        <v>3000</v>
      </c>
      <c r="B20" s="122" t="s">
        <v>31</v>
      </c>
      <c r="C20" s="103" t="s">
        <v>49</v>
      </c>
      <c r="D20" s="42" t="s">
        <v>48</v>
      </c>
      <c r="E20" s="103" t="s">
        <v>52</v>
      </c>
      <c r="F20" s="118" t="s">
        <v>36</v>
      </c>
      <c r="G20" s="59">
        <v>2</v>
      </c>
      <c r="H20" s="32" t="s">
        <v>41</v>
      </c>
      <c r="I20" s="33"/>
      <c r="J20" s="94"/>
      <c r="K20" s="94"/>
      <c r="L20" s="29">
        <f>MJ_Initialisation!F34</f>
        <v>150</v>
      </c>
      <c r="M20" s="29">
        <f>MJ_Initialisation!G34</f>
        <v>150</v>
      </c>
      <c r="N20" s="29">
        <f>MJ_Initialisation!H34</f>
        <v>200</v>
      </c>
      <c r="O20" s="29">
        <f>MJ_Initialisation!I34</f>
        <v>100</v>
      </c>
      <c r="P20" s="29">
        <f>MJ_Initialisation!J34</f>
        <v>150</v>
      </c>
      <c r="Q20" s="29">
        <f>MJ_Initialisation!K34</f>
        <v>150</v>
      </c>
      <c r="R20" s="29">
        <f>MJ_Initialisation!L34</f>
        <v>300</v>
      </c>
      <c r="S20" s="29">
        <f>MJ_Initialisation!M34</f>
        <v>150</v>
      </c>
      <c r="T20" s="29">
        <f>MJ_Initialisation!N34</f>
        <v>150</v>
      </c>
      <c r="U20" s="29">
        <f>MJ_Initialisation!O34</f>
        <v>100</v>
      </c>
      <c r="V20" s="29">
        <f>MJ_Initialisation!P34</f>
        <v>50</v>
      </c>
      <c r="W20" s="29">
        <f>MJ_Initialisation!Q34</f>
        <v>100</v>
      </c>
      <c r="X20" s="29">
        <f>MJ_Initialisation!R34</f>
        <v>150</v>
      </c>
      <c r="Y20" s="29">
        <f>MJ_Initialisation!S34</f>
        <v>150</v>
      </c>
      <c r="Z20" s="29">
        <f>MJ_Initialisation!T34</f>
        <v>100</v>
      </c>
      <c r="AA20" s="29">
        <f>MJ_Initialisation!U34</f>
        <v>50</v>
      </c>
      <c r="AB20" s="29">
        <f>MJ_Initialisation!V34</f>
        <v>250</v>
      </c>
      <c r="AC20" s="29">
        <f>MJ_Initialisation!W34</f>
        <v>150</v>
      </c>
      <c r="AD20" s="29">
        <f>MJ_Initialisation!X34</f>
        <v>250</v>
      </c>
      <c r="AE20" s="29">
        <f>MJ_Initialisation!Y34</f>
        <v>200</v>
      </c>
      <c r="AF20" s="29">
        <f>MJ_Initialisation!Z34</f>
        <v>100</v>
      </c>
      <c r="AG20" s="29">
        <f>MJ_Initialisation!AA34</f>
        <v>50</v>
      </c>
      <c r="AH20" s="235"/>
      <c r="AI20" s="235"/>
      <c r="AJ20" s="235"/>
      <c r="AK20" s="235"/>
    </row>
    <row r="21" spans="1:37" ht="19.5" customHeight="1" x14ac:dyDescent="0.25">
      <c r="A21" s="108">
        <v>3000</v>
      </c>
      <c r="B21" s="122" t="s">
        <v>31</v>
      </c>
      <c r="C21" s="103" t="s">
        <v>49</v>
      </c>
      <c r="D21" s="42" t="s">
        <v>48</v>
      </c>
      <c r="E21" s="103" t="s">
        <v>52</v>
      </c>
      <c r="F21" s="118" t="s">
        <v>36</v>
      </c>
      <c r="G21" s="59">
        <v>2</v>
      </c>
      <c r="H21" s="35" t="s">
        <v>27</v>
      </c>
      <c r="I21" s="31"/>
      <c r="J21" s="36">
        <f>MJ_Initialisation!D34</f>
        <v>150</v>
      </c>
      <c r="K21" s="36">
        <f>MJ_Initialisation!E34</f>
        <v>100</v>
      </c>
      <c r="L21" s="93"/>
      <c r="M21" s="5"/>
      <c r="N21" s="2"/>
      <c r="O21" s="2"/>
      <c r="P21" s="2"/>
      <c r="Q21" s="2"/>
      <c r="R21" s="2"/>
      <c r="S21" s="2"/>
      <c r="T21" s="5"/>
      <c r="U21" s="5"/>
      <c r="V21" s="5"/>
      <c r="W21" s="5"/>
      <c r="X21" s="5"/>
      <c r="Y21" s="5"/>
      <c r="Z21" s="5"/>
      <c r="AA21" s="5"/>
      <c r="AB21" s="5"/>
      <c r="AC21" s="5"/>
      <c r="AD21" s="5"/>
      <c r="AE21" s="5"/>
      <c r="AF21" s="148"/>
      <c r="AG21" s="5"/>
      <c r="AH21" s="222"/>
      <c r="AI21" s="222"/>
      <c r="AJ21" s="222"/>
      <c r="AK21" s="222"/>
    </row>
    <row r="22" spans="1:37" x14ac:dyDescent="0.25">
      <c r="A22" s="108">
        <v>3000</v>
      </c>
      <c r="B22" s="122" t="s">
        <v>31</v>
      </c>
      <c r="C22" s="103" t="s">
        <v>52</v>
      </c>
      <c r="D22" s="118" t="s">
        <v>36</v>
      </c>
      <c r="E22" s="103" t="s">
        <v>49</v>
      </c>
      <c r="F22" s="42" t="s">
        <v>48</v>
      </c>
      <c r="G22" s="60">
        <v>2</v>
      </c>
      <c r="H22" s="126" t="s">
        <v>57</v>
      </c>
      <c r="I22" s="37"/>
      <c r="J22" s="238">
        <f>MAX(J18+J19-J21-I17,0)</f>
        <v>0</v>
      </c>
      <c r="K22" s="238">
        <f>MAX(K18+K19-K21-J23,0)</f>
        <v>0</v>
      </c>
      <c r="L22" s="238">
        <f>MAX(L18+L19-L21-K23,0)</f>
        <v>150</v>
      </c>
      <c r="M22" s="238">
        <f t="shared" ref="M22:AG22" si="2">MAX(M18+M19-M21-L23,0)</f>
        <v>150</v>
      </c>
      <c r="N22" s="238">
        <f t="shared" si="2"/>
        <v>200</v>
      </c>
      <c r="O22" s="238">
        <f t="shared" si="2"/>
        <v>100</v>
      </c>
      <c r="P22" s="238">
        <f t="shared" si="2"/>
        <v>150</v>
      </c>
      <c r="Q22" s="238">
        <f t="shared" si="2"/>
        <v>150</v>
      </c>
      <c r="R22" s="238">
        <f t="shared" si="2"/>
        <v>300</v>
      </c>
      <c r="S22" s="238">
        <f t="shared" si="2"/>
        <v>150</v>
      </c>
      <c r="T22" s="238">
        <f t="shared" si="2"/>
        <v>150</v>
      </c>
      <c r="U22" s="238">
        <f t="shared" si="2"/>
        <v>100</v>
      </c>
      <c r="V22" s="238">
        <f t="shared" si="2"/>
        <v>50</v>
      </c>
      <c r="W22" s="238">
        <f t="shared" si="2"/>
        <v>100</v>
      </c>
      <c r="X22" s="238">
        <f t="shared" si="2"/>
        <v>150</v>
      </c>
      <c r="Y22" s="238">
        <f t="shared" si="2"/>
        <v>150</v>
      </c>
      <c r="Z22" s="238">
        <f t="shared" si="2"/>
        <v>100</v>
      </c>
      <c r="AA22" s="238">
        <f t="shared" si="2"/>
        <v>50</v>
      </c>
      <c r="AB22" s="238">
        <f t="shared" si="2"/>
        <v>250</v>
      </c>
      <c r="AC22" s="238">
        <f t="shared" si="2"/>
        <v>150</v>
      </c>
      <c r="AD22" s="238">
        <f t="shared" si="2"/>
        <v>250</v>
      </c>
      <c r="AE22" s="238">
        <f t="shared" si="2"/>
        <v>200</v>
      </c>
      <c r="AF22" s="238">
        <f t="shared" si="2"/>
        <v>100</v>
      </c>
      <c r="AG22" s="238">
        <f t="shared" si="2"/>
        <v>50</v>
      </c>
      <c r="AH22" s="238"/>
      <c r="AI22" s="238"/>
      <c r="AJ22" s="238"/>
      <c r="AK22" s="238"/>
    </row>
    <row r="23" spans="1:37" ht="16.5" customHeight="1" x14ac:dyDescent="0.25">
      <c r="A23" s="108">
        <v>3000</v>
      </c>
      <c r="B23" s="122" t="s">
        <v>31</v>
      </c>
      <c r="C23" s="103" t="s">
        <v>52</v>
      </c>
      <c r="D23" s="118" t="s">
        <v>36</v>
      </c>
      <c r="E23" s="103" t="s">
        <v>52</v>
      </c>
      <c r="F23" s="118" t="s">
        <v>36</v>
      </c>
      <c r="G23" s="60">
        <v>2</v>
      </c>
      <c r="H23" s="125" t="s">
        <v>37</v>
      </c>
      <c r="J23" s="39">
        <f>I17+J22+J21-J18</f>
        <v>300</v>
      </c>
      <c r="K23" s="39">
        <f t="shared" ref="K23:AG23" si="3">J23+K22+K21-K18</f>
        <v>300</v>
      </c>
      <c r="L23" s="39">
        <f t="shared" si="3"/>
        <v>300</v>
      </c>
      <c r="M23" s="39">
        <f t="shared" si="3"/>
        <v>300</v>
      </c>
      <c r="N23" s="39">
        <f t="shared" si="3"/>
        <v>300</v>
      </c>
      <c r="O23" s="39">
        <f t="shared" si="3"/>
        <v>300</v>
      </c>
      <c r="P23" s="39">
        <f t="shared" si="3"/>
        <v>300</v>
      </c>
      <c r="Q23" s="39">
        <f t="shared" si="3"/>
        <v>300</v>
      </c>
      <c r="R23" s="39">
        <f t="shared" si="3"/>
        <v>300</v>
      </c>
      <c r="S23" s="39">
        <f t="shared" si="3"/>
        <v>300</v>
      </c>
      <c r="T23" s="39">
        <f t="shared" si="3"/>
        <v>300</v>
      </c>
      <c r="U23" s="39">
        <f t="shared" si="3"/>
        <v>300</v>
      </c>
      <c r="V23" s="39">
        <f t="shared" si="3"/>
        <v>300</v>
      </c>
      <c r="W23" s="39">
        <f t="shared" si="3"/>
        <v>300</v>
      </c>
      <c r="X23" s="39">
        <f t="shared" si="3"/>
        <v>300</v>
      </c>
      <c r="Y23" s="39">
        <f t="shared" si="3"/>
        <v>300</v>
      </c>
      <c r="Z23" s="39">
        <f t="shared" si="3"/>
        <v>300</v>
      </c>
      <c r="AA23" s="39">
        <f t="shared" si="3"/>
        <v>300</v>
      </c>
      <c r="AB23" s="39">
        <f t="shared" si="3"/>
        <v>300</v>
      </c>
      <c r="AC23" s="39">
        <f t="shared" si="3"/>
        <v>300</v>
      </c>
      <c r="AD23" s="39">
        <f t="shared" si="3"/>
        <v>300</v>
      </c>
      <c r="AE23" s="39">
        <f t="shared" si="3"/>
        <v>300</v>
      </c>
      <c r="AF23" s="149">
        <f t="shared" si="3"/>
        <v>300</v>
      </c>
      <c r="AG23" s="39">
        <f t="shared" si="3"/>
        <v>300</v>
      </c>
      <c r="AH23" s="238"/>
      <c r="AI23" s="238"/>
      <c r="AJ23" s="238"/>
      <c r="AK23" s="238"/>
    </row>
    <row r="24" spans="1:37" x14ac:dyDescent="0.25">
      <c r="A24" s="79"/>
      <c r="B24" s="79"/>
      <c r="C24" s="72"/>
      <c r="D24" s="72"/>
      <c r="E24" s="72"/>
      <c r="F24" s="72"/>
      <c r="G24" s="72"/>
      <c r="H24" s="72"/>
      <c r="I24" s="72"/>
      <c r="J24" s="72"/>
      <c r="K24" s="72"/>
      <c r="L24" s="72"/>
      <c r="M24" s="72"/>
      <c r="N24" s="72"/>
      <c r="O24" s="72"/>
      <c r="P24" s="72"/>
      <c r="Q24" s="72"/>
      <c r="R24" s="72"/>
      <c r="S24" s="72"/>
      <c r="T24" s="72"/>
      <c r="U24" s="72"/>
      <c r="V24" s="72"/>
      <c r="W24" s="72"/>
      <c r="X24" s="72"/>
      <c r="Y24" s="72"/>
      <c r="Z24" s="72"/>
      <c r="AA24" s="72"/>
      <c r="AB24" s="72"/>
      <c r="AC24" s="71"/>
      <c r="AD24" s="71"/>
      <c r="AE24" s="71"/>
      <c r="AF24" s="73"/>
      <c r="AG24" s="152"/>
      <c r="AH24" s="259"/>
      <c r="AI24" s="259"/>
      <c r="AJ24" s="259"/>
      <c r="AK24" s="259"/>
    </row>
    <row r="25" spans="1:37" s="23" customFormat="1" x14ac:dyDescent="0.25">
      <c r="A25" s="30">
        <v>1000</v>
      </c>
      <c r="B25" s="102" t="s">
        <v>29</v>
      </c>
      <c r="C25" s="103" t="s">
        <v>49</v>
      </c>
      <c r="D25" s="42" t="s">
        <v>48</v>
      </c>
      <c r="E25" s="103" t="s">
        <v>52</v>
      </c>
      <c r="F25" s="118" t="s">
        <v>36</v>
      </c>
      <c r="G25" s="30">
        <v>2</v>
      </c>
      <c r="H25" s="98" t="s">
        <v>56</v>
      </c>
      <c r="I25" s="93"/>
      <c r="J25" s="93"/>
      <c r="K25" s="93"/>
      <c r="L25" s="34">
        <f ca="1">PA_CDC!I27</f>
        <v>150</v>
      </c>
      <c r="M25" s="34">
        <f ca="1">PA_CDC!J27</f>
        <v>200</v>
      </c>
      <c r="N25" s="34">
        <f ca="1">PA_CDC!K27</f>
        <v>200</v>
      </c>
      <c r="O25" s="34">
        <f ca="1">PA_CDC!L27</f>
        <v>50</v>
      </c>
      <c r="P25" s="34">
        <f ca="1">PA_CDC!M27</f>
        <v>150</v>
      </c>
      <c r="Q25" s="34">
        <f ca="1">PA_CDC!N27</f>
        <v>250</v>
      </c>
      <c r="R25" s="34">
        <f ca="1">PA_CDC!O27</f>
        <v>100</v>
      </c>
      <c r="S25" s="34">
        <f ca="1">PA_CDC!P27</f>
        <v>50</v>
      </c>
      <c r="T25" s="34">
        <f ca="1">PA_CDC!Q27</f>
        <v>250</v>
      </c>
      <c r="U25" s="34">
        <f ca="1">PA_CDC!R27</f>
        <v>200</v>
      </c>
      <c r="V25" s="34">
        <f ca="1">PA_CDC!S27</f>
        <v>50</v>
      </c>
      <c r="W25" s="34">
        <f ca="1">PA_CDC!T27</f>
        <v>250</v>
      </c>
      <c r="X25" s="34">
        <f ca="1">PA_CDC!U27</f>
        <v>200</v>
      </c>
      <c r="Y25" s="34">
        <f ca="1">PA_CDC!V27</f>
        <v>250</v>
      </c>
      <c r="Z25" s="34">
        <f ca="1">PA_CDC!W27</f>
        <v>250</v>
      </c>
      <c r="AA25" s="34">
        <f ca="1">PA_CDC!X27</f>
        <v>150</v>
      </c>
      <c r="AB25" s="34">
        <f ca="1">PA_CDC!Y27</f>
        <v>250</v>
      </c>
      <c r="AC25" s="34">
        <f ca="1">PA_CDC!Z27</f>
        <v>150</v>
      </c>
      <c r="AD25" s="34">
        <f ca="1">PA_CDC!AA27</f>
        <v>300</v>
      </c>
      <c r="AE25" s="34">
        <f ca="1">PA_CDC!AB27</f>
        <v>100</v>
      </c>
      <c r="AF25" s="34">
        <f ca="1">PA_CDC!AC27</f>
        <v>200</v>
      </c>
      <c r="AG25" s="34">
        <f ca="1">PA_CDC!AD27</f>
        <v>100</v>
      </c>
      <c r="AH25" s="236"/>
      <c r="AI25" s="236"/>
      <c r="AJ25" s="236"/>
      <c r="AK25" s="236"/>
    </row>
    <row r="26" spans="1:37" s="23" customFormat="1" x14ac:dyDescent="0.25">
      <c r="A26" s="108">
        <v>3000</v>
      </c>
      <c r="B26" s="122" t="s">
        <v>31</v>
      </c>
      <c r="C26" s="103" t="s">
        <v>49</v>
      </c>
      <c r="D26" s="42" t="s">
        <v>48</v>
      </c>
      <c r="E26" s="103" t="s">
        <v>52</v>
      </c>
      <c r="F26" s="118" t="s">
        <v>36</v>
      </c>
      <c r="G26" s="30">
        <v>2</v>
      </c>
      <c r="H26" s="98" t="s">
        <v>56</v>
      </c>
      <c r="I26" s="93"/>
      <c r="J26" s="93"/>
      <c r="K26" s="93"/>
      <c r="L26" s="34">
        <f ca="1">PA_CDC!I85</f>
        <v>150</v>
      </c>
      <c r="M26" s="34">
        <f ca="1">PA_CDC!J85</f>
        <v>150</v>
      </c>
      <c r="N26" s="34">
        <f ca="1">PA_CDC!K85</f>
        <v>200</v>
      </c>
      <c r="O26" s="34">
        <f ca="1">PA_CDC!L85</f>
        <v>100</v>
      </c>
      <c r="P26" s="34">
        <f ca="1">PA_CDC!M85</f>
        <v>150</v>
      </c>
      <c r="Q26" s="34">
        <f ca="1">PA_CDC!N85</f>
        <v>150</v>
      </c>
      <c r="R26" s="34">
        <f ca="1">PA_CDC!O85</f>
        <v>300</v>
      </c>
      <c r="S26" s="34">
        <f ca="1">PA_CDC!P85</f>
        <v>150</v>
      </c>
      <c r="T26" s="34">
        <f ca="1">PA_CDC!Q85</f>
        <v>150</v>
      </c>
      <c r="U26" s="34">
        <f ca="1">PA_CDC!R85</f>
        <v>100</v>
      </c>
      <c r="V26" s="34">
        <f ca="1">PA_CDC!S85</f>
        <v>50</v>
      </c>
      <c r="W26" s="34">
        <f ca="1">PA_CDC!T85</f>
        <v>100</v>
      </c>
      <c r="X26" s="34">
        <f ca="1">PA_CDC!U85</f>
        <v>150</v>
      </c>
      <c r="Y26" s="34">
        <f ca="1">PA_CDC!V85</f>
        <v>150</v>
      </c>
      <c r="Z26" s="34">
        <f ca="1">PA_CDC!W85</f>
        <v>100</v>
      </c>
      <c r="AA26" s="34">
        <f ca="1">PA_CDC!X85</f>
        <v>50</v>
      </c>
      <c r="AB26" s="34">
        <f ca="1">PA_CDC!Y85</f>
        <v>250</v>
      </c>
      <c r="AC26" s="34">
        <f ca="1">PA_CDC!Z85</f>
        <v>150</v>
      </c>
      <c r="AD26" s="34">
        <f ca="1">PA_CDC!AA85</f>
        <v>250</v>
      </c>
      <c r="AE26" s="34">
        <f ca="1">PA_CDC!AB85</f>
        <v>200</v>
      </c>
      <c r="AF26" s="34">
        <f ca="1">PA_CDC!AC85</f>
        <v>100</v>
      </c>
      <c r="AG26" s="34">
        <f ca="1">PA_CDC!AD85</f>
        <v>50</v>
      </c>
      <c r="AH26" s="236"/>
      <c r="AI26" s="236"/>
      <c r="AJ26" s="236"/>
      <c r="AK26" s="236"/>
    </row>
    <row r="28" spans="1:37" x14ac:dyDescent="0.25">
      <c r="K28" s="296"/>
    </row>
    <row r="29" spans="1:37" x14ac:dyDescent="0.25">
      <c r="J29" s="296"/>
    </row>
  </sheetData>
  <conditionalFormatting sqref="J13:AK13">
    <cfRule type="expression" dxfId="18" priority="2">
      <formula>J13&lt;J9</formula>
    </cfRule>
  </conditionalFormatting>
  <conditionalFormatting sqref="J23:AK23">
    <cfRule type="expression" dxfId="17" priority="1">
      <formula>J23&lt;J19</formula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Feuil8"/>
  <dimension ref="A1:CO30"/>
  <sheetViews>
    <sheetView topLeftCell="A4" zoomScale="64" zoomScaleNormal="64" workbookViewId="0">
      <selection activeCell="M22" activeCellId="1" sqref="M12:AG13 M22:AG23"/>
    </sheetView>
  </sheetViews>
  <sheetFormatPr baseColWidth="10" defaultColWidth="11.42578125" defaultRowHeight="15" x14ac:dyDescent="0.25"/>
  <cols>
    <col min="1" max="7" width="7.42578125" customWidth="1"/>
    <col min="8" max="8" width="19.5703125" customWidth="1"/>
    <col min="9" max="33" width="6.140625" customWidth="1"/>
    <col min="34" max="34" width="5.42578125" customWidth="1"/>
  </cols>
  <sheetData>
    <row r="1" spans="1:93" ht="15.75" thickBot="1" x14ac:dyDescent="0.3"/>
    <row r="2" spans="1:93" s="24" customFormat="1" ht="25.5" customHeight="1" thickBot="1" x14ac:dyDescent="0.3">
      <c r="A2" s="120" t="s">
        <v>103</v>
      </c>
      <c r="B2" s="1" t="str">
        <f>J4</f>
        <v>W2/20</v>
      </c>
      <c r="D2" s="23"/>
      <c r="E2" s="23"/>
      <c r="F2" s="23"/>
      <c r="G2" s="23"/>
      <c r="H2" s="23"/>
      <c r="L2" s="23"/>
      <c r="M2" s="23"/>
      <c r="N2" s="23"/>
      <c r="O2" s="23"/>
      <c r="AF2" s="23"/>
      <c r="AG2" s="23"/>
      <c r="AH2"/>
      <c r="AK2" s="23"/>
      <c r="AL2" s="23"/>
      <c r="AM2" s="23"/>
      <c r="AN2" s="23"/>
      <c r="AO2" s="23"/>
      <c r="AP2" s="23"/>
      <c r="AQ2" s="23"/>
      <c r="AR2" s="23"/>
      <c r="AS2" s="23"/>
      <c r="AT2" s="23"/>
      <c r="AU2" s="23"/>
      <c r="AV2" s="23"/>
      <c r="AW2" s="23"/>
      <c r="AX2" s="23"/>
      <c r="AY2" s="23"/>
      <c r="AZ2" s="23"/>
      <c r="BA2" s="23"/>
      <c r="BB2" s="23"/>
      <c r="BC2" s="23"/>
      <c r="BD2" s="23"/>
      <c r="BE2" s="23"/>
      <c r="BF2" s="23"/>
      <c r="BG2" s="23"/>
      <c r="BH2" s="23"/>
      <c r="BI2" s="23"/>
      <c r="BJ2" s="23"/>
      <c r="BK2" s="23"/>
      <c r="BL2" s="23"/>
      <c r="BM2" s="23"/>
      <c r="BN2" s="23"/>
      <c r="BO2" s="23"/>
      <c r="BP2" s="23"/>
      <c r="BQ2" s="23"/>
      <c r="BR2" s="23"/>
      <c r="BS2" s="23"/>
      <c r="BT2" s="23"/>
      <c r="BU2" s="23"/>
      <c r="BV2" s="23"/>
      <c r="BW2" s="23"/>
      <c r="BX2" s="23"/>
      <c r="BY2" s="23"/>
      <c r="BZ2" s="23"/>
      <c r="CA2" s="23"/>
      <c r="CB2" s="23"/>
      <c r="CC2" s="23"/>
      <c r="CD2" s="23"/>
      <c r="CE2" s="23"/>
      <c r="CF2" s="23"/>
      <c r="CG2" s="23"/>
      <c r="CH2" s="23"/>
      <c r="CI2" s="23"/>
      <c r="CJ2" s="23"/>
      <c r="CK2" s="23"/>
      <c r="CL2" s="23"/>
      <c r="CM2" s="23"/>
      <c r="CN2" s="23"/>
      <c r="CO2" s="23"/>
    </row>
    <row r="3" spans="1:93" s="141" customFormat="1" ht="19.5" customHeight="1" x14ac:dyDescent="0.35">
      <c r="A3" s="23"/>
      <c r="B3" s="23"/>
      <c r="C3" s="23"/>
      <c r="D3" s="40"/>
      <c r="E3" s="23"/>
      <c r="F3" s="40"/>
      <c r="G3" s="23"/>
      <c r="H3" s="23"/>
      <c r="I3" s="23"/>
      <c r="J3" s="23"/>
      <c r="K3" s="23"/>
      <c r="L3" s="23"/>
      <c r="M3" s="23"/>
      <c r="N3" s="23"/>
      <c r="O3" s="23"/>
      <c r="P3" s="23"/>
      <c r="Q3" s="23"/>
      <c r="R3" s="23"/>
      <c r="S3" s="23"/>
      <c r="T3" s="23"/>
      <c r="U3" s="23"/>
      <c r="V3" s="23"/>
      <c r="W3" s="23"/>
      <c r="X3" s="23"/>
      <c r="Y3" s="23"/>
      <c r="Z3" s="23"/>
      <c r="AA3" s="23"/>
      <c r="AB3" s="23"/>
      <c r="AC3" s="23"/>
      <c r="AD3" s="23"/>
      <c r="AE3" s="23"/>
      <c r="AF3" s="23"/>
      <c r="AG3" s="23"/>
      <c r="AH3"/>
      <c r="AI3" s="24"/>
      <c r="AJ3" s="24"/>
      <c r="AK3" s="23"/>
      <c r="AL3" s="23"/>
      <c r="AM3" s="23"/>
      <c r="AN3" s="23"/>
      <c r="AO3" s="23"/>
      <c r="AP3" s="23"/>
      <c r="AQ3" s="23"/>
      <c r="AR3" s="23"/>
      <c r="AS3" s="23"/>
      <c r="AT3" s="23"/>
      <c r="AU3" s="23"/>
      <c r="AV3" s="23"/>
      <c r="AW3" s="23"/>
      <c r="AX3" s="23"/>
      <c r="AY3" s="23"/>
      <c r="AZ3" s="23"/>
      <c r="BA3" s="23"/>
      <c r="BB3" s="23"/>
      <c r="BC3" s="23"/>
      <c r="BD3" s="23"/>
      <c r="BE3" s="23"/>
      <c r="BF3" s="23"/>
      <c r="BG3" s="23"/>
      <c r="BH3" s="23"/>
      <c r="BI3" s="23"/>
      <c r="BJ3" s="23"/>
      <c r="BK3" s="23"/>
      <c r="BL3" s="23"/>
      <c r="BM3" s="23"/>
      <c r="BN3" s="23"/>
      <c r="BO3" s="23"/>
      <c r="BP3" s="23"/>
      <c r="BQ3" s="23"/>
      <c r="BR3" s="23"/>
      <c r="BS3" s="23"/>
      <c r="BT3" s="23"/>
      <c r="BU3" s="23"/>
      <c r="BV3" s="23"/>
      <c r="BW3" s="23"/>
      <c r="BX3" s="23"/>
      <c r="BY3" s="23"/>
      <c r="BZ3" s="23"/>
      <c r="CA3" s="23"/>
      <c r="CB3" s="23"/>
      <c r="CC3" s="23"/>
      <c r="CD3" s="23"/>
      <c r="CE3" s="23"/>
      <c r="CF3" s="23"/>
      <c r="CG3" s="23"/>
      <c r="CH3" s="23"/>
      <c r="CI3" s="23"/>
      <c r="CJ3" s="23"/>
      <c r="CK3" s="23"/>
      <c r="CL3" s="23"/>
      <c r="CM3" s="23"/>
      <c r="CN3" s="23"/>
      <c r="CO3" s="23"/>
    </row>
    <row r="4" spans="1:93" ht="22.5" customHeight="1" x14ac:dyDescent="0.25">
      <c r="A4" s="68" t="s">
        <v>121</v>
      </c>
      <c r="B4" s="68" t="s">
        <v>122</v>
      </c>
      <c r="C4" s="68" t="s">
        <v>105</v>
      </c>
      <c r="D4" s="68" t="s">
        <v>123</v>
      </c>
      <c r="E4" s="68" t="s">
        <v>101</v>
      </c>
      <c r="F4" s="68" t="s">
        <v>124</v>
      </c>
      <c r="G4" s="130" t="s">
        <v>125</v>
      </c>
      <c r="H4" s="1" t="s">
        <v>102</v>
      </c>
      <c r="I4" s="216" t="s">
        <v>76</v>
      </c>
      <c r="J4" s="216" t="s">
        <v>77</v>
      </c>
      <c r="K4" s="216" t="s">
        <v>78</v>
      </c>
      <c r="L4" s="216" t="s">
        <v>79</v>
      </c>
      <c r="M4" s="216" t="s">
        <v>80</v>
      </c>
      <c r="N4" s="216" t="s">
        <v>81</v>
      </c>
      <c r="O4" s="216" t="s">
        <v>82</v>
      </c>
      <c r="P4" s="216" t="s">
        <v>83</v>
      </c>
      <c r="Q4" s="216" t="s">
        <v>84</v>
      </c>
      <c r="R4" s="216" t="s">
        <v>85</v>
      </c>
      <c r="S4" s="216" t="s">
        <v>86</v>
      </c>
      <c r="T4" s="216" t="s">
        <v>87</v>
      </c>
      <c r="U4" s="216" t="s">
        <v>88</v>
      </c>
      <c r="V4" s="216" t="s">
        <v>89</v>
      </c>
      <c r="W4" s="216" t="s">
        <v>90</v>
      </c>
      <c r="X4" s="216" t="s">
        <v>91</v>
      </c>
      <c r="Y4" s="216" t="s">
        <v>92</v>
      </c>
      <c r="Z4" s="216" t="s">
        <v>93</v>
      </c>
      <c r="AA4" s="216" t="s">
        <v>94</v>
      </c>
      <c r="AB4" s="216" t="s">
        <v>95</v>
      </c>
      <c r="AC4" s="216" t="s">
        <v>96</v>
      </c>
      <c r="AD4" s="216" t="s">
        <v>97</v>
      </c>
      <c r="AE4" s="216" t="s">
        <v>98</v>
      </c>
      <c r="AF4" s="217" t="s">
        <v>99</v>
      </c>
      <c r="AG4" s="216" t="s">
        <v>100</v>
      </c>
      <c r="AH4" s="216"/>
      <c r="AI4" s="216"/>
      <c r="AJ4" s="216"/>
      <c r="AK4" s="216"/>
      <c r="AL4" s="23"/>
      <c r="AM4" s="23"/>
      <c r="AN4" s="23"/>
      <c r="AO4" s="23"/>
      <c r="AP4" s="23"/>
      <c r="AQ4" s="23"/>
      <c r="AR4" s="23"/>
      <c r="AS4" s="23"/>
      <c r="AT4" s="23"/>
      <c r="AU4" s="23"/>
      <c r="AV4" s="23"/>
      <c r="AW4" s="23"/>
      <c r="AX4" s="23"/>
      <c r="AY4" s="23"/>
      <c r="AZ4" s="23"/>
      <c r="BA4" s="23"/>
      <c r="BB4" s="23"/>
      <c r="BC4" s="23"/>
      <c r="BD4" s="23"/>
      <c r="BE4" s="23"/>
      <c r="BF4" s="23"/>
      <c r="BG4" s="23"/>
      <c r="BH4" s="23"/>
      <c r="BI4" s="23"/>
      <c r="BJ4" s="23"/>
      <c r="BK4" s="23"/>
      <c r="BL4" s="23"/>
      <c r="BM4" s="23"/>
      <c r="BN4" s="23"/>
      <c r="BO4" s="23"/>
      <c r="BP4" s="23"/>
      <c r="BQ4" s="23"/>
      <c r="BR4" s="23"/>
      <c r="BS4" s="23"/>
      <c r="BT4" s="23"/>
      <c r="BU4" s="23"/>
      <c r="BV4" s="23"/>
      <c r="BW4" s="23"/>
      <c r="BX4" s="23"/>
      <c r="BY4" s="23"/>
      <c r="BZ4" s="23"/>
      <c r="CA4" s="23"/>
      <c r="CB4" s="23"/>
      <c r="CC4" s="23"/>
      <c r="CD4" s="23"/>
      <c r="CE4" s="23"/>
      <c r="CF4" s="23"/>
      <c r="CG4" s="23"/>
      <c r="CH4" s="23"/>
      <c r="CI4" s="23"/>
      <c r="CJ4" s="23"/>
      <c r="CK4" s="23"/>
    </row>
    <row r="5" spans="1:93" ht="22.5" customHeight="1" x14ac:dyDescent="0.25">
      <c r="A5" s="30">
        <v>1000</v>
      </c>
      <c r="B5" s="102" t="s">
        <v>29</v>
      </c>
      <c r="C5" s="103" t="s">
        <v>53</v>
      </c>
      <c r="D5" s="119" t="s">
        <v>34</v>
      </c>
      <c r="E5" s="103" t="s">
        <v>53</v>
      </c>
      <c r="F5" s="119" t="s">
        <v>34</v>
      </c>
      <c r="G5" s="30">
        <v>3</v>
      </c>
      <c r="H5" s="168" t="s">
        <v>115</v>
      </c>
      <c r="I5" s="169"/>
      <c r="J5" s="263">
        <f>J8</f>
        <v>300</v>
      </c>
      <c r="K5" s="169"/>
      <c r="L5" s="169"/>
      <c r="M5" s="169"/>
      <c r="N5" s="169"/>
      <c r="O5" s="169"/>
      <c r="P5" s="169"/>
      <c r="Q5" s="169"/>
      <c r="R5" s="169"/>
      <c r="S5" s="169"/>
      <c r="T5" s="169"/>
      <c r="U5" s="169"/>
      <c r="V5" s="169"/>
      <c r="W5" s="169"/>
      <c r="X5" s="169"/>
      <c r="Y5" s="169"/>
      <c r="Z5" s="169"/>
      <c r="AA5" s="169"/>
      <c r="AB5" s="169"/>
      <c r="AC5" s="169"/>
      <c r="AD5" s="169"/>
      <c r="AE5" s="169"/>
      <c r="AF5" s="169"/>
      <c r="AG5" s="169"/>
      <c r="AH5" s="263"/>
      <c r="AI5" s="263"/>
      <c r="AJ5" s="263"/>
      <c r="AK5" s="263"/>
      <c r="AL5" s="24"/>
      <c r="AM5" s="24"/>
      <c r="AN5" s="24"/>
      <c r="AO5" s="24"/>
      <c r="AP5" s="24"/>
      <c r="AQ5" s="24"/>
      <c r="AR5" s="24"/>
      <c r="AS5" s="24"/>
      <c r="AT5" s="24"/>
      <c r="AU5" s="24"/>
      <c r="AV5" s="24"/>
      <c r="AW5" s="24"/>
      <c r="AX5" s="24"/>
      <c r="AY5" s="24"/>
      <c r="AZ5" s="24"/>
      <c r="BA5" s="24"/>
      <c r="BB5" s="24"/>
      <c r="BC5" s="24"/>
      <c r="BD5" s="24"/>
      <c r="BE5" s="24"/>
      <c r="BF5" s="24"/>
      <c r="BG5" s="24"/>
      <c r="BH5" s="24"/>
      <c r="BI5" s="24"/>
      <c r="BJ5" s="24"/>
      <c r="BK5" s="24"/>
      <c r="BL5" s="24"/>
      <c r="BM5" s="24"/>
      <c r="BN5" s="24"/>
      <c r="BO5" s="24"/>
      <c r="BP5" s="24"/>
      <c r="BQ5" s="24"/>
      <c r="BR5" s="24"/>
      <c r="BS5" s="24"/>
      <c r="BT5" s="24"/>
      <c r="BU5" s="24"/>
      <c r="BV5" s="24"/>
      <c r="BW5" s="24"/>
      <c r="BX5" s="24"/>
      <c r="BY5" s="24"/>
      <c r="BZ5" s="24"/>
      <c r="CA5" s="24"/>
      <c r="CB5" s="24"/>
      <c r="CC5" s="24"/>
      <c r="CD5" s="24"/>
      <c r="CE5" s="24"/>
      <c r="CF5" s="24"/>
      <c r="CG5" s="24"/>
      <c r="CH5" s="24"/>
      <c r="CI5" s="24"/>
      <c r="CJ5" s="24"/>
      <c r="CK5" s="24"/>
    </row>
    <row r="6" spans="1:93" ht="22.5" customHeight="1" x14ac:dyDescent="0.25">
      <c r="A6" s="30">
        <v>1000</v>
      </c>
      <c r="B6" s="102" t="s">
        <v>29</v>
      </c>
      <c r="C6" s="103" t="s">
        <v>49</v>
      </c>
      <c r="D6" s="42" t="s">
        <v>48</v>
      </c>
      <c r="E6" s="103" t="s">
        <v>53</v>
      </c>
      <c r="F6" s="119" t="s">
        <v>34</v>
      </c>
      <c r="G6" s="30">
        <v>3</v>
      </c>
      <c r="H6" s="168" t="s">
        <v>116</v>
      </c>
      <c r="I6" s="169"/>
      <c r="J6" s="263">
        <f>J11</f>
        <v>280</v>
      </c>
      <c r="K6" s="169"/>
      <c r="L6" s="169"/>
      <c r="M6" s="169"/>
      <c r="N6" s="169"/>
      <c r="O6" s="169"/>
      <c r="P6" s="169"/>
      <c r="Q6" s="169"/>
      <c r="R6" s="169"/>
      <c r="S6" s="169"/>
      <c r="T6" s="169"/>
      <c r="U6" s="169"/>
      <c r="V6" s="169"/>
      <c r="W6" s="169"/>
      <c r="X6" s="169"/>
      <c r="Y6" s="169"/>
      <c r="Z6" s="169"/>
      <c r="AA6" s="169"/>
      <c r="AB6" s="169"/>
      <c r="AC6" s="169"/>
      <c r="AD6" s="169"/>
      <c r="AE6" s="169"/>
      <c r="AF6" s="169"/>
      <c r="AG6" s="169"/>
      <c r="AH6" s="263"/>
      <c r="AI6" s="263"/>
      <c r="AJ6" s="263"/>
      <c r="AK6" s="263"/>
      <c r="AL6" s="24"/>
      <c r="AM6" s="24"/>
      <c r="AN6" s="24"/>
      <c r="AO6" s="24"/>
      <c r="AP6" s="24"/>
      <c r="AQ6" s="24"/>
      <c r="AR6" s="24"/>
      <c r="AS6" s="24"/>
      <c r="AT6" s="24"/>
      <c r="AU6" s="24"/>
      <c r="AV6" s="24"/>
      <c r="AW6" s="24"/>
      <c r="AX6" s="24"/>
      <c r="AY6" s="24"/>
      <c r="AZ6" s="24"/>
      <c r="BA6" s="24"/>
      <c r="BB6" s="24"/>
      <c r="BC6" s="24"/>
      <c r="BD6" s="24"/>
      <c r="BE6" s="24"/>
      <c r="BF6" s="24"/>
      <c r="BG6" s="24"/>
      <c r="BH6" s="24"/>
      <c r="BI6" s="24"/>
      <c r="BJ6" s="24"/>
      <c r="BK6" s="24"/>
      <c r="BL6" s="24"/>
      <c r="BM6" s="24"/>
      <c r="BN6" s="24"/>
      <c r="BO6" s="24"/>
      <c r="BP6" s="24"/>
      <c r="BQ6" s="24"/>
      <c r="BR6" s="24"/>
      <c r="BS6" s="24"/>
      <c r="BT6" s="24"/>
      <c r="BU6" s="24"/>
      <c r="BV6" s="24"/>
      <c r="BW6" s="24"/>
      <c r="BX6" s="24"/>
      <c r="BY6" s="24"/>
      <c r="BZ6" s="24"/>
      <c r="CA6" s="24"/>
      <c r="CB6" s="24"/>
      <c r="CC6" s="24"/>
      <c r="CD6" s="24"/>
      <c r="CE6" s="24"/>
      <c r="CF6" s="24"/>
      <c r="CG6" s="24"/>
      <c r="CH6" s="24"/>
      <c r="CI6" s="24"/>
      <c r="CJ6" s="24"/>
      <c r="CK6" s="24"/>
    </row>
    <row r="7" spans="1:93" ht="22.5" customHeight="1" x14ac:dyDescent="0.25">
      <c r="A7" s="30">
        <v>1000</v>
      </c>
      <c r="B7" s="102" t="s">
        <v>29</v>
      </c>
      <c r="C7" s="103" t="s">
        <v>53</v>
      </c>
      <c r="D7" s="119" t="s">
        <v>34</v>
      </c>
      <c r="E7" s="103" t="s">
        <v>53</v>
      </c>
      <c r="F7" s="119" t="s">
        <v>34</v>
      </c>
      <c r="G7" s="30">
        <v>3</v>
      </c>
      <c r="H7" s="168" t="s">
        <v>120</v>
      </c>
      <c r="I7" s="180">
        <f>MJ_Initialisation!AF14</f>
        <v>400</v>
      </c>
      <c r="J7" s="293">
        <f>I7+J6-J5</f>
        <v>380</v>
      </c>
      <c r="K7" s="169"/>
      <c r="L7" s="169"/>
      <c r="M7" s="169"/>
      <c r="N7" s="169"/>
      <c r="O7" s="169"/>
      <c r="P7" s="169"/>
      <c r="Q7" s="169"/>
      <c r="R7" s="169"/>
      <c r="S7" s="169"/>
      <c r="T7" s="169"/>
      <c r="U7" s="169"/>
      <c r="V7" s="169"/>
      <c r="W7" s="169"/>
      <c r="X7" s="169"/>
      <c r="Y7" s="169"/>
      <c r="Z7" s="169"/>
      <c r="AA7" s="169"/>
      <c r="AB7" s="169"/>
      <c r="AC7" s="169"/>
      <c r="AD7" s="169"/>
      <c r="AE7" s="169"/>
      <c r="AF7" s="169"/>
      <c r="AG7" s="169"/>
      <c r="AH7" s="263"/>
      <c r="AI7" s="263"/>
      <c r="AJ7" s="263"/>
      <c r="AK7" s="263"/>
      <c r="AL7" s="24"/>
      <c r="AM7" s="24"/>
      <c r="AN7" s="24"/>
      <c r="AO7" s="24"/>
      <c r="AP7" s="24"/>
      <c r="AQ7" s="24"/>
      <c r="AR7" s="24"/>
      <c r="AS7" s="24"/>
      <c r="AT7" s="24"/>
      <c r="AU7" s="24"/>
      <c r="AV7" s="24"/>
      <c r="AW7" s="24"/>
      <c r="AX7" s="24"/>
      <c r="AY7" s="24"/>
      <c r="AZ7" s="24"/>
      <c r="BA7" s="24"/>
      <c r="BB7" s="24"/>
      <c r="BC7" s="24"/>
      <c r="BD7" s="24"/>
      <c r="BE7" s="24"/>
      <c r="BF7" s="24"/>
      <c r="BG7" s="24"/>
      <c r="BH7" s="24"/>
      <c r="BI7" s="24"/>
      <c r="BJ7" s="24"/>
      <c r="BK7" s="24"/>
      <c r="BL7" s="24"/>
      <c r="BM7" s="24"/>
      <c r="BN7" s="24"/>
      <c r="BO7" s="24"/>
      <c r="BP7" s="24"/>
      <c r="BQ7" s="24"/>
      <c r="BR7" s="24"/>
      <c r="BS7" s="24"/>
      <c r="BT7" s="24"/>
      <c r="BU7" s="24"/>
      <c r="BV7" s="24"/>
      <c r="BW7" s="24"/>
      <c r="BX7" s="24"/>
      <c r="BY7" s="24"/>
      <c r="BZ7" s="24"/>
      <c r="CA7" s="24"/>
      <c r="CB7" s="24"/>
      <c r="CC7" s="24"/>
      <c r="CD7" s="24"/>
      <c r="CE7" s="24"/>
      <c r="CF7" s="24"/>
      <c r="CG7" s="24"/>
      <c r="CH7" s="24"/>
      <c r="CI7" s="24"/>
      <c r="CJ7" s="24"/>
      <c r="CK7" s="24"/>
    </row>
    <row r="8" spans="1:93" x14ac:dyDescent="0.25">
      <c r="A8" s="30">
        <v>1000</v>
      </c>
      <c r="B8" s="102" t="s">
        <v>29</v>
      </c>
      <c r="C8" s="103" t="s">
        <v>53</v>
      </c>
      <c r="D8" s="119" t="s">
        <v>34</v>
      </c>
      <c r="E8" s="103" t="s">
        <v>53</v>
      </c>
      <c r="F8" s="119" t="s">
        <v>34</v>
      </c>
      <c r="G8" s="30">
        <v>3</v>
      </c>
      <c r="H8" s="98" t="s">
        <v>26</v>
      </c>
      <c r="I8" s="93"/>
      <c r="J8" s="34">
        <f>MJ_Initialisation!D14</f>
        <v>300</v>
      </c>
      <c r="K8" s="34">
        <f>MJ_Initialisation!E14</f>
        <v>300</v>
      </c>
      <c r="L8" s="34">
        <f>MJ_Initialisation!F14</f>
        <v>0</v>
      </c>
      <c r="M8" s="34">
        <f>MJ_Initialisation!G14</f>
        <v>0</v>
      </c>
      <c r="N8" s="34">
        <f>MJ_Initialisation!H14</f>
        <v>100</v>
      </c>
      <c r="O8" s="34">
        <f>MJ_Initialisation!I14</f>
        <v>0</v>
      </c>
      <c r="P8" s="34">
        <f>MJ_Initialisation!J14</f>
        <v>0</v>
      </c>
      <c r="Q8" s="34">
        <f>MJ_Initialisation!K14</f>
        <v>200</v>
      </c>
      <c r="R8" s="34">
        <f>MJ_Initialisation!L14</f>
        <v>100</v>
      </c>
      <c r="S8" s="34">
        <f>MJ_Initialisation!M14</f>
        <v>300</v>
      </c>
      <c r="T8" s="34">
        <f>MJ_Initialisation!N14</f>
        <v>100</v>
      </c>
      <c r="U8" s="34">
        <f>MJ_Initialisation!O14</f>
        <v>400</v>
      </c>
      <c r="V8" s="34">
        <f>MJ_Initialisation!P14</f>
        <v>100</v>
      </c>
      <c r="W8" s="34">
        <f>MJ_Initialisation!Q14</f>
        <v>200</v>
      </c>
      <c r="X8" s="34">
        <f>MJ_Initialisation!R14</f>
        <v>400</v>
      </c>
      <c r="Y8" s="34">
        <f>MJ_Initialisation!S14</f>
        <v>100</v>
      </c>
      <c r="Z8" s="34">
        <f>MJ_Initialisation!T14</f>
        <v>200</v>
      </c>
      <c r="AA8" s="34">
        <f>MJ_Initialisation!U14</f>
        <v>100</v>
      </c>
      <c r="AB8" s="34">
        <f>MJ_Initialisation!V14</f>
        <v>300</v>
      </c>
      <c r="AC8" s="34">
        <f>MJ_Initialisation!W14</f>
        <v>100</v>
      </c>
      <c r="AD8" s="34">
        <f>MJ_Initialisation!X14</f>
        <v>300</v>
      </c>
      <c r="AE8" s="34">
        <f>MJ_Initialisation!Y14</f>
        <v>400</v>
      </c>
      <c r="AF8" s="34">
        <f>MJ_Initialisation!Z14</f>
        <v>400</v>
      </c>
      <c r="AG8" s="34">
        <f>MJ_Initialisation!AA14</f>
        <v>100</v>
      </c>
      <c r="AH8" s="236"/>
      <c r="AI8" s="236"/>
      <c r="AJ8" s="236"/>
      <c r="AK8" s="236"/>
    </row>
    <row r="9" spans="1:93" x14ac:dyDescent="0.25">
      <c r="A9" s="30">
        <v>1000</v>
      </c>
      <c r="B9" s="102" t="s">
        <v>29</v>
      </c>
      <c r="C9" s="103" t="s">
        <v>53</v>
      </c>
      <c r="D9" s="119" t="s">
        <v>34</v>
      </c>
      <c r="E9" s="103" t="s">
        <v>53</v>
      </c>
      <c r="F9" s="119" t="s">
        <v>34</v>
      </c>
      <c r="G9" s="30">
        <v>3</v>
      </c>
      <c r="H9" s="124" t="s">
        <v>24</v>
      </c>
      <c r="I9" s="47"/>
      <c r="J9" s="223">
        <v>350</v>
      </c>
      <c r="K9" s="223">
        <v>350</v>
      </c>
      <c r="L9" s="223">
        <v>350</v>
      </c>
      <c r="M9" s="223">
        <v>350</v>
      </c>
      <c r="N9" s="223">
        <v>350</v>
      </c>
      <c r="O9" s="223">
        <v>350</v>
      </c>
      <c r="P9" s="223">
        <v>350</v>
      </c>
      <c r="Q9" s="223">
        <v>350</v>
      </c>
      <c r="R9" s="223">
        <v>350</v>
      </c>
      <c r="S9" s="223">
        <v>350</v>
      </c>
      <c r="T9" s="223">
        <v>350</v>
      </c>
      <c r="U9" s="223">
        <v>350</v>
      </c>
      <c r="V9" s="223">
        <v>350</v>
      </c>
      <c r="W9" s="223">
        <v>350</v>
      </c>
      <c r="X9" s="223">
        <v>350</v>
      </c>
      <c r="Y9" s="223">
        <v>350</v>
      </c>
      <c r="Z9" s="223">
        <v>350</v>
      </c>
      <c r="AA9" s="223">
        <v>350</v>
      </c>
      <c r="AB9" s="223">
        <v>350</v>
      </c>
      <c r="AC9" s="223">
        <v>350</v>
      </c>
      <c r="AD9" s="223">
        <v>350</v>
      </c>
      <c r="AE9" s="223">
        <v>350</v>
      </c>
      <c r="AF9" s="223">
        <v>350</v>
      </c>
      <c r="AG9" s="223">
        <v>350</v>
      </c>
      <c r="AH9" s="223"/>
      <c r="AI9" s="223"/>
      <c r="AJ9" s="223"/>
      <c r="AK9" s="223"/>
    </row>
    <row r="10" spans="1:93" x14ac:dyDescent="0.25">
      <c r="A10" s="30">
        <v>1000</v>
      </c>
      <c r="B10" s="102" t="s">
        <v>29</v>
      </c>
      <c r="C10" s="103" t="s">
        <v>49</v>
      </c>
      <c r="D10" s="42" t="s">
        <v>48</v>
      </c>
      <c r="E10" s="103" t="s">
        <v>53</v>
      </c>
      <c r="F10" s="119" t="s">
        <v>34</v>
      </c>
      <c r="G10" s="30">
        <v>3</v>
      </c>
      <c r="H10" s="98" t="s">
        <v>41</v>
      </c>
      <c r="I10" s="5"/>
      <c r="J10" s="94"/>
      <c r="K10" s="94"/>
      <c r="L10" s="94"/>
      <c r="M10" s="34">
        <f>MJ_Initialisation!G36</f>
        <v>0</v>
      </c>
      <c r="N10" s="34">
        <f>MJ_Initialisation!H36</f>
        <v>70</v>
      </c>
      <c r="O10" s="34">
        <f>MJ_Initialisation!I36</f>
        <v>0</v>
      </c>
      <c r="P10" s="34">
        <f>MJ_Initialisation!J36</f>
        <v>0</v>
      </c>
      <c r="Q10" s="34">
        <f>MJ_Initialisation!K36</f>
        <v>200</v>
      </c>
      <c r="R10" s="34">
        <f>MJ_Initialisation!L36</f>
        <v>100</v>
      </c>
      <c r="S10" s="34">
        <f>MJ_Initialisation!M36</f>
        <v>300</v>
      </c>
      <c r="T10" s="34">
        <f>MJ_Initialisation!N36</f>
        <v>100</v>
      </c>
      <c r="U10" s="34">
        <f>MJ_Initialisation!O36</f>
        <v>400</v>
      </c>
      <c r="V10" s="34">
        <f>MJ_Initialisation!P36</f>
        <v>100</v>
      </c>
      <c r="W10" s="34">
        <f>MJ_Initialisation!Q36</f>
        <v>200</v>
      </c>
      <c r="X10" s="34">
        <f>MJ_Initialisation!R36</f>
        <v>400</v>
      </c>
      <c r="Y10" s="34">
        <f>MJ_Initialisation!S36</f>
        <v>100</v>
      </c>
      <c r="Z10" s="34">
        <f>MJ_Initialisation!T36</f>
        <v>200</v>
      </c>
      <c r="AA10" s="34">
        <f>MJ_Initialisation!U36</f>
        <v>100</v>
      </c>
      <c r="AB10" s="34">
        <f>MJ_Initialisation!V36</f>
        <v>300</v>
      </c>
      <c r="AC10" s="34">
        <f>MJ_Initialisation!W36</f>
        <v>100</v>
      </c>
      <c r="AD10" s="34">
        <f>MJ_Initialisation!X36</f>
        <v>300</v>
      </c>
      <c r="AE10" s="34">
        <f>MJ_Initialisation!Y36</f>
        <v>400</v>
      </c>
      <c r="AF10" s="34">
        <f>MJ_Initialisation!Z36</f>
        <v>400</v>
      </c>
      <c r="AG10" s="34">
        <f>MJ_Initialisation!AA36</f>
        <v>100</v>
      </c>
      <c r="AH10" s="236"/>
      <c r="AI10" s="236"/>
      <c r="AJ10" s="236"/>
      <c r="AK10" s="236"/>
    </row>
    <row r="11" spans="1:93" ht="20.25" customHeight="1" x14ac:dyDescent="0.25">
      <c r="A11" s="30">
        <v>1000</v>
      </c>
      <c r="B11" s="102" t="s">
        <v>29</v>
      </c>
      <c r="C11" s="103" t="s">
        <v>49</v>
      </c>
      <c r="D11" s="42" t="s">
        <v>48</v>
      </c>
      <c r="E11" s="103" t="s">
        <v>53</v>
      </c>
      <c r="F11" s="119" t="s">
        <v>34</v>
      </c>
      <c r="G11" s="30">
        <v>3</v>
      </c>
      <c r="H11" s="181" t="s">
        <v>27</v>
      </c>
      <c r="I11" s="47"/>
      <c r="J11" s="36">
        <f>MJ_Initialisation!D36</f>
        <v>280</v>
      </c>
      <c r="K11" s="36">
        <f>MJ_Initialisation!E36</f>
        <v>300</v>
      </c>
      <c r="L11" s="36">
        <f>MJ_Initialisation!F36</f>
        <v>0</v>
      </c>
      <c r="M11" s="93"/>
      <c r="N11" s="5"/>
      <c r="O11" s="5"/>
      <c r="P11" s="5"/>
      <c r="Q11" s="5"/>
      <c r="R11" s="5"/>
      <c r="S11" s="5"/>
      <c r="T11" s="5"/>
      <c r="U11" s="5"/>
      <c r="V11" s="5"/>
      <c r="W11" s="5"/>
      <c r="X11" s="5"/>
      <c r="Y11" s="5"/>
      <c r="Z11" s="5"/>
      <c r="AA11" s="5"/>
      <c r="AB11" s="5"/>
      <c r="AC11" s="5"/>
      <c r="AD11" s="5"/>
      <c r="AE11" s="5"/>
      <c r="AF11" s="5"/>
      <c r="AG11" s="5"/>
      <c r="AH11" s="222"/>
      <c r="AI11" s="222"/>
      <c r="AJ11" s="222"/>
      <c r="AK11" s="222"/>
    </row>
    <row r="12" spans="1:93" x14ac:dyDescent="0.25">
      <c r="A12" s="30">
        <v>1000</v>
      </c>
      <c r="B12" s="102" t="s">
        <v>29</v>
      </c>
      <c r="C12" s="103" t="s">
        <v>53</v>
      </c>
      <c r="D12" s="119" t="s">
        <v>34</v>
      </c>
      <c r="E12" s="103" t="s">
        <v>49</v>
      </c>
      <c r="F12" s="42" t="s">
        <v>48</v>
      </c>
      <c r="G12" s="30">
        <v>3</v>
      </c>
      <c r="H12" s="182" t="s">
        <v>57</v>
      </c>
      <c r="I12" s="93"/>
      <c r="J12" s="238">
        <f>MAX(J8+J9-J11-I7,0)</f>
        <v>0</v>
      </c>
      <c r="K12" s="238">
        <f>MAX(K8+K9-K11-J13,0)</f>
        <v>0</v>
      </c>
      <c r="L12" s="238">
        <f>MAX(L8+L9-L11-K13,0)</f>
        <v>0</v>
      </c>
      <c r="M12" s="238">
        <f t="shared" ref="M12:AG12" si="0">MAX(M8+M9-M11-L13,0)</f>
        <v>0</v>
      </c>
      <c r="N12" s="238">
        <f t="shared" si="0"/>
        <v>70</v>
      </c>
      <c r="O12" s="238">
        <f t="shared" si="0"/>
        <v>0</v>
      </c>
      <c r="P12" s="238">
        <f t="shared" si="0"/>
        <v>0</v>
      </c>
      <c r="Q12" s="238">
        <f t="shared" si="0"/>
        <v>200</v>
      </c>
      <c r="R12" s="238">
        <f t="shared" si="0"/>
        <v>100</v>
      </c>
      <c r="S12" s="238">
        <f t="shared" si="0"/>
        <v>300</v>
      </c>
      <c r="T12" s="238">
        <f t="shared" si="0"/>
        <v>100</v>
      </c>
      <c r="U12" s="238">
        <f t="shared" si="0"/>
        <v>400</v>
      </c>
      <c r="V12" s="238">
        <f t="shared" si="0"/>
        <v>100</v>
      </c>
      <c r="W12" s="238">
        <f t="shared" si="0"/>
        <v>200</v>
      </c>
      <c r="X12" s="238">
        <f t="shared" si="0"/>
        <v>400</v>
      </c>
      <c r="Y12" s="238">
        <f t="shared" si="0"/>
        <v>100</v>
      </c>
      <c r="Z12" s="238">
        <f t="shared" si="0"/>
        <v>200</v>
      </c>
      <c r="AA12" s="238">
        <f t="shared" si="0"/>
        <v>100</v>
      </c>
      <c r="AB12" s="238">
        <f t="shared" si="0"/>
        <v>300</v>
      </c>
      <c r="AC12" s="238">
        <f t="shared" si="0"/>
        <v>100</v>
      </c>
      <c r="AD12" s="238">
        <f t="shared" si="0"/>
        <v>300</v>
      </c>
      <c r="AE12" s="238">
        <f t="shared" si="0"/>
        <v>400</v>
      </c>
      <c r="AF12" s="238">
        <f t="shared" si="0"/>
        <v>400</v>
      </c>
      <c r="AG12" s="238">
        <f t="shared" si="0"/>
        <v>100</v>
      </c>
      <c r="AH12" s="238"/>
      <c r="AI12" s="238"/>
      <c r="AJ12" s="238"/>
      <c r="AK12" s="238"/>
    </row>
    <row r="13" spans="1:93" x14ac:dyDescent="0.25">
      <c r="A13" s="30">
        <v>1000</v>
      </c>
      <c r="B13" s="102" t="s">
        <v>29</v>
      </c>
      <c r="C13" s="103" t="s">
        <v>53</v>
      </c>
      <c r="D13" s="119" t="s">
        <v>34</v>
      </c>
      <c r="E13" s="103" t="s">
        <v>53</v>
      </c>
      <c r="F13" s="119" t="s">
        <v>34</v>
      </c>
      <c r="G13" s="30">
        <v>3</v>
      </c>
      <c r="H13" s="124" t="s">
        <v>37</v>
      </c>
      <c r="I13" s="5"/>
      <c r="J13" s="39">
        <f>I7+J12+J11-J8</f>
        <v>380</v>
      </c>
      <c r="K13" s="39">
        <f t="shared" ref="K13:AG13" si="1">J13+K12+K11-K8</f>
        <v>380</v>
      </c>
      <c r="L13" s="39">
        <f t="shared" si="1"/>
        <v>380</v>
      </c>
      <c r="M13" s="39">
        <f t="shared" si="1"/>
        <v>380</v>
      </c>
      <c r="N13" s="39">
        <f t="shared" si="1"/>
        <v>350</v>
      </c>
      <c r="O13" s="39">
        <f t="shared" si="1"/>
        <v>350</v>
      </c>
      <c r="P13" s="39">
        <f t="shared" si="1"/>
        <v>350</v>
      </c>
      <c r="Q13" s="39">
        <f t="shared" si="1"/>
        <v>350</v>
      </c>
      <c r="R13" s="39">
        <f t="shared" si="1"/>
        <v>350</v>
      </c>
      <c r="S13" s="39">
        <f t="shared" si="1"/>
        <v>350</v>
      </c>
      <c r="T13" s="39">
        <f t="shared" si="1"/>
        <v>350</v>
      </c>
      <c r="U13" s="39">
        <f t="shared" si="1"/>
        <v>350</v>
      </c>
      <c r="V13" s="39">
        <f t="shared" si="1"/>
        <v>350</v>
      </c>
      <c r="W13" s="39">
        <f t="shared" si="1"/>
        <v>350</v>
      </c>
      <c r="X13" s="39">
        <f t="shared" si="1"/>
        <v>350</v>
      </c>
      <c r="Y13" s="39">
        <f t="shared" si="1"/>
        <v>350</v>
      </c>
      <c r="Z13" s="39">
        <f t="shared" si="1"/>
        <v>350</v>
      </c>
      <c r="AA13" s="39">
        <f t="shared" si="1"/>
        <v>350</v>
      </c>
      <c r="AB13" s="39">
        <f t="shared" si="1"/>
        <v>350</v>
      </c>
      <c r="AC13" s="39">
        <f t="shared" si="1"/>
        <v>350</v>
      </c>
      <c r="AD13" s="39">
        <f t="shared" si="1"/>
        <v>350</v>
      </c>
      <c r="AE13" s="39">
        <f t="shared" si="1"/>
        <v>350</v>
      </c>
      <c r="AF13" s="39">
        <f t="shared" si="1"/>
        <v>350</v>
      </c>
      <c r="AG13" s="39">
        <f t="shared" si="1"/>
        <v>350</v>
      </c>
      <c r="AH13" s="238"/>
      <c r="AI13" s="238"/>
      <c r="AJ13" s="238"/>
      <c r="AK13" s="238"/>
    </row>
    <row r="14" spans="1:93" ht="7.5" customHeight="1" x14ac:dyDescent="0.25">
      <c r="A14" s="178"/>
      <c r="B14" s="178"/>
      <c r="C14" s="72"/>
      <c r="D14" s="72"/>
      <c r="E14" s="72"/>
      <c r="F14" s="72"/>
      <c r="G14" s="72"/>
      <c r="H14" s="72"/>
      <c r="I14" s="72"/>
      <c r="J14" s="72"/>
      <c r="K14" s="72"/>
      <c r="L14" s="72"/>
      <c r="M14" s="72"/>
      <c r="N14" s="72"/>
      <c r="O14" s="72"/>
      <c r="P14" s="72"/>
      <c r="Q14" s="72"/>
      <c r="R14" s="72"/>
      <c r="S14" s="72"/>
      <c r="T14" s="72"/>
      <c r="U14" s="72"/>
      <c r="V14" s="72"/>
      <c r="W14" s="72"/>
      <c r="X14" s="72"/>
      <c r="Y14" s="72"/>
      <c r="Z14" s="72"/>
      <c r="AA14" s="72"/>
      <c r="AB14" s="72"/>
      <c r="AC14" s="71"/>
      <c r="AD14" s="71"/>
      <c r="AE14" s="71"/>
      <c r="AF14" s="73"/>
      <c r="AG14" s="183"/>
      <c r="AH14" s="269"/>
      <c r="AI14" s="269"/>
      <c r="AJ14" s="269"/>
      <c r="AK14" s="269"/>
    </row>
    <row r="15" spans="1:93" ht="18" customHeight="1" x14ac:dyDescent="0.25">
      <c r="A15" s="30">
        <v>2000</v>
      </c>
      <c r="B15" s="121" t="s">
        <v>30</v>
      </c>
      <c r="C15" s="103" t="s">
        <v>53</v>
      </c>
      <c r="D15" s="119" t="s">
        <v>34</v>
      </c>
      <c r="E15" s="103" t="s">
        <v>53</v>
      </c>
      <c r="F15" s="119" t="s">
        <v>34</v>
      </c>
      <c r="G15" s="147">
        <v>3</v>
      </c>
      <c r="H15" s="168" t="s">
        <v>115</v>
      </c>
      <c r="I15" s="169"/>
      <c r="J15" s="263">
        <f>J18</f>
        <v>300</v>
      </c>
      <c r="K15" s="169"/>
      <c r="L15" s="169"/>
      <c r="M15" s="169"/>
      <c r="N15" s="169"/>
      <c r="O15" s="169"/>
      <c r="P15" s="169"/>
      <c r="Q15" s="169"/>
      <c r="R15" s="169"/>
      <c r="S15" s="169"/>
      <c r="T15" s="169"/>
      <c r="U15" s="169"/>
      <c r="V15" s="169"/>
      <c r="W15" s="169"/>
      <c r="X15" s="169"/>
      <c r="Y15" s="169"/>
      <c r="Z15" s="169"/>
      <c r="AA15" s="169"/>
      <c r="AB15" s="169"/>
      <c r="AC15" s="169"/>
      <c r="AD15" s="169"/>
      <c r="AE15" s="169"/>
      <c r="AF15" s="169"/>
      <c r="AG15" s="169"/>
      <c r="AH15" s="263"/>
      <c r="AI15" s="263"/>
      <c r="AJ15" s="263"/>
      <c r="AK15" s="263"/>
    </row>
    <row r="16" spans="1:93" ht="18" customHeight="1" x14ac:dyDescent="0.25">
      <c r="A16" s="30">
        <v>2000</v>
      </c>
      <c r="B16" s="121" t="s">
        <v>30</v>
      </c>
      <c r="C16" s="103" t="s">
        <v>49</v>
      </c>
      <c r="D16" s="42" t="s">
        <v>48</v>
      </c>
      <c r="E16" s="103" t="s">
        <v>53</v>
      </c>
      <c r="F16" s="119" t="s">
        <v>34</v>
      </c>
      <c r="G16" s="30">
        <v>3</v>
      </c>
      <c r="H16" s="168" t="s">
        <v>116</v>
      </c>
      <c r="I16" s="169"/>
      <c r="J16" s="263">
        <f>J21</f>
        <v>280</v>
      </c>
      <c r="K16" s="169"/>
      <c r="L16" s="169"/>
      <c r="M16" s="169"/>
      <c r="N16" s="169"/>
      <c r="O16" s="169"/>
      <c r="P16" s="169"/>
      <c r="Q16" s="169"/>
      <c r="R16" s="169"/>
      <c r="S16" s="169"/>
      <c r="T16" s="169"/>
      <c r="U16" s="169"/>
      <c r="V16" s="169"/>
      <c r="W16" s="169"/>
      <c r="X16" s="169"/>
      <c r="Y16" s="169"/>
      <c r="Z16" s="169"/>
      <c r="AA16" s="169"/>
      <c r="AB16" s="169"/>
      <c r="AC16" s="169"/>
      <c r="AD16" s="169"/>
      <c r="AE16" s="169"/>
      <c r="AF16" s="169"/>
      <c r="AG16" s="169"/>
      <c r="AH16" s="263"/>
      <c r="AI16" s="263"/>
      <c r="AJ16" s="263"/>
      <c r="AK16" s="263"/>
    </row>
    <row r="17" spans="1:37" ht="18" customHeight="1" x14ac:dyDescent="0.25">
      <c r="A17" s="30">
        <v>2000</v>
      </c>
      <c r="B17" s="121" t="s">
        <v>30</v>
      </c>
      <c r="C17" s="103" t="s">
        <v>53</v>
      </c>
      <c r="D17" s="119" t="s">
        <v>34</v>
      </c>
      <c r="E17" s="103" t="s">
        <v>53</v>
      </c>
      <c r="F17" s="119" t="s">
        <v>34</v>
      </c>
      <c r="G17" s="30">
        <v>3</v>
      </c>
      <c r="H17" s="168" t="s">
        <v>120</v>
      </c>
      <c r="I17" s="180">
        <f>MJ_Initialisation!AF15</f>
        <v>400</v>
      </c>
      <c r="J17" s="293">
        <f>I17+J16-J15</f>
        <v>380</v>
      </c>
      <c r="K17" s="169"/>
      <c r="L17" s="169"/>
      <c r="M17" s="169"/>
      <c r="N17" s="169"/>
      <c r="O17" s="169"/>
      <c r="P17" s="169"/>
      <c r="Q17" s="169"/>
      <c r="R17" s="169"/>
      <c r="S17" s="169"/>
      <c r="T17" s="169"/>
      <c r="U17" s="169"/>
      <c r="V17" s="169"/>
      <c r="W17" s="169"/>
      <c r="X17" s="169"/>
      <c r="Y17" s="169"/>
      <c r="Z17" s="169"/>
      <c r="AA17" s="169"/>
      <c r="AB17" s="169"/>
      <c r="AC17" s="169"/>
      <c r="AD17" s="169"/>
      <c r="AE17" s="169"/>
      <c r="AF17" s="169"/>
      <c r="AG17" s="169"/>
      <c r="AH17" s="263"/>
      <c r="AI17" s="263"/>
      <c r="AJ17" s="263"/>
      <c r="AK17" s="263"/>
    </row>
    <row r="18" spans="1:37" x14ac:dyDescent="0.25">
      <c r="A18" s="30">
        <v>2000</v>
      </c>
      <c r="B18" s="121" t="s">
        <v>30</v>
      </c>
      <c r="C18" s="103" t="s">
        <v>53</v>
      </c>
      <c r="D18" s="119" t="s">
        <v>34</v>
      </c>
      <c r="E18" s="103" t="s">
        <v>53</v>
      </c>
      <c r="F18" s="119" t="s">
        <v>34</v>
      </c>
      <c r="G18" s="147">
        <v>3</v>
      </c>
      <c r="H18" s="98" t="s">
        <v>26</v>
      </c>
      <c r="I18" s="93"/>
      <c r="J18" s="34">
        <f>MJ_Initialisation!D15</f>
        <v>300</v>
      </c>
      <c r="K18" s="34">
        <f>MJ_Initialisation!E15</f>
        <v>200</v>
      </c>
      <c r="L18" s="34">
        <f>MJ_Initialisation!F15</f>
        <v>200</v>
      </c>
      <c r="M18" s="34">
        <f>MJ_Initialisation!G15</f>
        <v>0</v>
      </c>
      <c r="N18" s="34">
        <f>MJ_Initialisation!H15</f>
        <v>400</v>
      </c>
      <c r="O18" s="34">
        <f>MJ_Initialisation!I15</f>
        <v>200</v>
      </c>
      <c r="P18" s="34">
        <f>MJ_Initialisation!J15</f>
        <v>100</v>
      </c>
      <c r="Q18" s="34">
        <f>MJ_Initialisation!K15</f>
        <v>0</v>
      </c>
      <c r="R18" s="34">
        <f>MJ_Initialisation!L15</f>
        <v>0</v>
      </c>
      <c r="S18" s="34">
        <f>MJ_Initialisation!M15</f>
        <v>0</v>
      </c>
      <c r="T18" s="34">
        <f>MJ_Initialisation!N15</f>
        <v>100</v>
      </c>
      <c r="U18" s="34">
        <f>MJ_Initialisation!O15</f>
        <v>200</v>
      </c>
      <c r="V18" s="34">
        <f>MJ_Initialisation!P15</f>
        <v>100</v>
      </c>
      <c r="W18" s="34">
        <f>MJ_Initialisation!Q15</f>
        <v>200</v>
      </c>
      <c r="X18" s="34">
        <f>MJ_Initialisation!R15</f>
        <v>0</v>
      </c>
      <c r="Y18" s="34">
        <f>MJ_Initialisation!S15</f>
        <v>0</v>
      </c>
      <c r="Z18" s="34">
        <f>MJ_Initialisation!T15</f>
        <v>300</v>
      </c>
      <c r="AA18" s="34">
        <f>MJ_Initialisation!U15</f>
        <v>300</v>
      </c>
      <c r="AB18" s="34">
        <f>MJ_Initialisation!V15</f>
        <v>400</v>
      </c>
      <c r="AC18" s="34">
        <f>MJ_Initialisation!W15</f>
        <v>300</v>
      </c>
      <c r="AD18" s="34">
        <f>MJ_Initialisation!X15</f>
        <v>200</v>
      </c>
      <c r="AE18" s="34">
        <f>MJ_Initialisation!Y15</f>
        <v>0</v>
      </c>
      <c r="AF18" s="34">
        <f>MJ_Initialisation!Z15</f>
        <v>100</v>
      </c>
      <c r="AG18" s="34">
        <f>MJ_Initialisation!AA15</f>
        <v>200</v>
      </c>
      <c r="AH18" s="236"/>
      <c r="AI18" s="236"/>
      <c r="AJ18" s="236"/>
      <c r="AK18" s="236"/>
    </row>
    <row r="19" spans="1:37" x14ac:dyDescent="0.25">
      <c r="A19" s="30">
        <v>2000</v>
      </c>
      <c r="B19" s="121" t="s">
        <v>30</v>
      </c>
      <c r="C19" s="103" t="s">
        <v>53</v>
      </c>
      <c r="D19" s="119" t="s">
        <v>34</v>
      </c>
      <c r="E19" s="103" t="s">
        <v>53</v>
      </c>
      <c r="F19" s="119" t="s">
        <v>34</v>
      </c>
      <c r="G19" s="30">
        <v>3</v>
      </c>
      <c r="H19" s="124" t="s">
        <v>24</v>
      </c>
      <c r="I19" s="47"/>
      <c r="J19" s="223">
        <v>350</v>
      </c>
      <c r="K19" s="223">
        <v>350</v>
      </c>
      <c r="L19" s="223">
        <v>350</v>
      </c>
      <c r="M19" s="223">
        <v>350</v>
      </c>
      <c r="N19" s="223">
        <v>350</v>
      </c>
      <c r="O19" s="223">
        <v>350</v>
      </c>
      <c r="P19" s="223">
        <v>350</v>
      </c>
      <c r="Q19" s="223">
        <v>350</v>
      </c>
      <c r="R19" s="223">
        <v>350</v>
      </c>
      <c r="S19" s="223">
        <v>350</v>
      </c>
      <c r="T19" s="223">
        <v>350</v>
      </c>
      <c r="U19" s="223">
        <v>350</v>
      </c>
      <c r="V19" s="223">
        <v>350</v>
      </c>
      <c r="W19" s="223">
        <v>350</v>
      </c>
      <c r="X19" s="223">
        <v>350</v>
      </c>
      <c r="Y19" s="223">
        <v>350</v>
      </c>
      <c r="Z19" s="223">
        <v>350</v>
      </c>
      <c r="AA19" s="223">
        <v>350</v>
      </c>
      <c r="AB19" s="223">
        <v>350</v>
      </c>
      <c r="AC19" s="223">
        <v>350</v>
      </c>
      <c r="AD19" s="223">
        <v>350</v>
      </c>
      <c r="AE19" s="223">
        <v>350</v>
      </c>
      <c r="AF19" s="223">
        <v>350</v>
      </c>
      <c r="AG19" s="223">
        <v>350</v>
      </c>
      <c r="AH19" s="223"/>
      <c r="AI19" s="223"/>
      <c r="AJ19" s="223"/>
      <c r="AK19" s="223"/>
    </row>
    <row r="20" spans="1:37" x14ac:dyDescent="0.25">
      <c r="A20" s="30">
        <v>2000</v>
      </c>
      <c r="B20" s="121" t="s">
        <v>30</v>
      </c>
      <c r="C20" s="103" t="s">
        <v>49</v>
      </c>
      <c r="D20" s="42" t="s">
        <v>48</v>
      </c>
      <c r="E20" s="103" t="s">
        <v>53</v>
      </c>
      <c r="F20" s="119" t="s">
        <v>34</v>
      </c>
      <c r="G20" s="30">
        <v>3</v>
      </c>
      <c r="H20" s="98" t="s">
        <v>41</v>
      </c>
      <c r="I20" s="5"/>
      <c r="J20" s="94"/>
      <c r="K20" s="94"/>
      <c r="L20" s="94"/>
      <c r="M20" s="34">
        <f>MJ_Initialisation!G38</f>
        <v>0</v>
      </c>
      <c r="N20" s="34">
        <f>MJ_Initialisation!H38</f>
        <v>370</v>
      </c>
      <c r="O20" s="34">
        <f>MJ_Initialisation!I38</f>
        <v>200</v>
      </c>
      <c r="P20" s="34">
        <f>MJ_Initialisation!J38</f>
        <v>100</v>
      </c>
      <c r="Q20" s="34">
        <f>MJ_Initialisation!K38</f>
        <v>0</v>
      </c>
      <c r="R20" s="34">
        <f>MJ_Initialisation!L38</f>
        <v>0</v>
      </c>
      <c r="S20" s="34">
        <f>MJ_Initialisation!M38</f>
        <v>0</v>
      </c>
      <c r="T20" s="34">
        <f>MJ_Initialisation!N38</f>
        <v>100</v>
      </c>
      <c r="U20" s="34">
        <f>MJ_Initialisation!O38</f>
        <v>200</v>
      </c>
      <c r="V20" s="34">
        <f>MJ_Initialisation!P38</f>
        <v>100</v>
      </c>
      <c r="W20" s="34">
        <f>MJ_Initialisation!Q38</f>
        <v>200</v>
      </c>
      <c r="X20" s="34">
        <f>MJ_Initialisation!R38</f>
        <v>0</v>
      </c>
      <c r="Y20" s="34">
        <f>MJ_Initialisation!S38</f>
        <v>0</v>
      </c>
      <c r="Z20" s="34">
        <f>MJ_Initialisation!T38</f>
        <v>300</v>
      </c>
      <c r="AA20" s="34">
        <f>MJ_Initialisation!U38</f>
        <v>300</v>
      </c>
      <c r="AB20" s="34">
        <f>MJ_Initialisation!V38</f>
        <v>400</v>
      </c>
      <c r="AC20" s="34">
        <f>MJ_Initialisation!W38</f>
        <v>300</v>
      </c>
      <c r="AD20" s="34">
        <f>MJ_Initialisation!X38</f>
        <v>200</v>
      </c>
      <c r="AE20" s="34">
        <f>MJ_Initialisation!Y38</f>
        <v>0</v>
      </c>
      <c r="AF20" s="34">
        <f>MJ_Initialisation!Z38</f>
        <v>100</v>
      </c>
      <c r="AG20" s="34">
        <f>MJ_Initialisation!AA38</f>
        <v>200</v>
      </c>
      <c r="AH20" s="236"/>
      <c r="AI20" s="236"/>
      <c r="AJ20" s="236"/>
      <c r="AK20" s="236"/>
    </row>
    <row r="21" spans="1:37" ht="25.5" customHeight="1" x14ac:dyDescent="0.25">
      <c r="A21" s="30">
        <v>2000</v>
      </c>
      <c r="B21" s="121" t="s">
        <v>30</v>
      </c>
      <c r="C21" s="103" t="s">
        <v>49</v>
      </c>
      <c r="D21" s="42" t="s">
        <v>48</v>
      </c>
      <c r="E21" s="103" t="s">
        <v>53</v>
      </c>
      <c r="F21" s="119" t="s">
        <v>34</v>
      </c>
      <c r="G21" s="30">
        <v>3</v>
      </c>
      <c r="H21" s="181" t="s">
        <v>27</v>
      </c>
      <c r="I21" s="47"/>
      <c r="J21" s="36">
        <f>MJ_Initialisation!D38</f>
        <v>280</v>
      </c>
      <c r="K21" s="36">
        <f>MJ_Initialisation!E38</f>
        <v>300</v>
      </c>
      <c r="L21" s="36">
        <f>MJ_Initialisation!F38</f>
        <v>100</v>
      </c>
      <c r="M21" s="93"/>
      <c r="N21" s="5"/>
      <c r="O21" s="5"/>
      <c r="P21" s="5"/>
      <c r="Q21" s="5"/>
      <c r="R21" s="5"/>
      <c r="S21" s="5"/>
      <c r="T21" s="5"/>
      <c r="U21" s="5"/>
      <c r="V21" s="5"/>
      <c r="W21" s="5"/>
      <c r="X21" s="5"/>
      <c r="Y21" s="5"/>
      <c r="Z21" s="5"/>
      <c r="AA21" s="5"/>
      <c r="AB21" s="5"/>
      <c r="AC21" s="5"/>
      <c r="AD21" s="5"/>
      <c r="AE21" s="5"/>
      <c r="AF21" s="5"/>
      <c r="AG21" s="5"/>
      <c r="AH21" s="222"/>
      <c r="AI21" s="222"/>
      <c r="AJ21" s="222"/>
      <c r="AK21" s="222"/>
    </row>
    <row r="22" spans="1:37" x14ac:dyDescent="0.25">
      <c r="A22" s="30">
        <v>2000</v>
      </c>
      <c r="B22" s="121" t="s">
        <v>30</v>
      </c>
      <c r="C22" s="103" t="s">
        <v>53</v>
      </c>
      <c r="D22" s="119" t="s">
        <v>34</v>
      </c>
      <c r="E22" s="103" t="s">
        <v>49</v>
      </c>
      <c r="F22" s="42" t="s">
        <v>48</v>
      </c>
      <c r="G22" s="30">
        <v>3</v>
      </c>
      <c r="H22" s="182" t="s">
        <v>57</v>
      </c>
      <c r="I22" s="93"/>
      <c r="J22" s="238">
        <f>MAX(J18+J19-J21-I17,0)</f>
        <v>0</v>
      </c>
      <c r="K22" s="238">
        <f>MAX(K18+K19-K21-J23,0)</f>
        <v>0</v>
      </c>
      <c r="L22" s="238">
        <f t="shared" ref="L22:AG22" si="2">MAX(L18+L19-L21-K23,0)</f>
        <v>0</v>
      </c>
      <c r="M22" s="238">
        <f t="shared" si="2"/>
        <v>0</v>
      </c>
      <c r="N22" s="238">
        <f t="shared" si="2"/>
        <v>370</v>
      </c>
      <c r="O22" s="238">
        <f t="shared" si="2"/>
        <v>200</v>
      </c>
      <c r="P22" s="238">
        <f t="shared" si="2"/>
        <v>100</v>
      </c>
      <c r="Q22" s="238">
        <f t="shared" si="2"/>
        <v>0</v>
      </c>
      <c r="R22" s="238">
        <f t="shared" si="2"/>
        <v>0</v>
      </c>
      <c r="S22" s="238">
        <f t="shared" si="2"/>
        <v>0</v>
      </c>
      <c r="T22" s="238">
        <f t="shared" si="2"/>
        <v>100</v>
      </c>
      <c r="U22" s="238">
        <f t="shared" si="2"/>
        <v>200</v>
      </c>
      <c r="V22" s="238">
        <f t="shared" si="2"/>
        <v>100</v>
      </c>
      <c r="W22" s="238">
        <f t="shared" si="2"/>
        <v>200</v>
      </c>
      <c r="X22" s="238">
        <f t="shared" si="2"/>
        <v>0</v>
      </c>
      <c r="Y22" s="238">
        <f t="shared" si="2"/>
        <v>0</v>
      </c>
      <c r="Z22" s="238">
        <f t="shared" si="2"/>
        <v>300</v>
      </c>
      <c r="AA22" s="238">
        <f t="shared" si="2"/>
        <v>300</v>
      </c>
      <c r="AB22" s="238">
        <f t="shared" si="2"/>
        <v>400</v>
      </c>
      <c r="AC22" s="238">
        <f t="shared" si="2"/>
        <v>300</v>
      </c>
      <c r="AD22" s="238">
        <f t="shared" si="2"/>
        <v>200</v>
      </c>
      <c r="AE22" s="238">
        <f t="shared" si="2"/>
        <v>0</v>
      </c>
      <c r="AF22" s="238">
        <f t="shared" si="2"/>
        <v>100</v>
      </c>
      <c r="AG22" s="238">
        <f t="shared" si="2"/>
        <v>200</v>
      </c>
      <c r="AH22" s="238"/>
      <c r="AI22" s="238"/>
      <c r="AJ22" s="238"/>
      <c r="AK22" s="238"/>
    </row>
    <row r="23" spans="1:37" x14ac:dyDescent="0.25">
      <c r="A23" s="30">
        <v>2000</v>
      </c>
      <c r="B23" s="121" t="s">
        <v>30</v>
      </c>
      <c r="C23" s="103" t="s">
        <v>53</v>
      </c>
      <c r="D23" s="119" t="s">
        <v>34</v>
      </c>
      <c r="E23" s="103" t="s">
        <v>53</v>
      </c>
      <c r="F23" s="119" t="s">
        <v>34</v>
      </c>
      <c r="G23" s="30">
        <v>3</v>
      </c>
      <c r="H23" s="124" t="s">
        <v>37</v>
      </c>
      <c r="I23" s="5"/>
      <c r="J23" s="39">
        <f>I17+J22+J21-J18</f>
        <v>380</v>
      </c>
      <c r="K23" s="39">
        <f t="shared" ref="K23:AG23" si="3">J23+K22+K21-K18</f>
        <v>480</v>
      </c>
      <c r="L23" s="39">
        <f t="shared" si="3"/>
        <v>380</v>
      </c>
      <c r="M23" s="39">
        <f t="shared" si="3"/>
        <v>380</v>
      </c>
      <c r="N23" s="39">
        <f t="shared" si="3"/>
        <v>350</v>
      </c>
      <c r="O23" s="39">
        <f t="shared" si="3"/>
        <v>350</v>
      </c>
      <c r="P23" s="39">
        <f t="shared" si="3"/>
        <v>350</v>
      </c>
      <c r="Q23" s="39">
        <f t="shared" si="3"/>
        <v>350</v>
      </c>
      <c r="R23" s="39">
        <f t="shared" si="3"/>
        <v>350</v>
      </c>
      <c r="S23" s="39">
        <f t="shared" si="3"/>
        <v>350</v>
      </c>
      <c r="T23" s="39">
        <f t="shared" si="3"/>
        <v>350</v>
      </c>
      <c r="U23" s="39">
        <f t="shared" si="3"/>
        <v>350</v>
      </c>
      <c r="V23" s="39">
        <f t="shared" si="3"/>
        <v>350</v>
      </c>
      <c r="W23" s="39">
        <f t="shared" si="3"/>
        <v>350</v>
      </c>
      <c r="X23" s="39">
        <f t="shared" si="3"/>
        <v>350</v>
      </c>
      <c r="Y23" s="39">
        <f t="shared" si="3"/>
        <v>350</v>
      </c>
      <c r="Z23" s="39">
        <f t="shared" si="3"/>
        <v>350</v>
      </c>
      <c r="AA23" s="39">
        <f t="shared" si="3"/>
        <v>350</v>
      </c>
      <c r="AB23" s="39">
        <f t="shared" si="3"/>
        <v>350</v>
      </c>
      <c r="AC23" s="39">
        <f t="shared" si="3"/>
        <v>350</v>
      </c>
      <c r="AD23" s="39">
        <f t="shared" si="3"/>
        <v>350</v>
      </c>
      <c r="AE23" s="39">
        <f t="shared" si="3"/>
        <v>350</v>
      </c>
      <c r="AF23" s="39">
        <f t="shared" si="3"/>
        <v>350</v>
      </c>
      <c r="AG23" s="39">
        <f t="shared" si="3"/>
        <v>350</v>
      </c>
      <c r="AH23" s="238"/>
      <c r="AI23" s="238"/>
      <c r="AJ23" s="238"/>
      <c r="AK23" s="238"/>
    </row>
    <row r="24" spans="1:37" x14ac:dyDescent="0.25">
      <c r="A24" s="79"/>
      <c r="B24" s="79"/>
      <c r="C24" s="72"/>
      <c r="D24" s="72"/>
      <c r="E24" s="72"/>
      <c r="F24" s="72"/>
      <c r="G24" s="72"/>
      <c r="H24" s="72"/>
      <c r="I24" s="72"/>
      <c r="J24" s="72"/>
      <c r="K24" s="72"/>
      <c r="L24" s="72"/>
      <c r="M24" s="72"/>
      <c r="N24" s="72"/>
      <c r="O24" s="72"/>
      <c r="P24" s="72"/>
      <c r="Q24" s="72"/>
      <c r="R24" s="72"/>
      <c r="S24" s="72"/>
      <c r="T24" s="72"/>
      <c r="U24" s="72"/>
      <c r="V24" s="72"/>
      <c r="W24" s="72"/>
      <c r="X24" s="72"/>
      <c r="Y24" s="72"/>
      <c r="Z24" s="72"/>
      <c r="AA24" s="72"/>
      <c r="AB24" s="72"/>
      <c r="AC24" s="71"/>
      <c r="AD24" s="71"/>
      <c r="AE24" s="71"/>
      <c r="AF24" s="73"/>
      <c r="AG24" s="179"/>
      <c r="AH24" s="268"/>
      <c r="AI24" s="268"/>
      <c r="AJ24" s="268"/>
      <c r="AK24" s="268"/>
    </row>
    <row r="25" spans="1:37" s="23" customFormat="1" x14ac:dyDescent="0.25">
      <c r="A25" s="30">
        <v>1000</v>
      </c>
      <c r="B25" s="102" t="s">
        <v>29</v>
      </c>
      <c r="C25" s="103" t="s">
        <v>49</v>
      </c>
      <c r="D25" s="42" t="s">
        <v>48</v>
      </c>
      <c r="E25" s="103" t="s">
        <v>53</v>
      </c>
      <c r="F25" s="119" t="s">
        <v>34</v>
      </c>
      <c r="G25" s="30">
        <v>3</v>
      </c>
      <c r="H25" s="98" t="s">
        <v>56</v>
      </c>
      <c r="I25" s="93"/>
      <c r="J25" s="93"/>
      <c r="K25" s="93"/>
      <c r="L25" s="93"/>
      <c r="M25" s="34">
        <f ca="1">PA_CDC!I32</f>
        <v>0</v>
      </c>
      <c r="N25" s="34">
        <f ca="1">PA_CDC!J32</f>
        <v>70</v>
      </c>
      <c r="O25" s="34">
        <f ca="1">PA_CDC!K32</f>
        <v>0</v>
      </c>
      <c r="P25" s="34">
        <f ca="1">PA_CDC!L32</f>
        <v>0</v>
      </c>
      <c r="Q25" s="34">
        <f ca="1">PA_CDC!M32</f>
        <v>200</v>
      </c>
      <c r="R25" s="34">
        <f ca="1">PA_CDC!N32</f>
        <v>100</v>
      </c>
      <c r="S25" s="34">
        <f ca="1">PA_CDC!O32</f>
        <v>300</v>
      </c>
      <c r="T25" s="34">
        <f ca="1">PA_CDC!P32</f>
        <v>100</v>
      </c>
      <c r="U25" s="34">
        <f ca="1">PA_CDC!Q32</f>
        <v>400</v>
      </c>
      <c r="V25" s="34">
        <f ca="1">PA_CDC!R32</f>
        <v>100</v>
      </c>
      <c r="W25" s="34">
        <f ca="1">PA_CDC!S32</f>
        <v>200</v>
      </c>
      <c r="X25" s="34">
        <f ca="1">PA_CDC!T32</f>
        <v>400</v>
      </c>
      <c r="Y25" s="34">
        <f ca="1">PA_CDC!U32</f>
        <v>100</v>
      </c>
      <c r="Z25" s="34">
        <f ca="1">PA_CDC!V32</f>
        <v>200</v>
      </c>
      <c r="AA25" s="34">
        <f ca="1">PA_CDC!W32</f>
        <v>100</v>
      </c>
      <c r="AB25" s="34">
        <f ca="1">PA_CDC!X32</f>
        <v>300</v>
      </c>
      <c r="AC25" s="34">
        <f ca="1">PA_CDC!Y32</f>
        <v>100</v>
      </c>
      <c r="AD25" s="34">
        <f ca="1">PA_CDC!Z32</f>
        <v>300</v>
      </c>
      <c r="AE25" s="34">
        <f ca="1">PA_CDC!AA32</f>
        <v>400</v>
      </c>
      <c r="AF25" s="34">
        <f ca="1">PA_CDC!AB32</f>
        <v>400</v>
      </c>
      <c r="AG25" s="34">
        <f ca="1">PA_CDC!AC32</f>
        <v>100</v>
      </c>
      <c r="AH25" s="236"/>
      <c r="AI25" s="236"/>
      <c r="AJ25" s="236"/>
      <c r="AK25" s="236"/>
    </row>
    <row r="26" spans="1:37" s="23" customFormat="1" x14ac:dyDescent="0.25">
      <c r="A26" s="30">
        <v>2000</v>
      </c>
      <c r="B26" s="121" t="s">
        <v>30</v>
      </c>
      <c r="C26" s="103" t="s">
        <v>49</v>
      </c>
      <c r="D26" s="42" t="s">
        <v>48</v>
      </c>
      <c r="E26" s="103" t="s">
        <v>53</v>
      </c>
      <c r="F26" s="119" t="s">
        <v>34</v>
      </c>
      <c r="G26" s="147">
        <v>3</v>
      </c>
      <c r="H26" s="98" t="s">
        <v>56</v>
      </c>
      <c r="I26" s="93"/>
      <c r="J26" s="93"/>
      <c r="K26" s="93"/>
      <c r="L26" s="93"/>
      <c r="M26" s="34">
        <f ca="1">PA_CDC!I61</f>
        <v>0</v>
      </c>
      <c r="N26" s="34">
        <f ca="1">PA_CDC!J61</f>
        <v>370</v>
      </c>
      <c r="O26" s="34">
        <f ca="1">PA_CDC!K61</f>
        <v>200</v>
      </c>
      <c r="P26" s="34">
        <f ca="1">PA_CDC!L61</f>
        <v>100</v>
      </c>
      <c r="Q26" s="34">
        <f ca="1">PA_CDC!M61</f>
        <v>0</v>
      </c>
      <c r="R26" s="34">
        <f ca="1">PA_CDC!N61</f>
        <v>0</v>
      </c>
      <c r="S26" s="34">
        <f ca="1">PA_CDC!O61</f>
        <v>0</v>
      </c>
      <c r="T26" s="34">
        <f ca="1">PA_CDC!P61</f>
        <v>100</v>
      </c>
      <c r="U26" s="34">
        <f ca="1">PA_CDC!Q61</f>
        <v>200</v>
      </c>
      <c r="V26" s="34">
        <f ca="1">PA_CDC!R61</f>
        <v>100</v>
      </c>
      <c r="W26" s="34">
        <f ca="1">PA_CDC!S61</f>
        <v>200</v>
      </c>
      <c r="X26" s="34">
        <f ca="1">PA_CDC!T61</f>
        <v>0</v>
      </c>
      <c r="Y26" s="34">
        <f ca="1">PA_CDC!U61</f>
        <v>0</v>
      </c>
      <c r="Z26" s="34">
        <f ca="1">PA_CDC!V61</f>
        <v>300</v>
      </c>
      <c r="AA26" s="34">
        <f ca="1">PA_CDC!W61</f>
        <v>300</v>
      </c>
      <c r="AB26" s="34">
        <f ca="1">PA_CDC!X61</f>
        <v>400</v>
      </c>
      <c r="AC26" s="34">
        <f ca="1">PA_CDC!Y61</f>
        <v>300</v>
      </c>
      <c r="AD26" s="34">
        <f ca="1">PA_CDC!Z61</f>
        <v>200</v>
      </c>
      <c r="AE26" s="34">
        <f ca="1">PA_CDC!AA61</f>
        <v>0</v>
      </c>
      <c r="AF26" s="34">
        <f ca="1">PA_CDC!AB61</f>
        <v>100</v>
      </c>
      <c r="AG26" s="34">
        <f ca="1">PA_CDC!AC61</f>
        <v>200</v>
      </c>
      <c r="AH26" s="236"/>
      <c r="AI26" s="236"/>
      <c r="AJ26" s="236"/>
      <c r="AK26" s="236"/>
    </row>
    <row r="29" spans="1:37" x14ac:dyDescent="0.25">
      <c r="K29" s="296"/>
      <c r="L29" s="296"/>
    </row>
    <row r="30" spans="1:37" x14ac:dyDescent="0.25">
      <c r="K30" s="296"/>
    </row>
  </sheetData>
  <conditionalFormatting sqref="J13:AK13">
    <cfRule type="expression" dxfId="16" priority="2">
      <formula>J13&lt;J9</formula>
    </cfRule>
  </conditionalFormatting>
  <conditionalFormatting sqref="J23:AK23">
    <cfRule type="expression" dxfId="15" priority="1">
      <formula>J23&lt;J19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Feuil11"/>
  <dimension ref="A1:CQ689"/>
  <sheetViews>
    <sheetView topLeftCell="A7" zoomScale="40" zoomScaleNormal="40" workbookViewId="0">
      <selection activeCell="AM39" sqref="AM39"/>
    </sheetView>
  </sheetViews>
  <sheetFormatPr baseColWidth="10" defaultColWidth="11.42578125" defaultRowHeight="15" x14ac:dyDescent="0.25"/>
  <cols>
    <col min="1" max="1" width="11.85546875" style="25" customWidth="1"/>
    <col min="2" max="3" width="11.42578125" style="24"/>
    <col min="4" max="4" width="10.140625" customWidth="1"/>
    <col min="5" max="5" width="11.42578125" style="5"/>
    <col min="6" max="6" width="9.7109375" customWidth="1"/>
    <col min="7" max="7" width="25.42578125" style="5" customWidth="1"/>
    <col min="8" max="8" width="6.85546875" style="24" customWidth="1"/>
    <col min="9" max="9" width="7.7109375" style="24" customWidth="1"/>
    <col min="10" max="10" width="9.28515625" style="24" customWidth="1"/>
    <col min="11" max="11" width="6.5703125" style="24" customWidth="1"/>
    <col min="12" max="35" width="6.140625" style="24" customWidth="1"/>
    <col min="36" max="36" width="7.7109375" style="24" customWidth="1"/>
    <col min="37" max="38" width="11.42578125" style="234"/>
    <col min="39" max="16384" width="11.42578125" style="24"/>
  </cols>
  <sheetData>
    <row r="1" spans="1:95" s="234" customFormat="1" x14ac:dyDescent="0.25">
      <c r="A1" s="25"/>
      <c r="D1"/>
      <c r="E1" s="162"/>
      <c r="F1"/>
      <c r="G1" s="162"/>
      <c r="I1" s="234">
        <f ca="1">SUM(I40:I41)</f>
        <v>220</v>
      </c>
      <c r="J1" s="234">
        <f t="shared" ref="J1:AC1" ca="1" si="0">SUM(J40:J41)</f>
        <v>320</v>
      </c>
      <c r="K1" s="234">
        <f ca="1">SUM(K40:K41)</f>
        <v>310</v>
      </c>
      <c r="L1" s="234">
        <f t="shared" ca="1" si="0"/>
        <v>210</v>
      </c>
      <c r="M1" s="234">
        <f t="shared" ca="1" si="0"/>
        <v>300</v>
      </c>
      <c r="N1" s="234">
        <f t="shared" ca="1" si="0"/>
        <v>330</v>
      </c>
      <c r="O1" s="234">
        <f t="shared" ca="1" si="0"/>
        <v>380</v>
      </c>
      <c r="P1" s="234">
        <f t="shared" ca="1" si="0"/>
        <v>270</v>
      </c>
      <c r="Q1" s="234">
        <f t="shared" ca="1" si="0"/>
        <v>170</v>
      </c>
      <c r="R1" s="234">
        <f t="shared" ca="1" si="0"/>
        <v>120</v>
      </c>
      <c r="S1" s="234">
        <f t="shared" ca="1" si="0"/>
        <v>100</v>
      </c>
      <c r="T1" s="234">
        <f t="shared" ca="1" si="0"/>
        <v>220</v>
      </c>
      <c r="U1" s="234">
        <f t="shared" ca="1" si="0"/>
        <v>300</v>
      </c>
      <c r="V1" s="234">
        <f t="shared" ca="1" si="0"/>
        <v>290</v>
      </c>
      <c r="W1" s="234">
        <f t="shared" ca="1" si="0"/>
        <v>260</v>
      </c>
      <c r="X1" s="234">
        <f t="shared" ca="1" si="0"/>
        <v>80</v>
      </c>
      <c r="Y1" s="234">
        <f t="shared" ca="1" si="0"/>
        <v>280</v>
      </c>
      <c r="Z1" s="234">
        <f t="shared" ca="1" si="0"/>
        <v>150</v>
      </c>
      <c r="AA1" s="234">
        <f t="shared" ca="1" si="0"/>
        <v>360</v>
      </c>
      <c r="AB1" s="234">
        <f t="shared" ca="1" si="0"/>
        <v>280</v>
      </c>
      <c r="AC1" s="234">
        <f t="shared" ca="1" si="0"/>
        <v>280</v>
      </c>
    </row>
    <row r="2" spans="1:95" ht="15.75" thickBot="1" x14ac:dyDescent="0.3">
      <c r="D2" s="24"/>
      <c r="E2" s="23"/>
      <c r="F2" s="24"/>
      <c r="G2" s="23"/>
      <c r="I2" s="24">
        <f ca="1">SUM(I27:I29)</f>
        <v>60</v>
      </c>
      <c r="J2" s="234">
        <f t="shared" ref="J2:AC2" ca="1" si="1">SUM(J27:J29)</f>
        <v>440</v>
      </c>
      <c r="K2" s="234">
        <f t="shared" ca="1" si="1"/>
        <v>480</v>
      </c>
      <c r="L2" s="234">
        <f t="shared" ca="1" si="1"/>
        <v>150</v>
      </c>
      <c r="M2" s="234">
        <f t="shared" ca="1" si="1"/>
        <v>80</v>
      </c>
      <c r="N2" s="234">
        <f t="shared" ca="1" si="1"/>
        <v>150</v>
      </c>
      <c r="O2" s="234">
        <f t="shared" ca="1" si="1"/>
        <v>340</v>
      </c>
      <c r="P2" s="234">
        <f t="shared" ca="1" si="1"/>
        <v>320</v>
      </c>
      <c r="Q2" s="234">
        <f t="shared" ca="1" si="1"/>
        <v>460</v>
      </c>
      <c r="R2" s="234">
        <f t="shared" ca="1" si="1"/>
        <v>240</v>
      </c>
      <c r="S2" s="234">
        <f t="shared" ca="1" si="1"/>
        <v>440</v>
      </c>
      <c r="T2" s="234">
        <f t="shared" ca="1" si="1"/>
        <v>230</v>
      </c>
      <c r="U2" s="234">
        <f t="shared" ca="1" si="1"/>
        <v>100</v>
      </c>
      <c r="V2" s="234">
        <f t="shared" ca="1" si="1"/>
        <v>620</v>
      </c>
      <c r="W2" s="234">
        <f t="shared" ca="1" si="1"/>
        <v>490</v>
      </c>
      <c r="X2" s="234">
        <f t="shared" ca="1" si="1"/>
        <v>450</v>
      </c>
      <c r="Y2" s="234">
        <f t="shared" ca="1" si="1"/>
        <v>450</v>
      </c>
      <c r="Z2" s="234">
        <f t="shared" ca="1" si="1"/>
        <v>240</v>
      </c>
      <c r="AA2" s="234">
        <f t="shared" ca="1" si="1"/>
        <v>70</v>
      </c>
      <c r="AB2" s="234">
        <f t="shared" ca="1" si="1"/>
        <v>260</v>
      </c>
      <c r="AC2" s="234">
        <f t="shared" ca="1" si="1"/>
        <v>450</v>
      </c>
    </row>
    <row r="3" spans="1:95" ht="24" customHeight="1" thickBot="1" x14ac:dyDescent="0.3">
      <c r="A3" s="156" t="s">
        <v>103</v>
      </c>
      <c r="B3" s="157" t="str">
        <f>I5</f>
        <v>W2/20</v>
      </c>
      <c r="D3" s="23"/>
      <c r="E3" s="23"/>
      <c r="F3" s="23"/>
      <c r="G3" s="23"/>
      <c r="I3" s="24">
        <f>I51</f>
        <v>60</v>
      </c>
      <c r="J3" s="234">
        <f t="shared" ref="J3:AC3" si="2">J51</f>
        <v>60</v>
      </c>
      <c r="K3" s="234">
        <f t="shared" si="2"/>
        <v>80</v>
      </c>
      <c r="L3" s="234">
        <f t="shared" si="2"/>
        <v>10</v>
      </c>
      <c r="M3" s="234">
        <f t="shared" si="2"/>
        <v>160</v>
      </c>
      <c r="N3" s="234">
        <f t="shared" si="2"/>
        <v>80</v>
      </c>
      <c r="O3" s="234">
        <f t="shared" si="2"/>
        <v>40</v>
      </c>
      <c r="P3" s="234">
        <f t="shared" si="2"/>
        <v>120</v>
      </c>
      <c r="Q3" s="234">
        <f t="shared" si="2"/>
        <v>170</v>
      </c>
      <c r="R3" s="234">
        <f t="shared" si="2"/>
        <v>80</v>
      </c>
      <c r="S3" s="234">
        <f t="shared" si="2"/>
        <v>150</v>
      </c>
      <c r="T3" s="234">
        <f t="shared" si="2"/>
        <v>40</v>
      </c>
      <c r="U3" s="234">
        <f t="shared" si="2"/>
        <v>40</v>
      </c>
      <c r="V3" s="234">
        <f t="shared" si="2"/>
        <v>70</v>
      </c>
      <c r="W3" s="234">
        <f t="shared" si="2"/>
        <v>120</v>
      </c>
      <c r="X3" s="234">
        <f t="shared" si="2"/>
        <v>170</v>
      </c>
      <c r="Y3" s="234">
        <f t="shared" si="2"/>
        <v>170</v>
      </c>
      <c r="Z3" s="234">
        <f t="shared" si="2"/>
        <v>180</v>
      </c>
      <c r="AA3" s="234">
        <f t="shared" si="2"/>
        <v>10</v>
      </c>
      <c r="AB3" s="234">
        <f t="shared" si="2"/>
        <v>130</v>
      </c>
      <c r="AC3" s="234">
        <f t="shared" si="2"/>
        <v>10</v>
      </c>
      <c r="AE3" s="24">
        <f ca="1">AVERAGE(I1:AC4)</f>
        <v>298.8095238095238</v>
      </c>
    </row>
    <row r="4" spans="1:95" x14ac:dyDescent="0.25">
      <c r="D4" s="24"/>
      <c r="E4" s="24"/>
      <c r="F4" s="24"/>
      <c r="G4" s="24"/>
      <c r="I4" s="24">
        <f ca="1">SUM(I12:I15)</f>
        <v>220</v>
      </c>
      <c r="J4" s="234">
        <f t="shared" ref="J4:AC4" ca="1" si="3">SUM(J12:J15)</f>
        <v>280</v>
      </c>
      <c r="K4" s="234">
        <f t="shared" ca="1" si="3"/>
        <v>460</v>
      </c>
      <c r="L4" s="234">
        <f t="shared" ca="1" si="3"/>
        <v>140</v>
      </c>
      <c r="M4" s="234">
        <f t="shared" ca="1" si="3"/>
        <v>460</v>
      </c>
      <c r="N4" s="234">
        <f t="shared" ca="1" si="3"/>
        <v>500</v>
      </c>
      <c r="O4" s="234">
        <f t="shared" ca="1" si="3"/>
        <v>680</v>
      </c>
      <c r="P4" s="234">
        <f t="shared" ca="1" si="3"/>
        <v>350</v>
      </c>
      <c r="Q4" s="234">
        <f t="shared" ca="1" si="3"/>
        <v>860</v>
      </c>
      <c r="R4" s="234">
        <f t="shared" ca="1" si="3"/>
        <v>600</v>
      </c>
      <c r="S4" s="234">
        <f t="shared" ca="1" si="3"/>
        <v>530</v>
      </c>
      <c r="T4" s="234">
        <f t="shared" ca="1" si="3"/>
        <v>860</v>
      </c>
      <c r="U4" s="234">
        <f t="shared" ca="1" si="3"/>
        <v>390</v>
      </c>
      <c r="V4" s="234">
        <f t="shared" ca="1" si="3"/>
        <v>620</v>
      </c>
      <c r="W4" s="234">
        <f t="shared" ca="1" si="3"/>
        <v>420</v>
      </c>
      <c r="X4" s="234">
        <f t="shared" ca="1" si="3"/>
        <v>700</v>
      </c>
      <c r="Y4" s="234">
        <f t="shared" ca="1" si="3"/>
        <v>550</v>
      </c>
      <c r="Z4" s="234">
        <f t="shared" ca="1" si="3"/>
        <v>620</v>
      </c>
      <c r="AA4" s="234">
        <f t="shared" ca="1" si="3"/>
        <v>1000</v>
      </c>
      <c r="AB4" s="234">
        <f t="shared" ca="1" si="3"/>
        <v>710</v>
      </c>
      <c r="AC4" s="234">
        <f t="shared" ca="1" si="3"/>
        <v>450</v>
      </c>
      <c r="AD4" s="25"/>
      <c r="AE4" s="25"/>
      <c r="AF4" s="25"/>
      <c r="AG4" s="25"/>
      <c r="AK4" s="233"/>
      <c r="AL4" s="233"/>
      <c r="AM4" s="23"/>
      <c r="AN4" s="23"/>
      <c r="AO4" s="23"/>
      <c r="AP4" s="23"/>
      <c r="AQ4" s="23"/>
      <c r="AR4" s="23"/>
      <c r="AS4" s="23"/>
      <c r="AT4" s="23"/>
      <c r="AU4" s="23"/>
      <c r="AV4" s="23"/>
      <c r="AW4" s="23"/>
      <c r="AX4" s="23"/>
      <c r="AY4" s="23"/>
      <c r="AZ4" s="23"/>
      <c r="BA4" s="23"/>
      <c r="BB4" s="23"/>
      <c r="BC4" s="23"/>
      <c r="BD4" s="23"/>
      <c r="BE4" s="23"/>
      <c r="BF4" s="23"/>
      <c r="BG4" s="23"/>
      <c r="BH4" s="23"/>
      <c r="BI4" s="23"/>
      <c r="BJ4" s="23"/>
      <c r="BK4" s="23"/>
      <c r="BL4" s="23"/>
      <c r="BM4" s="23"/>
      <c r="BN4" s="23"/>
      <c r="BO4" s="23"/>
      <c r="BP4" s="23"/>
      <c r="BQ4" s="23"/>
      <c r="BR4" s="23"/>
      <c r="BS4" s="23"/>
      <c r="BT4" s="23"/>
      <c r="BU4" s="23"/>
      <c r="BV4" s="23"/>
      <c r="BW4" s="23"/>
      <c r="BX4" s="23"/>
      <c r="BY4" s="23"/>
      <c r="BZ4" s="23"/>
      <c r="CA4" s="23"/>
      <c r="CB4" s="23"/>
      <c r="CC4" s="23"/>
      <c r="CD4" s="23"/>
      <c r="CE4" s="23"/>
      <c r="CF4" s="23"/>
      <c r="CG4" s="23"/>
      <c r="CH4" s="23"/>
      <c r="CI4" s="23"/>
      <c r="CJ4" s="23"/>
      <c r="CK4" s="23"/>
      <c r="CL4" s="23"/>
      <c r="CM4" s="23"/>
      <c r="CN4" s="23"/>
      <c r="CO4" s="23"/>
      <c r="CP4" s="23"/>
      <c r="CQ4" s="23"/>
    </row>
    <row r="5" spans="1:95" x14ac:dyDescent="0.25">
      <c r="A5" s="68" t="s">
        <v>121</v>
      </c>
      <c r="B5" s="68" t="s">
        <v>122</v>
      </c>
      <c r="C5" s="68" t="s">
        <v>105</v>
      </c>
      <c r="D5" s="68" t="s">
        <v>123</v>
      </c>
      <c r="E5" s="68" t="s">
        <v>101</v>
      </c>
      <c r="F5" s="68" t="s">
        <v>124</v>
      </c>
      <c r="G5" s="146" t="s">
        <v>102</v>
      </c>
      <c r="H5" s="218" t="s">
        <v>76</v>
      </c>
      <c r="I5" s="218" t="s">
        <v>77</v>
      </c>
      <c r="J5" s="218" t="s">
        <v>78</v>
      </c>
      <c r="K5" s="218" t="s">
        <v>79</v>
      </c>
      <c r="L5" s="218" t="s">
        <v>80</v>
      </c>
      <c r="M5" s="218" t="s">
        <v>81</v>
      </c>
      <c r="N5" s="218" t="s">
        <v>82</v>
      </c>
      <c r="O5" s="218" t="s">
        <v>83</v>
      </c>
      <c r="P5" s="218" t="s">
        <v>84</v>
      </c>
      <c r="Q5" s="218" t="s">
        <v>85</v>
      </c>
      <c r="R5" s="218" t="s">
        <v>86</v>
      </c>
      <c r="S5" s="218" t="s">
        <v>87</v>
      </c>
      <c r="T5" s="218" t="s">
        <v>88</v>
      </c>
      <c r="U5" s="218" t="s">
        <v>89</v>
      </c>
      <c r="V5" s="218" t="s">
        <v>90</v>
      </c>
      <c r="W5" s="218" t="s">
        <v>91</v>
      </c>
      <c r="X5" s="218" t="s">
        <v>92</v>
      </c>
      <c r="Y5" s="218" t="s">
        <v>93</v>
      </c>
      <c r="Z5" s="218" t="s">
        <v>94</v>
      </c>
      <c r="AA5" s="218" t="s">
        <v>95</v>
      </c>
      <c r="AB5" s="218" t="s">
        <v>96</v>
      </c>
      <c r="AC5" s="218" t="s">
        <v>97</v>
      </c>
      <c r="AD5" s="218" t="s">
        <v>98</v>
      </c>
      <c r="AE5" s="219" t="s">
        <v>99</v>
      </c>
      <c r="AF5" s="218" t="s">
        <v>100</v>
      </c>
      <c r="AG5" s="218"/>
      <c r="AH5" s="218"/>
      <c r="AI5" s="218"/>
      <c r="AJ5" s="218"/>
      <c r="AK5" s="233"/>
      <c r="AL5" s="233"/>
      <c r="AM5" s="23"/>
      <c r="AN5" s="23"/>
      <c r="AO5" s="23"/>
      <c r="AP5" s="23"/>
      <c r="AQ5" s="23"/>
      <c r="AR5" s="23"/>
      <c r="AS5" s="23"/>
      <c r="AT5" s="23"/>
      <c r="AU5" s="23"/>
      <c r="AV5" s="23"/>
      <c r="AW5" s="23"/>
      <c r="AX5" s="23"/>
      <c r="AY5" s="23"/>
      <c r="AZ5" s="23"/>
      <c r="BA5" s="23"/>
      <c r="BB5" s="23"/>
      <c r="BC5" s="23"/>
      <c r="BD5" s="23"/>
      <c r="BE5" s="23"/>
      <c r="BF5" s="23"/>
      <c r="BG5" s="23"/>
      <c r="BH5" s="23"/>
      <c r="BI5" s="23"/>
      <c r="BJ5" s="23"/>
      <c r="BK5" s="23"/>
      <c r="BL5" s="23"/>
      <c r="BM5" s="23"/>
      <c r="BN5" s="23"/>
      <c r="BO5" s="23"/>
      <c r="BP5" s="23"/>
      <c r="BQ5" s="23"/>
      <c r="BR5" s="23"/>
      <c r="BS5" s="23"/>
      <c r="BT5" s="23"/>
      <c r="BU5" s="23"/>
      <c r="BV5" s="23"/>
      <c r="BW5" s="23"/>
      <c r="BX5" s="23"/>
      <c r="BY5" s="23"/>
      <c r="BZ5" s="23"/>
      <c r="CA5" s="23"/>
      <c r="CB5" s="23"/>
      <c r="CC5" s="23"/>
      <c r="CD5" s="23"/>
      <c r="CE5" s="23"/>
      <c r="CF5" s="23"/>
      <c r="CG5" s="23"/>
      <c r="CH5" s="23"/>
      <c r="CI5" s="23"/>
      <c r="CJ5" s="23"/>
      <c r="CK5" s="23"/>
      <c r="CL5" s="23"/>
      <c r="CM5" s="23"/>
      <c r="CN5" s="23"/>
    </row>
    <row r="6" spans="1:95" ht="14.25" customHeight="1" x14ac:dyDescent="0.25">
      <c r="A6" s="30">
        <v>1000</v>
      </c>
      <c r="B6" s="102" t="s">
        <v>29</v>
      </c>
      <c r="C6" s="103" t="s">
        <v>49</v>
      </c>
      <c r="D6" s="42" t="s">
        <v>48</v>
      </c>
      <c r="E6" s="103" t="s">
        <v>50</v>
      </c>
      <c r="F6" s="116" t="s">
        <v>33</v>
      </c>
      <c r="G6" s="170" t="s">
        <v>117</v>
      </c>
      <c r="H6" s="171"/>
      <c r="I6" s="264">
        <f>PA_CDC!I17</f>
        <v>0</v>
      </c>
      <c r="J6" s="171" t="str">
        <f>IF(J5=MJ_Initialisation!AI18,MJ_Initialisation!E20,"")</f>
        <v/>
      </c>
      <c r="K6" s="171" t="str">
        <f>IF(K5=MJ_Initialisation!AJ18,MJ_Initialisation!F20,"")</f>
        <v/>
      </c>
      <c r="L6" s="171" t="str">
        <f>IF(L5=MJ_Initialisation!AK18,MJ_Initialisation!G20,"")</f>
        <v/>
      </c>
      <c r="M6" s="171" t="str">
        <f>IF(M5=MJ_Initialisation!AL18,MJ_Initialisation!H20,"")</f>
        <v/>
      </c>
      <c r="N6" s="171" t="str">
        <f>IF(N5=MJ_Initialisation!AM18,MJ_Initialisation!I20,"")</f>
        <v/>
      </c>
      <c r="O6" s="171" t="str">
        <f>IF(O5=MJ_Initialisation!AN18,MJ_Initialisation!J20,"")</f>
        <v/>
      </c>
      <c r="P6" s="171" t="str">
        <f>IF(P5=MJ_Initialisation!AO18,MJ_Initialisation!K20,"")</f>
        <v/>
      </c>
      <c r="Q6" s="171" t="str">
        <f>IF(Q5=MJ_Initialisation!AP18,MJ_Initialisation!L20,"")</f>
        <v/>
      </c>
      <c r="R6" s="171" t="str">
        <f>IF(R5=MJ_Initialisation!AQ18,MJ_Initialisation!M20,"")</f>
        <v/>
      </c>
      <c r="S6" s="171" t="str">
        <f>IF(S5=MJ_Initialisation!AR18,MJ_Initialisation!N20,"")</f>
        <v/>
      </c>
      <c r="T6" s="171" t="str">
        <f>IF(T5=MJ_Initialisation!AS18,MJ_Initialisation!O20,"")</f>
        <v/>
      </c>
      <c r="U6" s="171" t="str">
        <f>IF(U5=MJ_Initialisation!AT18,MJ_Initialisation!P20,"")</f>
        <v/>
      </c>
      <c r="V6" s="171" t="str">
        <f>IF(V5=MJ_Initialisation!AU18,MJ_Initialisation!Q20,"")</f>
        <v/>
      </c>
      <c r="W6" s="171" t="str">
        <f>IF(W5=MJ_Initialisation!AV18,MJ_Initialisation!R20,"")</f>
        <v/>
      </c>
      <c r="X6" s="171" t="str">
        <f>IF(X5=MJ_Initialisation!AW18,MJ_Initialisation!S20,"")</f>
        <v/>
      </c>
      <c r="Y6" s="171" t="str">
        <f>IF(Y5=MJ_Initialisation!AX18,MJ_Initialisation!T20,"")</f>
        <v/>
      </c>
      <c r="Z6" s="171" t="str">
        <f>IF(Z5=MJ_Initialisation!AY18,MJ_Initialisation!U20,"")</f>
        <v/>
      </c>
      <c r="AA6" s="171" t="str">
        <f>IF(AA5=MJ_Initialisation!AZ18,MJ_Initialisation!V20,"")</f>
        <v/>
      </c>
      <c r="AB6" s="171" t="str">
        <f>IF(AB5=MJ_Initialisation!BA18,MJ_Initialisation!W20,"")</f>
        <v/>
      </c>
      <c r="AC6" s="171" t="str">
        <f>IF(AC5=MJ_Initialisation!BB18,MJ_Initialisation!X20,"")</f>
        <v/>
      </c>
      <c r="AD6" s="171" t="str">
        <f>IF(AD5=MJ_Initialisation!BC18,MJ_Initialisation!Y20,"")</f>
        <v/>
      </c>
      <c r="AE6" s="171" t="str">
        <f>IF(AE5=MJ_Initialisation!BD18,MJ_Initialisation!Z20,"")</f>
        <v/>
      </c>
      <c r="AF6" s="171" t="str">
        <f>IF(AF5=MJ_Initialisation!BE18,MJ_Initialisation!AA20,"")</f>
        <v/>
      </c>
      <c r="AG6" s="264"/>
      <c r="AH6" s="264"/>
      <c r="AI6" s="264"/>
      <c r="AJ6" s="264"/>
      <c r="AK6" s="248"/>
      <c r="AL6" s="248"/>
    </row>
    <row r="7" spans="1:95" ht="14.25" customHeight="1" x14ac:dyDescent="0.25">
      <c r="A7" s="30">
        <v>1000</v>
      </c>
      <c r="B7" s="102" t="s">
        <v>29</v>
      </c>
      <c r="C7" s="103" t="s">
        <v>49</v>
      </c>
      <c r="D7" s="42" t="s">
        <v>48</v>
      </c>
      <c r="E7" s="103" t="s">
        <v>51</v>
      </c>
      <c r="F7" s="117" t="s">
        <v>35</v>
      </c>
      <c r="G7" s="170" t="s">
        <v>117</v>
      </c>
      <c r="H7" s="171"/>
      <c r="I7" s="264">
        <f ca="1">PA_CDC!I22</f>
        <v>70</v>
      </c>
      <c r="J7" s="171" t="str">
        <f>IF(J5=MJ_Initialisation!AI18,MJ_Initialisation!E28,"")</f>
        <v/>
      </c>
      <c r="K7" s="171" t="str">
        <f>IF(K5=MJ_Initialisation!AJ18,MJ_Initialisation!F28,"")</f>
        <v/>
      </c>
      <c r="L7" s="171" t="str">
        <f>IF(L5=MJ_Initialisation!AK18,MJ_Initialisation!G28,"")</f>
        <v/>
      </c>
      <c r="M7" s="171" t="str">
        <f>IF(M5=MJ_Initialisation!AL18,MJ_Initialisation!H28,"")</f>
        <v/>
      </c>
      <c r="N7" s="171" t="str">
        <f>IF(N5=MJ_Initialisation!AM18,MJ_Initialisation!I28,"")</f>
        <v/>
      </c>
      <c r="O7" s="171" t="str">
        <f>IF(O5=MJ_Initialisation!AN18,MJ_Initialisation!J28,"")</f>
        <v/>
      </c>
      <c r="P7" s="171" t="str">
        <f>IF(P5=MJ_Initialisation!AO18,MJ_Initialisation!K28,"")</f>
        <v/>
      </c>
      <c r="Q7" s="171" t="str">
        <f>IF(Q5=MJ_Initialisation!AP18,MJ_Initialisation!L28,"")</f>
        <v/>
      </c>
      <c r="R7" s="171" t="str">
        <f>IF(R5=MJ_Initialisation!AQ18,MJ_Initialisation!M28,"")</f>
        <v/>
      </c>
      <c r="S7" s="171" t="str">
        <f>IF(S5=MJ_Initialisation!AR18,MJ_Initialisation!N28,"")</f>
        <v/>
      </c>
      <c r="T7" s="171" t="str">
        <f>IF(T5=MJ_Initialisation!AS18,MJ_Initialisation!O28,"")</f>
        <v/>
      </c>
      <c r="U7" s="171" t="str">
        <f>IF(U5=MJ_Initialisation!AT18,MJ_Initialisation!P28,"")</f>
        <v/>
      </c>
      <c r="V7" s="171" t="str">
        <f>IF(V5=MJ_Initialisation!AU18,MJ_Initialisation!Q28,"")</f>
        <v/>
      </c>
      <c r="W7" s="171" t="str">
        <f>IF(W5=MJ_Initialisation!AV18,MJ_Initialisation!R28,"")</f>
        <v/>
      </c>
      <c r="X7" s="171" t="str">
        <f>IF(X5=MJ_Initialisation!AW18,MJ_Initialisation!S28,"")</f>
        <v/>
      </c>
      <c r="Y7" s="171" t="str">
        <f>IF(Y5=MJ_Initialisation!AX18,MJ_Initialisation!T28,"")</f>
        <v/>
      </c>
      <c r="Z7" s="171" t="str">
        <f>IF(Z5=MJ_Initialisation!AY18,MJ_Initialisation!U28,"")</f>
        <v/>
      </c>
      <c r="AA7" s="171" t="str">
        <f>IF(AA5=MJ_Initialisation!AZ18,MJ_Initialisation!V28,"")</f>
        <v/>
      </c>
      <c r="AB7" s="171" t="str">
        <f>IF(AB5=MJ_Initialisation!BA18,MJ_Initialisation!W28,"")</f>
        <v/>
      </c>
      <c r="AC7" s="171" t="str">
        <f>IF(AC5=MJ_Initialisation!BB18,MJ_Initialisation!X28,"")</f>
        <v/>
      </c>
      <c r="AD7" s="171" t="str">
        <f>IF(AD5=MJ_Initialisation!BC18,MJ_Initialisation!Y28,"")</f>
        <v/>
      </c>
      <c r="AE7" s="171" t="str">
        <f>IF(AE5=MJ_Initialisation!BD18,MJ_Initialisation!Z28,"")</f>
        <v/>
      </c>
      <c r="AF7" s="171" t="str">
        <f>IF(AF5=MJ_Initialisation!BE18,MJ_Initialisation!AA28,"")</f>
        <v/>
      </c>
      <c r="AG7" s="264"/>
      <c r="AH7" s="264"/>
      <c r="AI7" s="264"/>
      <c r="AJ7" s="264"/>
      <c r="AK7" s="248"/>
      <c r="AL7" s="248"/>
    </row>
    <row r="8" spans="1:95" x14ac:dyDescent="0.25">
      <c r="A8" s="30">
        <v>1000</v>
      </c>
      <c r="B8" s="102" t="s">
        <v>29</v>
      </c>
      <c r="C8" s="103" t="s">
        <v>49</v>
      </c>
      <c r="D8" s="42" t="s">
        <v>48</v>
      </c>
      <c r="E8" s="103" t="s">
        <v>52</v>
      </c>
      <c r="F8" s="118" t="s">
        <v>36</v>
      </c>
      <c r="G8" s="170" t="s">
        <v>117</v>
      </c>
      <c r="H8" s="171"/>
      <c r="I8" s="264">
        <f ca="1">PA_CDC!I27</f>
        <v>150</v>
      </c>
      <c r="J8" s="171" t="str">
        <f>IF(J5=MJ_Initialisation!AI18,MJ_Initialisation!E32,"")</f>
        <v/>
      </c>
      <c r="K8" s="171" t="str">
        <f>IF(K5=MJ_Initialisation!AJ18,MJ_Initialisation!F32,"")</f>
        <v/>
      </c>
      <c r="L8" s="171" t="str">
        <f>IF(L5=MJ_Initialisation!AK18,MJ_Initialisation!G32,"")</f>
        <v/>
      </c>
      <c r="M8" s="171" t="str">
        <f>IF(M5=MJ_Initialisation!AL18,MJ_Initialisation!H32,"")</f>
        <v/>
      </c>
      <c r="N8" s="171" t="str">
        <f>IF(N5=MJ_Initialisation!AM18,MJ_Initialisation!I32,"")</f>
        <v/>
      </c>
      <c r="O8" s="171" t="str">
        <f>IF(O5=MJ_Initialisation!AN18,MJ_Initialisation!J32,"")</f>
        <v/>
      </c>
      <c r="P8" s="171" t="str">
        <f>IF(P5=MJ_Initialisation!AO18,MJ_Initialisation!K32,"")</f>
        <v/>
      </c>
      <c r="Q8" s="171" t="str">
        <f>IF(Q5=MJ_Initialisation!AP18,MJ_Initialisation!L32,"")</f>
        <v/>
      </c>
      <c r="R8" s="171" t="str">
        <f>IF(R5=MJ_Initialisation!AQ18,MJ_Initialisation!M32,"")</f>
        <v/>
      </c>
      <c r="S8" s="171" t="str">
        <f>IF(S5=MJ_Initialisation!AR18,MJ_Initialisation!N32,"")</f>
        <v/>
      </c>
      <c r="T8" s="171" t="str">
        <f>IF(T5=MJ_Initialisation!AS18,MJ_Initialisation!O32,"")</f>
        <v/>
      </c>
      <c r="U8" s="171" t="str">
        <f>IF(U5=MJ_Initialisation!AT18,MJ_Initialisation!P32,"")</f>
        <v/>
      </c>
      <c r="V8" s="171" t="str">
        <f>IF(V5=MJ_Initialisation!AU18,MJ_Initialisation!Q32,"")</f>
        <v/>
      </c>
      <c r="W8" s="171" t="str">
        <f>IF(W5=MJ_Initialisation!AV18,MJ_Initialisation!R32,"")</f>
        <v/>
      </c>
      <c r="X8" s="171" t="str">
        <f>IF(X5=MJ_Initialisation!AW18,MJ_Initialisation!S32,"")</f>
        <v/>
      </c>
      <c r="Y8" s="171" t="str">
        <f>IF(Y5=MJ_Initialisation!AX18,MJ_Initialisation!T32,"")</f>
        <v/>
      </c>
      <c r="Z8" s="171" t="str">
        <f>IF(Z5=MJ_Initialisation!AY18,MJ_Initialisation!U32,"")</f>
        <v/>
      </c>
      <c r="AA8" s="171" t="str">
        <f>IF(AA5=MJ_Initialisation!AZ18,MJ_Initialisation!V32,"")</f>
        <v/>
      </c>
      <c r="AB8" s="171" t="str">
        <f>IF(AB5=MJ_Initialisation!BA18,MJ_Initialisation!W32,"")</f>
        <v/>
      </c>
      <c r="AC8" s="171" t="str">
        <f>IF(AC5=MJ_Initialisation!BB18,MJ_Initialisation!X32,"")</f>
        <v/>
      </c>
      <c r="AD8" s="171" t="str">
        <f>IF(AD5=MJ_Initialisation!BC18,MJ_Initialisation!Y32,"")</f>
        <v/>
      </c>
      <c r="AE8" s="171" t="str">
        <f>IF(AE5=MJ_Initialisation!BD18,MJ_Initialisation!Z32,"")</f>
        <v/>
      </c>
      <c r="AF8" s="171" t="str">
        <f>IF(AF5=MJ_Initialisation!BE18,MJ_Initialisation!AA32,"")</f>
        <v/>
      </c>
      <c r="AG8" s="264"/>
      <c r="AH8" s="264"/>
      <c r="AI8" s="264"/>
      <c r="AJ8" s="264"/>
      <c r="AK8" s="248"/>
      <c r="AL8" s="248"/>
    </row>
    <row r="9" spans="1:95" x14ac:dyDescent="0.25">
      <c r="A9" s="30">
        <v>1000</v>
      </c>
      <c r="B9" s="102" t="s">
        <v>29</v>
      </c>
      <c r="C9" s="103" t="s">
        <v>49</v>
      </c>
      <c r="D9" s="42" t="s">
        <v>48</v>
      </c>
      <c r="E9" s="103" t="s">
        <v>53</v>
      </c>
      <c r="F9" s="119" t="s">
        <v>34</v>
      </c>
      <c r="G9" s="170" t="s">
        <v>117</v>
      </c>
      <c r="H9" s="171"/>
      <c r="I9" s="264">
        <f ca="1">PA_CDC!I32</f>
        <v>0</v>
      </c>
      <c r="J9" s="171" t="str">
        <f>IF(J5=MJ_Initialisation!AI18,MJ_Initialisation!E36,"")</f>
        <v/>
      </c>
      <c r="K9" s="171" t="str">
        <f>IF(K5=MJ_Initialisation!AJ18,MJ_Initialisation!F36,"")</f>
        <v/>
      </c>
      <c r="L9" s="171" t="str">
        <f>IF(L5=MJ_Initialisation!AK18,MJ_Initialisation!G36,"")</f>
        <v/>
      </c>
      <c r="M9" s="171" t="str">
        <f>IF(M5=MJ_Initialisation!AL18,MJ_Initialisation!H36,"")</f>
        <v/>
      </c>
      <c r="N9" s="171" t="str">
        <f>IF(N5=MJ_Initialisation!AM18,MJ_Initialisation!I36,"")</f>
        <v/>
      </c>
      <c r="O9" s="171" t="str">
        <f>IF(O5=MJ_Initialisation!AN18,MJ_Initialisation!J36,"")</f>
        <v/>
      </c>
      <c r="P9" s="171" t="str">
        <f>IF(P5=MJ_Initialisation!AO18,MJ_Initialisation!K36,"")</f>
        <v/>
      </c>
      <c r="Q9" s="171" t="str">
        <f>IF(Q5=MJ_Initialisation!AP18,MJ_Initialisation!L36,"")</f>
        <v/>
      </c>
      <c r="R9" s="171" t="str">
        <f>IF(R5=MJ_Initialisation!AQ18,MJ_Initialisation!M36,"")</f>
        <v/>
      </c>
      <c r="S9" s="171" t="str">
        <f>IF(S5=MJ_Initialisation!AR18,MJ_Initialisation!N36,"")</f>
        <v/>
      </c>
      <c r="T9" s="171" t="str">
        <f>IF(T5=MJ_Initialisation!AS18,MJ_Initialisation!O36,"")</f>
        <v/>
      </c>
      <c r="U9" s="171" t="str">
        <f>IF(U5=MJ_Initialisation!AT18,MJ_Initialisation!P36,"")</f>
        <v/>
      </c>
      <c r="V9" s="171" t="str">
        <f>IF(V5=MJ_Initialisation!AU18,MJ_Initialisation!Q36,"")</f>
        <v/>
      </c>
      <c r="W9" s="171" t="str">
        <f>IF(W5=MJ_Initialisation!AV18,MJ_Initialisation!R36,"")</f>
        <v/>
      </c>
      <c r="X9" s="171" t="str">
        <f>IF(X5=MJ_Initialisation!AW18,MJ_Initialisation!S36,"")</f>
        <v/>
      </c>
      <c r="Y9" s="171" t="str">
        <f>IF(Y5=MJ_Initialisation!AX18,MJ_Initialisation!T36,"")</f>
        <v/>
      </c>
      <c r="Z9" s="171" t="str">
        <f>IF(Z5=MJ_Initialisation!AY18,MJ_Initialisation!U36,"")</f>
        <v/>
      </c>
      <c r="AA9" s="171" t="str">
        <f>IF(AA5=MJ_Initialisation!AZ18,MJ_Initialisation!V36,"")</f>
        <v/>
      </c>
      <c r="AB9" s="171" t="str">
        <f>IF(AB5=MJ_Initialisation!BA18,MJ_Initialisation!W36,"")</f>
        <v/>
      </c>
      <c r="AC9" s="171" t="str">
        <f>IF(AC5=MJ_Initialisation!BB18,MJ_Initialisation!X36,"")</f>
        <v/>
      </c>
      <c r="AD9" s="171" t="str">
        <f>IF(AD5=MJ_Initialisation!BC18,MJ_Initialisation!Y36,"")</f>
        <v/>
      </c>
      <c r="AE9" s="171" t="str">
        <f>IF(AE5=MJ_Initialisation!BD18,MJ_Initialisation!Z36,"")</f>
        <v/>
      </c>
      <c r="AF9" s="171" t="str">
        <f>IF(AF5=MJ_Initialisation!BE18,MJ_Initialisation!AA36,"")</f>
        <v/>
      </c>
      <c r="AG9" s="264"/>
      <c r="AH9" s="264"/>
      <c r="AI9" s="264"/>
      <c r="AJ9" s="264"/>
      <c r="AK9" s="248"/>
      <c r="AL9" s="248"/>
    </row>
    <row r="10" spans="1:95" x14ac:dyDescent="0.25">
      <c r="A10" s="30">
        <v>1000</v>
      </c>
      <c r="B10" s="102" t="s">
        <v>29</v>
      </c>
      <c r="C10" s="103" t="s">
        <v>66</v>
      </c>
      <c r="D10" s="42" t="s">
        <v>65</v>
      </c>
      <c r="E10" s="103" t="s">
        <v>49</v>
      </c>
      <c r="F10" s="42" t="s">
        <v>48</v>
      </c>
      <c r="G10" s="170" t="s">
        <v>118</v>
      </c>
      <c r="H10" s="171"/>
      <c r="I10" s="264">
        <f>I18</f>
        <v>220</v>
      </c>
      <c r="J10" s="171" t="str">
        <f>IF(J5=MJ_Initialisation!AI18,MJ_Initialisation!E44,"")</f>
        <v/>
      </c>
      <c r="K10" s="171" t="str">
        <f>IF(K5=MJ_Initialisation!AJ18,MJ_Initialisation!F44,"")</f>
        <v/>
      </c>
      <c r="L10" s="171" t="str">
        <f>IF(L5=MJ_Initialisation!AK18,MJ_Initialisation!G44,"")</f>
        <v/>
      </c>
      <c r="M10" s="171" t="str">
        <f>IF(M5=MJ_Initialisation!AL18,MJ_Initialisation!H44,"")</f>
        <v/>
      </c>
      <c r="N10" s="171" t="str">
        <f>IF(N5=MJ_Initialisation!AM18,MJ_Initialisation!I44,"")</f>
        <v/>
      </c>
      <c r="O10" s="171" t="str">
        <f>IF(O5=MJ_Initialisation!AN18,MJ_Initialisation!J44,"")</f>
        <v/>
      </c>
      <c r="P10" s="171" t="str">
        <f>IF(P5=MJ_Initialisation!AO18,MJ_Initialisation!K44,"")</f>
        <v/>
      </c>
      <c r="Q10" s="171" t="str">
        <f>IF(Q5=MJ_Initialisation!AP18,MJ_Initialisation!L44,"")</f>
        <v/>
      </c>
      <c r="R10" s="171" t="str">
        <f>IF(R5=MJ_Initialisation!AQ18,MJ_Initialisation!M44,"")</f>
        <v/>
      </c>
      <c r="S10" s="171" t="str">
        <f>IF(S5=MJ_Initialisation!AR18,MJ_Initialisation!N44,"")</f>
        <v/>
      </c>
      <c r="T10" s="171" t="str">
        <f>IF(T5=MJ_Initialisation!AS18,MJ_Initialisation!O44,"")</f>
        <v/>
      </c>
      <c r="U10" s="171" t="str">
        <f>IF(U5=MJ_Initialisation!AT18,MJ_Initialisation!P44,"")</f>
        <v/>
      </c>
      <c r="V10" s="171" t="str">
        <f>IF(V5=MJ_Initialisation!AU18,MJ_Initialisation!Q44,"")</f>
        <v/>
      </c>
      <c r="W10" s="171" t="str">
        <f>IF(W5=MJ_Initialisation!AV18,MJ_Initialisation!R44,"")</f>
        <v/>
      </c>
      <c r="X10" s="171" t="str">
        <f>IF(X5=MJ_Initialisation!AW18,MJ_Initialisation!S44,"")</f>
        <v/>
      </c>
      <c r="Y10" s="171" t="str">
        <f>IF(Y5=MJ_Initialisation!AX18,MJ_Initialisation!T44,"")</f>
        <v/>
      </c>
      <c r="Z10" s="171" t="str">
        <f>IF(Z5=MJ_Initialisation!AY18,MJ_Initialisation!U44,"")</f>
        <v/>
      </c>
      <c r="AA10" s="171" t="str">
        <f>IF(AA5=MJ_Initialisation!AZ18,MJ_Initialisation!V44,"")</f>
        <v/>
      </c>
      <c r="AB10" s="171" t="str">
        <f>IF(AB5=MJ_Initialisation!BA18,MJ_Initialisation!W44,"")</f>
        <v/>
      </c>
      <c r="AC10" s="171" t="str">
        <f>IF(AC5=MJ_Initialisation!BB18,MJ_Initialisation!X44,"")</f>
        <v/>
      </c>
      <c r="AD10" s="171" t="str">
        <f>IF(AD5=MJ_Initialisation!BC18,MJ_Initialisation!Y44,"")</f>
        <v/>
      </c>
      <c r="AE10" s="171" t="str">
        <f>IF(AE5=MJ_Initialisation!BD18,MJ_Initialisation!Z44,"")</f>
        <v/>
      </c>
      <c r="AF10" s="171" t="str">
        <f>IF(AF5=MJ_Initialisation!BE18,MJ_Initialisation!AA44,"")</f>
        <v/>
      </c>
      <c r="AG10" s="264"/>
      <c r="AH10" s="264"/>
      <c r="AI10" s="264"/>
      <c r="AJ10" s="264"/>
      <c r="AK10" s="248"/>
      <c r="AL10" s="248"/>
    </row>
    <row r="11" spans="1:95" ht="15.75" thickBot="1" x14ac:dyDescent="0.3">
      <c r="A11" s="30">
        <v>1000</v>
      </c>
      <c r="B11" s="102" t="s">
        <v>29</v>
      </c>
      <c r="C11" s="103" t="s">
        <v>49</v>
      </c>
      <c r="D11" s="42" t="s">
        <v>48</v>
      </c>
      <c r="E11" s="103" t="s">
        <v>49</v>
      </c>
      <c r="F11" s="42" t="s">
        <v>48</v>
      </c>
      <c r="G11" s="168" t="s">
        <v>120</v>
      </c>
      <c r="H11" s="19">
        <f>MJ_Initialisation!AF16</f>
        <v>300</v>
      </c>
      <c r="I11" s="175">
        <f ca="1">H11+I18-SUM(I12:I15)</f>
        <v>300</v>
      </c>
      <c r="J11" s="175" t="str">
        <f>IF(J5=MJ_Initialisation!AI18,I11+J18-SUM(J12:J15),"")</f>
        <v/>
      </c>
      <c r="K11" s="185" t="str">
        <f>IF(K5=MJ_Initialisation!AJ18,J11+K17-SUM(K12:K15),"")</f>
        <v/>
      </c>
      <c r="L11" s="185" t="str">
        <f>IF(L5=MJ_Initialisation!AK18,K11+L17-SUM(L12:L15),"")</f>
        <v/>
      </c>
      <c r="M11" s="185" t="str">
        <f>IF(M5=MJ_Initialisation!AL18,L11+M17-SUM(M12:M15),"")</f>
        <v/>
      </c>
      <c r="N11" s="185" t="str">
        <f>IF(N5=MJ_Initialisation!AM18,M11+N17-SUM(N12:N15),"")</f>
        <v/>
      </c>
      <c r="O11" s="185" t="str">
        <f>IF(O5=MJ_Initialisation!AN18,N11+O17-SUM(O12:O15),"")</f>
        <v/>
      </c>
      <c r="P11" s="185" t="str">
        <f>IF(P5=MJ_Initialisation!AO18,O11+P17-SUM(P12:P15),"")</f>
        <v/>
      </c>
      <c r="Q11" s="185" t="str">
        <f>IF(Q5=MJ_Initialisation!AP18,P11+Q17-SUM(Q12:Q15),"")</f>
        <v/>
      </c>
      <c r="R11" s="185" t="str">
        <f>IF(R5=MJ_Initialisation!AQ18,Q11+R17-SUM(R12:R15),"")</f>
        <v/>
      </c>
      <c r="S11" s="185" t="str">
        <f>IF(S5=MJ_Initialisation!AR18,R11+S17-SUM(S12:S15),"")</f>
        <v/>
      </c>
      <c r="T11" s="185" t="str">
        <f>IF(T5=MJ_Initialisation!AS18,S11+T17-SUM(T12:T15),"")</f>
        <v/>
      </c>
      <c r="U11" s="185" t="str">
        <f>IF(U5=MJ_Initialisation!AT18,T11+U17-SUM(U12:U15),"")</f>
        <v/>
      </c>
      <c r="V11" s="185" t="str">
        <f>IF(V5=MJ_Initialisation!AU18,U11+V17-SUM(V12:V15),"")</f>
        <v/>
      </c>
      <c r="W11" s="185" t="str">
        <f>IF(W5=MJ_Initialisation!AV18,V11+W17-SUM(W12:W15),"")</f>
        <v/>
      </c>
      <c r="X11" s="185" t="str">
        <f>IF(X5=MJ_Initialisation!AW18,W11+X17-SUM(X12:X15),"")</f>
        <v/>
      </c>
      <c r="Y11" s="185" t="str">
        <f>IF(Y5=MJ_Initialisation!AX18,X11+Y17-SUM(Y12:Y15),"")</f>
        <v/>
      </c>
      <c r="Z11" s="185" t="str">
        <f>IF(Z5=MJ_Initialisation!AY18,Y11+Z17-SUM(Z12:Z15),"")</f>
        <v/>
      </c>
      <c r="AA11" s="185" t="str">
        <f>IF(AA5=MJ_Initialisation!AZ18,Z11+AA17-SUM(AA12:AA15),"")</f>
        <v/>
      </c>
      <c r="AB11" s="185" t="str">
        <f>IF(AB5=MJ_Initialisation!BA18,AA11+AB17-SUM(AB12:AB15),"")</f>
        <v/>
      </c>
      <c r="AC11" s="185" t="str">
        <f>IF(AC5=MJ_Initialisation!BB18,AB11+AC17-SUM(AC12:AC15),"")</f>
        <v/>
      </c>
      <c r="AD11" s="185" t="str">
        <f>IF(AD5=MJ_Initialisation!BC18,AC11+AD17-SUM(AD12:AD15),"")</f>
        <v/>
      </c>
      <c r="AE11" s="185" t="str">
        <f>IF(AE5=MJ_Initialisation!BD18,AD11+AE17-SUM(AE12:AE15),"")</f>
        <v/>
      </c>
      <c r="AF11" s="185" t="str">
        <f>IF(AF5=MJ_Initialisation!BE18,AE11+AF17-SUM(AF12:AF15),"")</f>
        <v/>
      </c>
      <c r="AG11" s="270"/>
      <c r="AH11" s="270"/>
      <c r="AI11" s="270"/>
      <c r="AJ11" s="270"/>
      <c r="AK11" s="209"/>
      <c r="AL11" s="209"/>
    </row>
    <row r="12" spans="1:95" x14ac:dyDescent="0.25">
      <c r="A12" s="30">
        <v>1000</v>
      </c>
      <c r="B12" s="102" t="s">
        <v>29</v>
      </c>
      <c r="C12" s="103" t="s">
        <v>50</v>
      </c>
      <c r="D12" s="116" t="s">
        <v>33</v>
      </c>
      <c r="E12" s="103" t="s">
        <v>49</v>
      </c>
      <c r="F12" s="42" t="s">
        <v>48</v>
      </c>
      <c r="G12" s="8" t="s">
        <v>57</v>
      </c>
      <c r="H12" s="158"/>
      <c r="I12" s="13">
        <f>France!J12</f>
        <v>0</v>
      </c>
      <c r="J12" s="13">
        <f>France!K12</f>
        <v>0</v>
      </c>
      <c r="K12" s="13">
        <f>France!L12</f>
        <v>170</v>
      </c>
      <c r="L12" s="13">
        <f>France!M12</f>
        <v>80</v>
      </c>
      <c r="M12" s="13">
        <f>France!N12</f>
        <v>70</v>
      </c>
      <c r="N12" s="13">
        <f>France!O12</f>
        <v>150</v>
      </c>
      <c r="O12" s="13">
        <f>France!P12</f>
        <v>130</v>
      </c>
      <c r="P12" s="13">
        <f>France!Q12</f>
        <v>200</v>
      </c>
      <c r="Q12" s="13">
        <f>France!R12</f>
        <v>70</v>
      </c>
      <c r="R12" s="13">
        <f>France!S12</f>
        <v>160</v>
      </c>
      <c r="S12" s="13">
        <f>France!T12</f>
        <v>170</v>
      </c>
      <c r="T12" s="13">
        <f>France!U12</f>
        <v>130</v>
      </c>
      <c r="U12" s="13">
        <f>France!V12</f>
        <v>30</v>
      </c>
      <c r="V12" s="13">
        <f>France!W12</f>
        <v>120</v>
      </c>
      <c r="W12" s="13">
        <f>France!X12</f>
        <v>40</v>
      </c>
      <c r="X12" s="13">
        <f>France!Y12</f>
        <v>150</v>
      </c>
      <c r="Y12" s="13">
        <f>France!Z12</f>
        <v>150</v>
      </c>
      <c r="Z12" s="13">
        <f>France!AA12</f>
        <v>20</v>
      </c>
      <c r="AA12" s="13">
        <f>France!AB12</f>
        <v>170</v>
      </c>
      <c r="AB12" s="13">
        <f>France!AC12</f>
        <v>40</v>
      </c>
      <c r="AC12" s="13">
        <f>France!AD12</f>
        <v>130</v>
      </c>
      <c r="AD12" s="13">
        <f>France!AE12</f>
        <v>100</v>
      </c>
      <c r="AE12" s="13">
        <f>France!AF12</f>
        <v>190</v>
      </c>
      <c r="AF12" s="13">
        <f>France!AG12</f>
        <v>40</v>
      </c>
      <c r="AG12" s="227"/>
      <c r="AH12" s="227"/>
      <c r="AI12" s="227"/>
      <c r="AJ12" s="227"/>
      <c r="AK12" s="261"/>
      <c r="AL12" s="261"/>
      <c r="AM12" s="23"/>
      <c r="AN12" s="23"/>
      <c r="AO12" s="23"/>
      <c r="AP12" s="23"/>
      <c r="AQ12" s="23"/>
      <c r="AR12" s="23"/>
      <c r="AS12" s="23"/>
      <c r="AT12" s="23"/>
      <c r="AU12" s="23"/>
      <c r="AV12" s="23"/>
      <c r="AW12" s="23"/>
      <c r="AX12" s="23"/>
      <c r="AY12" s="23"/>
      <c r="AZ12" s="23"/>
      <c r="BA12" s="23"/>
      <c r="BB12" s="23"/>
      <c r="BC12" s="23"/>
      <c r="BD12" s="23"/>
      <c r="BE12" s="23"/>
      <c r="BF12" s="23"/>
      <c r="BG12" s="23"/>
      <c r="BH12" s="23"/>
      <c r="BI12" s="23"/>
      <c r="BJ12" s="23"/>
      <c r="BK12" s="23"/>
      <c r="BL12" s="23"/>
      <c r="BM12" s="23"/>
      <c r="BN12" s="23"/>
      <c r="BO12" s="23"/>
      <c r="BP12" s="23"/>
      <c r="BQ12" s="23"/>
      <c r="BR12" s="23"/>
      <c r="BS12" s="23"/>
      <c r="BT12" s="23"/>
      <c r="BU12" s="23"/>
      <c r="BV12" s="23"/>
      <c r="BW12" s="23"/>
      <c r="BX12" s="23"/>
      <c r="BY12" s="23"/>
      <c r="BZ12" s="23"/>
      <c r="CA12" s="23"/>
      <c r="CB12" s="23"/>
      <c r="CC12" s="23"/>
      <c r="CD12" s="23"/>
      <c r="CE12" s="23"/>
      <c r="CF12" s="23"/>
      <c r="CG12" s="23"/>
      <c r="CH12" s="23"/>
      <c r="CI12" s="23"/>
      <c r="CJ12" s="23"/>
      <c r="CK12" s="23"/>
      <c r="CL12" s="23"/>
      <c r="CM12" s="23"/>
      <c r="CN12" s="23"/>
    </row>
    <row r="13" spans="1:95" x14ac:dyDescent="0.25">
      <c r="A13" s="30">
        <v>1000</v>
      </c>
      <c r="B13" s="102" t="s">
        <v>29</v>
      </c>
      <c r="C13" s="103" t="s">
        <v>51</v>
      </c>
      <c r="D13" s="117" t="s">
        <v>35</v>
      </c>
      <c r="E13" s="103" t="s">
        <v>49</v>
      </c>
      <c r="F13" s="42" t="s">
        <v>48</v>
      </c>
      <c r="G13" s="8" t="s">
        <v>57</v>
      </c>
      <c r="H13" s="92"/>
      <c r="I13" s="15">
        <f ca="1">OFFSET(Espagne!J12,0,1)</f>
        <v>70</v>
      </c>
      <c r="J13" s="15">
        <f ca="1">OFFSET(Espagne!K12,0,1)</f>
        <v>10</v>
      </c>
      <c r="K13" s="15">
        <f ca="1">OFFSET(Espagne!L12,0,1)</f>
        <v>90</v>
      </c>
      <c r="L13" s="15">
        <f ca="1">OFFSET(Espagne!M12,0,1)</f>
        <v>10</v>
      </c>
      <c r="M13" s="15">
        <f ca="1">OFFSET(Espagne!N12,0,1)</f>
        <v>40</v>
      </c>
      <c r="N13" s="15">
        <f ca="1">OFFSET(Espagne!O12,0,1)</f>
        <v>0</v>
      </c>
      <c r="O13" s="15">
        <f ca="1">OFFSET(Espagne!P12,0,1)</f>
        <v>150</v>
      </c>
      <c r="P13" s="15">
        <f ca="1">OFFSET(Espagne!Q12,0,1)</f>
        <v>0</v>
      </c>
      <c r="Q13" s="15">
        <f ca="1">OFFSET(Espagne!R12,0,1)</f>
        <v>140</v>
      </c>
      <c r="R13" s="15">
        <f ca="1">OFFSET(Espagne!S12,0,1)</f>
        <v>140</v>
      </c>
      <c r="S13" s="15">
        <f ca="1">OFFSET(Espagne!T12,0,1)</f>
        <v>110</v>
      </c>
      <c r="T13" s="15">
        <f ca="1">OFFSET(Espagne!U12,0,1)</f>
        <v>80</v>
      </c>
      <c r="U13" s="15">
        <f ca="1">OFFSET(Espagne!V12,0,1)</f>
        <v>60</v>
      </c>
      <c r="V13" s="15">
        <f ca="1">OFFSET(Espagne!W12,0,1)</f>
        <v>50</v>
      </c>
      <c r="W13" s="15">
        <f ca="1">OFFSET(Espagne!X12,0,1)</f>
        <v>30</v>
      </c>
      <c r="X13" s="15">
        <f ca="1">OFFSET(Espagne!Y12,0,1)</f>
        <v>100</v>
      </c>
      <c r="Y13" s="15">
        <f ca="1">OFFSET(Espagne!Z12,0,1)</f>
        <v>50</v>
      </c>
      <c r="Z13" s="15">
        <f ca="1">OFFSET(Espagne!AA12,0,1)</f>
        <v>150</v>
      </c>
      <c r="AA13" s="15">
        <f ca="1">OFFSET(Espagne!AB12,0,1)</f>
        <v>130</v>
      </c>
      <c r="AB13" s="15">
        <f ca="1">OFFSET(Espagne!AC12,0,1)</f>
        <v>170</v>
      </c>
      <c r="AC13" s="15">
        <f ca="1">OFFSET(Espagne!AD12,0,1)</f>
        <v>20</v>
      </c>
      <c r="AD13" s="15">
        <f ca="1">OFFSET(Espagne!AE12,0,1)</f>
        <v>20</v>
      </c>
      <c r="AE13" s="15">
        <f ca="1">OFFSET(Espagne!AF12,0,1)</f>
        <v>20</v>
      </c>
      <c r="AF13" s="15">
        <f ca="1">OFFSET(Espagne!AG12,0,1)</f>
        <v>0</v>
      </c>
      <c r="AG13" s="228"/>
      <c r="AH13" s="228"/>
      <c r="AI13" s="228"/>
      <c r="AJ13" s="228"/>
      <c r="AK13" s="248"/>
      <c r="AL13" s="248"/>
      <c r="AM13" s="23"/>
      <c r="AN13" s="23"/>
      <c r="AO13" s="23"/>
      <c r="AP13" s="23"/>
      <c r="AQ13" s="23"/>
      <c r="AR13" s="23"/>
      <c r="AS13" s="23"/>
      <c r="AT13" s="23"/>
      <c r="AU13" s="23"/>
      <c r="AV13" s="23"/>
      <c r="AW13" s="23"/>
      <c r="AX13" s="23"/>
      <c r="AY13" s="23"/>
      <c r="AZ13" s="23"/>
      <c r="BA13" s="23"/>
      <c r="BB13" s="23"/>
      <c r="BC13" s="23"/>
      <c r="BD13" s="23"/>
      <c r="BE13" s="23"/>
      <c r="BF13" s="23"/>
      <c r="BG13" s="23"/>
      <c r="BH13" s="23"/>
      <c r="BI13" s="23"/>
      <c r="BJ13" s="23"/>
      <c r="BK13" s="23"/>
      <c r="BL13" s="23"/>
      <c r="BM13" s="23"/>
      <c r="BN13" s="23"/>
      <c r="BO13" s="23"/>
      <c r="BP13" s="23"/>
      <c r="BQ13" s="23"/>
      <c r="BR13" s="23"/>
      <c r="BS13" s="23"/>
      <c r="BT13" s="23"/>
      <c r="BU13" s="23"/>
      <c r="BV13" s="23"/>
      <c r="BW13" s="23"/>
      <c r="BX13" s="23"/>
      <c r="BY13" s="23"/>
      <c r="BZ13" s="23"/>
      <c r="CA13" s="23"/>
      <c r="CB13" s="23"/>
      <c r="CC13" s="23"/>
      <c r="CD13" s="23"/>
      <c r="CE13" s="23"/>
      <c r="CF13" s="23"/>
      <c r="CG13" s="23"/>
      <c r="CH13" s="23"/>
      <c r="CI13" s="23"/>
      <c r="CJ13" s="23"/>
      <c r="CK13" s="23"/>
      <c r="CL13" s="23"/>
      <c r="CM13" s="23"/>
      <c r="CN13" s="23"/>
    </row>
    <row r="14" spans="1:95" x14ac:dyDescent="0.25">
      <c r="A14" s="30">
        <v>1000</v>
      </c>
      <c r="B14" s="102" t="s">
        <v>29</v>
      </c>
      <c r="C14" s="103" t="s">
        <v>52</v>
      </c>
      <c r="D14" s="118" t="s">
        <v>36</v>
      </c>
      <c r="E14" s="103" t="s">
        <v>49</v>
      </c>
      <c r="F14" s="42" t="s">
        <v>48</v>
      </c>
      <c r="G14" s="8" t="s">
        <v>57</v>
      </c>
      <c r="H14" s="92"/>
      <c r="I14" s="15">
        <f ca="1">OFFSET(Chili!J12,0,2)</f>
        <v>150</v>
      </c>
      <c r="J14" s="15">
        <f ca="1">OFFSET(Chili!K12,0,2)</f>
        <v>200</v>
      </c>
      <c r="K14" s="15">
        <f ca="1">OFFSET(Chili!L12,0,2)</f>
        <v>200</v>
      </c>
      <c r="L14" s="15">
        <f ca="1">OFFSET(Chili!M12,0,2)</f>
        <v>50</v>
      </c>
      <c r="M14" s="15">
        <f ca="1">OFFSET(Chili!N12,0,2)</f>
        <v>150</v>
      </c>
      <c r="N14" s="15">
        <f ca="1">OFFSET(Chili!O12,0,2)</f>
        <v>250</v>
      </c>
      <c r="O14" s="15">
        <f ca="1">OFFSET(Chili!P12,0,2)</f>
        <v>100</v>
      </c>
      <c r="P14" s="15">
        <f ca="1">OFFSET(Chili!Q12,0,2)</f>
        <v>50</v>
      </c>
      <c r="Q14" s="15">
        <f ca="1">OFFSET(Chili!R12,0,2)</f>
        <v>250</v>
      </c>
      <c r="R14" s="15">
        <f ca="1">OFFSET(Chili!S12,0,2)</f>
        <v>200</v>
      </c>
      <c r="S14" s="15">
        <f ca="1">OFFSET(Chili!T12,0,2)</f>
        <v>50</v>
      </c>
      <c r="T14" s="15">
        <f ca="1">OFFSET(Chili!U12,0,2)</f>
        <v>250</v>
      </c>
      <c r="U14" s="15">
        <f ca="1">OFFSET(Chili!V12,0,2)</f>
        <v>200</v>
      </c>
      <c r="V14" s="15">
        <f ca="1">OFFSET(Chili!W12,0,2)</f>
        <v>250</v>
      </c>
      <c r="W14" s="15">
        <f ca="1">OFFSET(Chili!X12,0,2)</f>
        <v>250</v>
      </c>
      <c r="X14" s="15">
        <f ca="1">OFFSET(Chili!Y12,0,2)</f>
        <v>150</v>
      </c>
      <c r="Y14" s="15">
        <f ca="1">OFFSET(Chili!Z12,0,2)</f>
        <v>250</v>
      </c>
      <c r="Z14" s="15">
        <f ca="1">OFFSET(Chili!AA12,0,2)</f>
        <v>150</v>
      </c>
      <c r="AA14" s="15">
        <f ca="1">OFFSET(Chili!AB12,0,2)</f>
        <v>300</v>
      </c>
      <c r="AB14" s="15">
        <f ca="1">OFFSET(Chili!AC12,0,2)</f>
        <v>100</v>
      </c>
      <c r="AC14" s="15">
        <f ca="1">OFFSET(Chili!AD12,0,2)</f>
        <v>200</v>
      </c>
      <c r="AD14" s="15">
        <f ca="1">OFFSET(Chili!AE12,0,2)</f>
        <v>100</v>
      </c>
      <c r="AE14" s="15">
        <f ca="1">OFFSET(Chili!AF12,0,2)</f>
        <v>0</v>
      </c>
      <c r="AF14" s="15">
        <f ca="1">OFFSET(Chili!AG12,0,2)</f>
        <v>0</v>
      </c>
      <c r="AG14" s="228"/>
      <c r="AH14" s="228"/>
      <c r="AI14" s="228"/>
      <c r="AJ14" s="228"/>
      <c r="AK14" s="248"/>
      <c r="AL14" s="248"/>
      <c r="AM14" s="23"/>
      <c r="AN14" s="23"/>
      <c r="AO14" s="23"/>
      <c r="AP14" s="23"/>
      <c r="AQ14" s="23"/>
      <c r="AR14" s="23"/>
      <c r="AS14" s="23"/>
      <c r="AT14" s="23"/>
      <c r="AU14" s="23"/>
      <c r="AV14" s="23"/>
      <c r="AW14" s="23"/>
      <c r="AX14" s="23"/>
      <c r="AY14" s="23"/>
      <c r="AZ14" s="23"/>
      <c r="BA14" s="23"/>
      <c r="BB14" s="23"/>
      <c r="BC14" s="23"/>
      <c r="BD14" s="23"/>
      <c r="BE14" s="23"/>
      <c r="BF14" s="23"/>
      <c r="BG14" s="23"/>
      <c r="BH14" s="23"/>
      <c r="BI14" s="23"/>
      <c r="BJ14" s="23"/>
      <c r="BK14" s="23"/>
      <c r="BL14" s="23"/>
      <c r="BM14" s="23"/>
      <c r="BN14" s="23"/>
      <c r="BO14" s="23"/>
      <c r="BP14" s="23"/>
      <c r="BQ14" s="23"/>
      <c r="BR14" s="23"/>
      <c r="BS14" s="23"/>
      <c r="BT14" s="23"/>
      <c r="BU14" s="23"/>
      <c r="BV14" s="23"/>
      <c r="BW14" s="23"/>
      <c r="BX14" s="23"/>
      <c r="BY14" s="23"/>
      <c r="BZ14" s="23"/>
      <c r="CA14" s="23"/>
      <c r="CB14" s="23"/>
      <c r="CC14" s="23"/>
      <c r="CD14" s="23"/>
      <c r="CE14" s="23"/>
      <c r="CF14" s="23"/>
      <c r="CG14" s="23"/>
      <c r="CH14" s="23"/>
      <c r="CI14" s="23"/>
      <c r="CJ14" s="23"/>
      <c r="CK14" s="23"/>
      <c r="CL14" s="23"/>
      <c r="CM14" s="23"/>
      <c r="CN14" s="23"/>
    </row>
    <row r="15" spans="1:95" x14ac:dyDescent="0.25">
      <c r="A15" s="30">
        <v>1000</v>
      </c>
      <c r="B15" s="102" t="s">
        <v>29</v>
      </c>
      <c r="C15" s="103" t="s">
        <v>53</v>
      </c>
      <c r="D15" s="119" t="s">
        <v>34</v>
      </c>
      <c r="E15" s="103" t="s">
        <v>49</v>
      </c>
      <c r="F15" s="42" t="s">
        <v>48</v>
      </c>
      <c r="G15" s="8" t="s">
        <v>57</v>
      </c>
      <c r="H15" s="92"/>
      <c r="I15" s="15">
        <f ca="1">OFFSET(Australie!J12,0,3)</f>
        <v>0</v>
      </c>
      <c r="J15" s="15">
        <f ca="1">OFFSET(Australie!K12,0,3)</f>
        <v>70</v>
      </c>
      <c r="K15" s="15">
        <f ca="1">OFFSET(Australie!L12,0,3)</f>
        <v>0</v>
      </c>
      <c r="L15" s="15">
        <f ca="1">OFFSET(Australie!M12,0,3)</f>
        <v>0</v>
      </c>
      <c r="M15" s="15">
        <f ca="1">OFFSET(Australie!N12,0,3)</f>
        <v>200</v>
      </c>
      <c r="N15" s="15">
        <f ca="1">OFFSET(Australie!O12,0,3)</f>
        <v>100</v>
      </c>
      <c r="O15" s="15">
        <f ca="1">OFFSET(Australie!P12,0,3)</f>
        <v>300</v>
      </c>
      <c r="P15" s="15">
        <f ca="1">OFFSET(Australie!Q12,0,3)</f>
        <v>100</v>
      </c>
      <c r="Q15" s="15">
        <f ca="1">OFFSET(Australie!R12,0,3)</f>
        <v>400</v>
      </c>
      <c r="R15" s="15">
        <f ca="1">OFFSET(Australie!S12,0,3)</f>
        <v>100</v>
      </c>
      <c r="S15" s="15">
        <f ca="1">OFFSET(Australie!T12,0,3)</f>
        <v>200</v>
      </c>
      <c r="T15" s="15">
        <f ca="1">OFFSET(Australie!U12,0,3)</f>
        <v>400</v>
      </c>
      <c r="U15" s="15">
        <f ca="1">OFFSET(Australie!V12,0,3)</f>
        <v>100</v>
      </c>
      <c r="V15" s="15">
        <f ca="1">OFFSET(Australie!W12,0,3)</f>
        <v>200</v>
      </c>
      <c r="W15" s="15">
        <f ca="1">OFFSET(Australie!X12,0,3)</f>
        <v>100</v>
      </c>
      <c r="X15" s="15">
        <f ca="1">OFFSET(Australie!Y12,0,3)</f>
        <v>300</v>
      </c>
      <c r="Y15" s="15">
        <f ca="1">OFFSET(Australie!Z12,0,3)</f>
        <v>100</v>
      </c>
      <c r="Z15" s="15">
        <f ca="1">OFFSET(Australie!AA12,0,3)</f>
        <v>300</v>
      </c>
      <c r="AA15" s="15">
        <f ca="1">OFFSET(Australie!AB12,0,3)</f>
        <v>400</v>
      </c>
      <c r="AB15" s="15">
        <f ca="1">OFFSET(Australie!AC12,0,3)</f>
        <v>400</v>
      </c>
      <c r="AC15" s="15">
        <f ca="1">OFFSET(Australie!AD12,0,3)</f>
        <v>100</v>
      </c>
      <c r="AD15" s="15">
        <f ca="1">OFFSET(Australie!AE12,0,3)</f>
        <v>0</v>
      </c>
      <c r="AE15" s="15">
        <f ca="1">OFFSET(Australie!AF12,0,3)</f>
        <v>0</v>
      </c>
      <c r="AF15" s="15">
        <f ca="1">OFFSET(Australie!AG12,0,3)</f>
        <v>0</v>
      </c>
      <c r="AG15" s="228"/>
      <c r="AH15" s="228"/>
      <c r="AI15" s="228"/>
      <c r="AJ15" s="228"/>
      <c r="AK15" s="248"/>
      <c r="AL15" s="248"/>
      <c r="AM15" s="23"/>
      <c r="AN15" s="23"/>
      <c r="AO15" s="23"/>
      <c r="AP15" s="23"/>
      <c r="AQ15" s="23"/>
      <c r="AR15" s="23"/>
      <c r="AS15" s="23"/>
      <c r="AT15" s="23"/>
      <c r="AU15" s="23"/>
      <c r="AV15" s="23"/>
      <c r="AW15" s="23"/>
      <c r="AX15" s="23"/>
      <c r="AY15" s="23"/>
      <c r="AZ15" s="23"/>
      <c r="BA15" s="23"/>
      <c r="BB15" s="23"/>
      <c r="BC15" s="23"/>
      <c r="BD15" s="23"/>
      <c r="BE15" s="23"/>
      <c r="BF15" s="23"/>
      <c r="BG15" s="23"/>
      <c r="BH15" s="23"/>
      <c r="BI15" s="23"/>
      <c r="BJ15" s="23"/>
      <c r="BK15" s="23"/>
      <c r="BL15" s="23"/>
      <c r="BM15" s="23"/>
      <c r="BN15" s="23"/>
      <c r="BO15" s="23"/>
      <c r="BP15" s="23"/>
      <c r="BQ15" s="23"/>
      <c r="BR15" s="23"/>
      <c r="BS15" s="23"/>
      <c r="BT15" s="23"/>
      <c r="BU15" s="23"/>
      <c r="BV15" s="23"/>
      <c r="BW15" s="23"/>
      <c r="BX15" s="23"/>
      <c r="BY15" s="23"/>
      <c r="BZ15" s="23"/>
      <c r="CA15" s="23"/>
      <c r="CB15" s="23"/>
      <c r="CC15" s="23"/>
      <c r="CD15" s="23"/>
      <c r="CE15" s="23"/>
      <c r="CF15" s="23"/>
      <c r="CG15" s="23"/>
      <c r="CH15" s="23"/>
      <c r="CI15" s="23"/>
      <c r="CJ15" s="23"/>
      <c r="CK15" s="23"/>
      <c r="CL15" s="23"/>
      <c r="CM15" s="23"/>
      <c r="CN15" s="23"/>
    </row>
    <row r="16" spans="1:95" x14ac:dyDescent="0.25">
      <c r="A16" s="30">
        <v>1000</v>
      </c>
      <c r="B16" s="102" t="s">
        <v>29</v>
      </c>
      <c r="C16" s="103" t="s">
        <v>49</v>
      </c>
      <c r="D16" s="42" t="s">
        <v>48</v>
      </c>
      <c r="E16" s="103" t="s">
        <v>49</v>
      </c>
      <c r="F16" s="42" t="s">
        <v>48</v>
      </c>
      <c r="G16" s="124" t="s">
        <v>24</v>
      </c>
      <c r="H16" s="92"/>
      <c r="I16" s="6">
        <v>300</v>
      </c>
      <c r="J16" s="223">
        <v>300</v>
      </c>
      <c r="K16" s="223">
        <v>300</v>
      </c>
      <c r="L16" s="223">
        <v>300</v>
      </c>
      <c r="M16" s="223">
        <v>300</v>
      </c>
      <c r="N16" s="223">
        <v>300</v>
      </c>
      <c r="O16" s="223">
        <v>300</v>
      </c>
      <c r="P16" s="223">
        <v>300</v>
      </c>
      <c r="Q16" s="223">
        <v>300</v>
      </c>
      <c r="R16" s="223">
        <v>300</v>
      </c>
      <c r="S16" s="223">
        <v>300</v>
      </c>
      <c r="T16" s="223">
        <v>300</v>
      </c>
      <c r="U16" s="223">
        <v>300</v>
      </c>
      <c r="V16" s="223">
        <v>300</v>
      </c>
      <c r="W16" s="223">
        <v>300</v>
      </c>
      <c r="X16" s="223">
        <v>300</v>
      </c>
      <c r="Y16" s="223">
        <v>300</v>
      </c>
      <c r="Z16" s="223">
        <v>300</v>
      </c>
      <c r="AA16" s="223">
        <v>300</v>
      </c>
      <c r="AB16" s="223">
        <v>300</v>
      </c>
      <c r="AC16" s="223">
        <v>300</v>
      </c>
      <c r="AD16" s="223">
        <v>300</v>
      </c>
      <c r="AE16" s="223">
        <v>300</v>
      </c>
      <c r="AF16" s="223">
        <v>300</v>
      </c>
      <c r="AG16" s="223"/>
      <c r="AH16" s="223"/>
      <c r="AI16" s="223"/>
      <c r="AJ16" s="223"/>
      <c r="AK16" s="249"/>
      <c r="AL16" s="249"/>
      <c r="AM16" s="23"/>
      <c r="AN16" s="23"/>
      <c r="AO16" s="23"/>
      <c r="AP16" s="23"/>
      <c r="AQ16" s="23"/>
      <c r="AR16" s="23"/>
      <c r="AS16" s="23"/>
      <c r="AT16" s="23"/>
      <c r="AU16" s="23"/>
      <c r="AV16" s="23"/>
      <c r="AW16" s="23"/>
      <c r="AX16" s="23"/>
      <c r="AY16" s="23"/>
      <c r="AZ16" s="23"/>
      <c r="BA16" s="23"/>
      <c r="BB16" s="23"/>
      <c r="BC16" s="23"/>
      <c r="BD16" s="23"/>
      <c r="BE16" s="23"/>
      <c r="BF16" s="23"/>
      <c r="BG16" s="23"/>
      <c r="BH16" s="23"/>
      <c r="BI16" s="23"/>
      <c r="BJ16" s="23"/>
      <c r="BK16" s="23"/>
      <c r="BL16" s="23"/>
      <c r="BM16" s="23"/>
      <c r="BN16" s="23"/>
      <c r="BO16" s="23"/>
      <c r="BP16" s="23"/>
      <c r="BQ16" s="23"/>
      <c r="BR16" s="23"/>
      <c r="BS16" s="23"/>
      <c r="BT16" s="23"/>
      <c r="BU16" s="23"/>
      <c r="BV16" s="23"/>
      <c r="BW16" s="23"/>
      <c r="BX16" s="23"/>
      <c r="BY16" s="23"/>
      <c r="BZ16" s="23"/>
      <c r="CA16" s="23"/>
      <c r="CB16" s="23"/>
      <c r="CC16" s="23"/>
      <c r="CD16" s="23"/>
      <c r="CE16" s="23"/>
      <c r="CF16" s="23"/>
      <c r="CG16" s="23"/>
      <c r="CH16" s="23"/>
      <c r="CI16" s="23"/>
      <c r="CJ16" s="23"/>
      <c r="CK16" s="23"/>
      <c r="CL16" s="23"/>
      <c r="CM16" s="23"/>
      <c r="CN16" s="23"/>
    </row>
    <row r="17" spans="1:92" x14ac:dyDescent="0.25">
      <c r="A17" s="30">
        <v>1000</v>
      </c>
      <c r="B17" s="102" t="s">
        <v>29</v>
      </c>
      <c r="C17" s="103" t="s">
        <v>66</v>
      </c>
      <c r="D17" s="42" t="s">
        <v>65</v>
      </c>
      <c r="E17" s="103" t="s">
        <v>49</v>
      </c>
      <c r="F17" s="42" t="s">
        <v>48</v>
      </c>
      <c r="G17" s="4" t="s">
        <v>45</v>
      </c>
      <c r="H17" s="92"/>
      <c r="I17" s="142"/>
      <c r="J17" s="142"/>
      <c r="K17" s="16">
        <f>MJ_Initialisation!F44</f>
        <v>460</v>
      </c>
      <c r="L17" s="16">
        <f>MJ_Initialisation!G44</f>
        <v>327</v>
      </c>
      <c r="M17" s="16">
        <f>MJ_Initialisation!H44</f>
        <v>290</v>
      </c>
      <c r="N17" s="16">
        <f>MJ_Initialisation!I44</f>
        <v>483</v>
      </c>
      <c r="O17" s="16">
        <f>MJ_Initialisation!J44</f>
        <v>680</v>
      </c>
      <c r="P17" s="16">
        <f>MJ_Initialisation!K44</f>
        <v>448</v>
      </c>
      <c r="Q17" s="16">
        <f>MJ_Initialisation!L44</f>
        <v>762</v>
      </c>
      <c r="R17" s="16">
        <f>MJ_Initialisation!M44</f>
        <v>600</v>
      </c>
      <c r="S17" s="16">
        <f>MJ_Initialisation!N44</f>
        <v>530</v>
      </c>
      <c r="T17" s="16">
        <f>MJ_Initialisation!O44</f>
        <v>860</v>
      </c>
      <c r="U17" s="16">
        <f>MJ_Initialisation!P44</f>
        <v>390</v>
      </c>
      <c r="V17" s="16">
        <f>MJ_Initialisation!Q44</f>
        <v>620</v>
      </c>
      <c r="W17" s="16">
        <f>MJ_Initialisation!R44</f>
        <v>434</v>
      </c>
      <c r="X17" s="16">
        <f>MJ_Initialisation!S44</f>
        <v>686</v>
      </c>
      <c r="Y17" s="16">
        <f>MJ_Initialisation!T44</f>
        <v>550</v>
      </c>
      <c r="Z17" s="16">
        <f>MJ_Initialisation!U44</f>
        <v>620</v>
      </c>
      <c r="AA17" s="16">
        <f>MJ_Initialisation!V44</f>
        <v>1000</v>
      </c>
      <c r="AB17" s="16">
        <f>MJ_Initialisation!W44</f>
        <v>710</v>
      </c>
      <c r="AC17" s="16">
        <f>MJ_Initialisation!X44</f>
        <v>450</v>
      </c>
      <c r="AD17" s="16">
        <f>MJ_Initialisation!Y44</f>
        <v>237</v>
      </c>
      <c r="AE17" s="16">
        <f>MJ_Initialisation!Z44</f>
        <v>256</v>
      </c>
      <c r="AF17" s="16">
        <f>MJ_Initialisation!AA44</f>
        <v>132</v>
      </c>
      <c r="AG17" s="229"/>
      <c r="AH17" s="229"/>
      <c r="AI17" s="229"/>
      <c r="AJ17" s="229"/>
      <c r="AK17" s="260"/>
      <c r="AL17" s="260"/>
      <c r="AM17" s="23"/>
      <c r="AN17" s="23"/>
      <c r="AO17" s="23"/>
      <c r="AP17" s="23"/>
      <c r="AQ17" s="23"/>
      <c r="AR17" s="23"/>
      <c r="AS17" s="23"/>
      <c r="AT17" s="23"/>
      <c r="AU17" s="23"/>
      <c r="AV17" s="23"/>
      <c r="AW17" s="23"/>
      <c r="AX17" s="23"/>
      <c r="AY17" s="23"/>
      <c r="AZ17" s="23"/>
      <c r="BA17" s="23"/>
      <c r="BB17" s="23"/>
      <c r="BC17" s="23"/>
      <c r="BD17" s="23"/>
      <c r="BE17" s="23"/>
      <c r="BF17" s="23"/>
      <c r="BG17" s="23"/>
      <c r="BH17" s="23"/>
      <c r="BI17" s="23"/>
      <c r="BJ17" s="23"/>
      <c r="BK17" s="23"/>
      <c r="BL17" s="23"/>
      <c r="BM17" s="23"/>
      <c r="BN17" s="23"/>
      <c r="BO17" s="23"/>
      <c r="BP17" s="23"/>
      <c r="BQ17" s="23"/>
      <c r="BR17" s="23"/>
      <c r="BS17" s="23"/>
      <c r="BT17" s="23"/>
      <c r="BU17" s="23"/>
      <c r="BV17" s="23"/>
      <c r="BW17" s="23"/>
      <c r="BX17" s="23"/>
      <c r="BY17" s="23"/>
      <c r="BZ17" s="23"/>
      <c r="CA17" s="23"/>
      <c r="CB17" s="23"/>
      <c r="CC17" s="23"/>
      <c r="CD17" s="23"/>
      <c r="CE17" s="23"/>
      <c r="CF17" s="23"/>
      <c r="CG17" s="23"/>
      <c r="CH17" s="23"/>
      <c r="CI17" s="23"/>
      <c r="CJ17" s="23"/>
      <c r="CK17" s="23"/>
      <c r="CL17" s="23"/>
      <c r="CM17" s="23"/>
      <c r="CN17" s="23"/>
    </row>
    <row r="18" spans="1:92" x14ac:dyDescent="0.25">
      <c r="A18" s="30">
        <v>1000</v>
      </c>
      <c r="B18" s="102" t="s">
        <v>29</v>
      </c>
      <c r="C18" s="103" t="s">
        <v>66</v>
      </c>
      <c r="D18" s="42" t="s">
        <v>65</v>
      </c>
      <c r="E18" s="103" t="s">
        <v>49</v>
      </c>
      <c r="F18" s="42" t="s">
        <v>48</v>
      </c>
      <c r="G18" s="35" t="s">
        <v>73</v>
      </c>
      <c r="H18" s="31"/>
      <c r="I18" s="36">
        <f>MJ_Initialisation!D44</f>
        <v>220</v>
      </c>
      <c r="J18" s="36">
        <f>MJ_Initialisation!E44</f>
        <v>280</v>
      </c>
      <c r="K18" s="143"/>
      <c r="L18" s="254"/>
      <c r="M18" s="143"/>
      <c r="N18" s="143"/>
      <c r="O18" s="143"/>
      <c r="P18" s="143"/>
      <c r="Q18" s="143"/>
      <c r="R18" s="143"/>
      <c r="S18" s="143"/>
      <c r="T18" s="143"/>
      <c r="U18" s="143"/>
      <c r="V18" s="143"/>
      <c r="W18" s="143"/>
      <c r="X18" s="143"/>
      <c r="Y18" s="143"/>
      <c r="Z18" s="143"/>
      <c r="AA18" s="143"/>
      <c r="AB18" s="143"/>
      <c r="AC18" s="143"/>
      <c r="AD18" s="143"/>
      <c r="AE18" s="143"/>
      <c r="AF18" s="143"/>
      <c r="AG18" s="254"/>
      <c r="AH18" s="254"/>
      <c r="AI18" s="254"/>
      <c r="AJ18" s="254"/>
      <c r="AK18" s="254"/>
      <c r="AL18" s="254"/>
      <c r="AM18" s="23"/>
      <c r="AN18" s="23"/>
      <c r="AO18" s="23"/>
      <c r="AP18" s="23"/>
      <c r="AQ18" s="23"/>
      <c r="AR18" s="23"/>
      <c r="AS18" s="23"/>
      <c r="AT18" s="23"/>
      <c r="AU18" s="23"/>
      <c r="AV18" s="23"/>
      <c r="AW18" s="23"/>
      <c r="AX18" s="23"/>
      <c r="AY18" s="23"/>
      <c r="AZ18" s="23"/>
      <c r="BA18" s="23"/>
      <c r="BB18" s="23"/>
      <c r="BC18" s="23"/>
      <c r="BD18" s="23"/>
      <c r="BE18" s="23"/>
      <c r="BF18" s="23"/>
      <c r="BG18" s="23"/>
      <c r="BH18" s="23"/>
      <c r="BI18" s="23"/>
      <c r="BJ18" s="23"/>
      <c r="BK18" s="23"/>
      <c r="BL18" s="23"/>
      <c r="BM18" s="23"/>
      <c r="BN18" s="23"/>
      <c r="BO18" s="23"/>
      <c r="BP18" s="23"/>
      <c r="BQ18" s="23"/>
      <c r="BR18" s="23"/>
      <c r="BS18" s="23"/>
      <c r="BT18" s="23"/>
      <c r="BU18" s="23"/>
      <c r="BV18" s="23"/>
      <c r="BW18" s="23"/>
      <c r="BX18" s="23"/>
      <c r="BY18" s="23"/>
      <c r="BZ18" s="23"/>
      <c r="CA18" s="23"/>
      <c r="CB18" s="23"/>
      <c r="CC18" s="23"/>
      <c r="CD18" s="23"/>
      <c r="CE18" s="23"/>
      <c r="CF18" s="23"/>
      <c r="CG18" s="23"/>
      <c r="CH18" s="23"/>
      <c r="CI18" s="23"/>
      <c r="CJ18" s="23"/>
      <c r="CK18" s="23"/>
      <c r="CL18" s="23"/>
      <c r="CM18" s="23"/>
      <c r="CN18" s="23"/>
    </row>
    <row r="19" spans="1:92" x14ac:dyDescent="0.25">
      <c r="A19" s="30">
        <v>1000</v>
      </c>
      <c r="B19" s="102" t="s">
        <v>29</v>
      </c>
      <c r="C19" s="103" t="s">
        <v>49</v>
      </c>
      <c r="D19" s="42" t="s">
        <v>48</v>
      </c>
      <c r="E19" s="103" t="s">
        <v>66</v>
      </c>
      <c r="F19" s="42" t="s">
        <v>65</v>
      </c>
      <c r="G19" s="127" t="s">
        <v>25</v>
      </c>
      <c r="H19" s="153"/>
      <c r="I19" s="225">
        <f ca="1">MAX(I17,SUM(I12:I15)+I16-H11-I18)</f>
        <v>0</v>
      </c>
      <c r="J19" s="225">
        <f ca="1">MAX(J17,SUM(J12:J15)+J16-I20-J18)</f>
        <v>0</v>
      </c>
      <c r="K19" s="225">
        <f t="shared" ref="K19:L19" ca="1" si="4">MAX(K17,SUM(K12:K15)+K16-J20-K18)</f>
        <v>460</v>
      </c>
      <c r="L19" s="225">
        <f t="shared" ca="1" si="4"/>
        <v>327</v>
      </c>
      <c r="M19" s="9">
        <f ca="1">MAX(M17,SUM(M12:M15)+M16-L20-M18)</f>
        <v>290</v>
      </c>
      <c r="N19" s="9">
        <f t="shared" ref="N19:AF19" ca="1" si="5">MAX(N17,SUM(N12:N15)+N16-M20-N18)</f>
        <v>483</v>
      </c>
      <c r="O19" s="9">
        <f t="shared" ca="1" si="5"/>
        <v>680</v>
      </c>
      <c r="P19" s="9">
        <f t="shared" ca="1" si="5"/>
        <v>448</v>
      </c>
      <c r="Q19" s="9">
        <f t="shared" ca="1" si="5"/>
        <v>762</v>
      </c>
      <c r="R19" s="9">
        <f t="shared" ca="1" si="5"/>
        <v>600</v>
      </c>
      <c r="S19" s="9">
        <f t="shared" ca="1" si="5"/>
        <v>530</v>
      </c>
      <c r="T19" s="9">
        <f t="shared" ca="1" si="5"/>
        <v>860</v>
      </c>
      <c r="U19" s="9">
        <f t="shared" ca="1" si="5"/>
        <v>390</v>
      </c>
      <c r="V19" s="9">
        <f t="shared" ca="1" si="5"/>
        <v>620</v>
      </c>
      <c r="W19" s="9">
        <f t="shared" ca="1" si="5"/>
        <v>434</v>
      </c>
      <c r="X19" s="9">
        <f t="shared" ca="1" si="5"/>
        <v>686</v>
      </c>
      <c r="Y19" s="9">
        <f t="shared" ca="1" si="5"/>
        <v>550</v>
      </c>
      <c r="Z19" s="9">
        <f t="shared" ca="1" si="5"/>
        <v>620</v>
      </c>
      <c r="AA19" s="9">
        <f t="shared" ca="1" si="5"/>
        <v>1000</v>
      </c>
      <c r="AB19" s="9">
        <f t="shared" ca="1" si="5"/>
        <v>710</v>
      </c>
      <c r="AC19" s="9">
        <f t="shared" ca="1" si="5"/>
        <v>450</v>
      </c>
      <c r="AD19" s="9">
        <f t="shared" ca="1" si="5"/>
        <v>237</v>
      </c>
      <c r="AE19" s="9">
        <f t="shared" ca="1" si="5"/>
        <v>256</v>
      </c>
      <c r="AF19" s="9">
        <f t="shared" ca="1" si="5"/>
        <v>132</v>
      </c>
      <c r="AG19" s="225"/>
      <c r="AH19" s="225"/>
      <c r="AI19" s="225"/>
      <c r="AJ19" s="225"/>
      <c r="AK19" s="272"/>
      <c r="AL19" s="272"/>
      <c r="AM19" s="23"/>
      <c r="AN19" s="23"/>
      <c r="AO19" s="23"/>
      <c r="AP19" s="23"/>
      <c r="AQ19" s="23"/>
      <c r="AR19" s="23"/>
      <c r="AS19" s="23"/>
      <c r="AT19" s="23"/>
      <c r="AU19" s="23"/>
      <c r="AV19" s="23"/>
      <c r="AW19" s="23"/>
      <c r="AX19" s="23"/>
      <c r="AY19" s="23"/>
      <c r="AZ19" s="23"/>
      <c r="BA19" s="23"/>
      <c r="BB19" s="23"/>
      <c r="BC19" s="23"/>
      <c r="BD19" s="23"/>
      <c r="BE19" s="23"/>
      <c r="BF19" s="23"/>
      <c r="BG19" s="23"/>
      <c r="BH19" s="23"/>
      <c r="BI19" s="23"/>
      <c r="BJ19" s="23"/>
      <c r="BK19" s="23"/>
      <c r="BL19" s="23"/>
      <c r="BM19" s="23"/>
      <c r="BN19" s="23"/>
      <c r="BO19" s="23"/>
      <c r="BP19" s="23"/>
      <c r="BQ19" s="23"/>
      <c r="BR19" s="23"/>
      <c r="BS19" s="23"/>
      <c r="BT19" s="23"/>
      <c r="BU19" s="23"/>
      <c r="BV19" s="23"/>
      <c r="BW19" s="23"/>
      <c r="BX19" s="23"/>
      <c r="BY19" s="23"/>
      <c r="BZ19" s="23"/>
      <c r="CA19" s="23"/>
      <c r="CB19" s="23"/>
      <c r="CC19" s="23"/>
      <c r="CD19" s="23"/>
      <c r="CE19" s="23"/>
      <c r="CF19" s="23"/>
      <c r="CG19" s="23"/>
      <c r="CH19" s="23"/>
      <c r="CI19" s="23"/>
      <c r="CJ19" s="23"/>
      <c r="CK19" s="23"/>
      <c r="CL19" s="23"/>
      <c r="CM19" s="23"/>
      <c r="CN19" s="23"/>
    </row>
    <row r="20" spans="1:92" ht="15.75" thickBot="1" x14ac:dyDescent="0.3">
      <c r="A20" s="30">
        <v>1000</v>
      </c>
      <c r="B20" s="102" t="s">
        <v>29</v>
      </c>
      <c r="C20" s="103" t="s">
        <v>49</v>
      </c>
      <c r="D20" s="42" t="s">
        <v>48</v>
      </c>
      <c r="E20" s="103" t="s">
        <v>49</v>
      </c>
      <c r="F20" s="42" t="s">
        <v>48</v>
      </c>
      <c r="G20" s="125" t="s">
        <v>37</v>
      </c>
      <c r="I20" s="7">
        <f ca="1">H11+I19+I18-SUM(I12:I15)</f>
        <v>300</v>
      </c>
      <c r="J20" s="7">
        <f t="shared" ref="J20:AF20" ca="1" si="6">I20+J19+J18-SUM(J12:J15)</f>
        <v>300</v>
      </c>
      <c r="K20" s="7">
        <f t="shared" ca="1" si="6"/>
        <v>300</v>
      </c>
      <c r="L20" s="7">
        <f t="shared" ca="1" si="6"/>
        <v>487</v>
      </c>
      <c r="M20" s="7">
        <f t="shared" ca="1" si="6"/>
        <v>317</v>
      </c>
      <c r="N20" s="7">
        <f t="shared" ca="1" si="6"/>
        <v>300</v>
      </c>
      <c r="O20" s="7">
        <f t="shared" ca="1" si="6"/>
        <v>300</v>
      </c>
      <c r="P20" s="7">
        <f t="shared" ca="1" si="6"/>
        <v>398</v>
      </c>
      <c r="Q20" s="7">
        <f t="shared" ca="1" si="6"/>
        <v>300</v>
      </c>
      <c r="R20" s="7">
        <f t="shared" ca="1" si="6"/>
        <v>300</v>
      </c>
      <c r="S20" s="7">
        <f t="shared" ca="1" si="6"/>
        <v>300</v>
      </c>
      <c r="T20" s="7">
        <f t="shared" ca="1" si="6"/>
        <v>300</v>
      </c>
      <c r="U20" s="7">
        <f t="shared" ca="1" si="6"/>
        <v>300</v>
      </c>
      <c r="V20" s="7">
        <f t="shared" ca="1" si="6"/>
        <v>300</v>
      </c>
      <c r="W20" s="7">
        <f t="shared" ca="1" si="6"/>
        <v>314</v>
      </c>
      <c r="X20" s="7">
        <f t="shared" ca="1" si="6"/>
        <v>300</v>
      </c>
      <c r="Y20" s="7">
        <f t="shared" ca="1" si="6"/>
        <v>300</v>
      </c>
      <c r="Z20" s="7">
        <f t="shared" ca="1" si="6"/>
        <v>300</v>
      </c>
      <c r="AA20" s="7">
        <f t="shared" ca="1" si="6"/>
        <v>300</v>
      </c>
      <c r="AB20" s="7">
        <f t="shared" ca="1" si="6"/>
        <v>300</v>
      </c>
      <c r="AC20" s="7">
        <f t="shared" ca="1" si="6"/>
        <v>300</v>
      </c>
      <c r="AD20" s="7">
        <f t="shared" ca="1" si="6"/>
        <v>317</v>
      </c>
      <c r="AE20" s="7">
        <f t="shared" ca="1" si="6"/>
        <v>363</v>
      </c>
      <c r="AF20" s="7">
        <f t="shared" ca="1" si="6"/>
        <v>455</v>
      </c>
      <c r="AG20" s="224"/>
      <c r="AH20" s="224"/>
      <c r="AI20" s="224"/>
      <c r="AJ20" s="224"/>
      <c r="AK20" s="273"/>
      <c r="AL20" s="273"/>
      <c r="AM20" s="23"/>
      <c r="AN20" s="23"/>
      <c r="AO20" s="23"/>
      <c r="AP20" s="23"/>
      <c r="AQ20" s="23"/>
      <c r="AR20" s="23"/>
      <c r="AS20" s="23"/>
      <c r="AT20" s="23"/>
      <c r="AU20" s="23"/>
      <c r="AV20" s="23"/>
      <c r="AW20" s="23"/>
      <c r="AX20" s="23"/>
      <c r="AY20" s="23"/>
      <c r="AZ20" s="23"/>
      <c r="BA20" s="23"/>
      <c r="BB20" s="23"/>
      <c r="BC20" s="23"/>
      <c r="BD20" s="23"/>
      <c r="BE20" s="23"/>
      <c r="BF20" s="23"/>
      <c r="BG20" s="23"/>
      <c r="BH20" s="23"/>
      <c r="BI20" s="23"/>
      <c r="BJ20" s="23"/>
      <c r="BK20" s="23"/>
      <c r="BL20" s="23"/>
      <c r="BM20" s="23"/>
      <c r="BN20" s="23"/>
      <c r="BO20" s="23"/>
      <c r="BP20" s="23"/>
      <c r="BQ20" s="23"/>
      <c r="BR20" s="23"/>
      <c r="BS20" s="23"/>
      <c r="BT20" s="23"/>
      <c r="BU20" s="23"/>
      <c r="BV20" s="23"/>
      <c r="BW20" s="23"/>
      <c r="BX20" s="23"/>
      <c r="BY20" s="23"/>
      <c r="BZ20" s="23"/>
      <c r="CA20" s="23"/>
      <c r="CB20" s="23"/>
      <c r="CC20" s="23"/>
      <c r="CD20" s="23"/>
      <c r="CE20" s="23"/>
      <c r="CF20" s="23"/>
      <c r="CG20" s="23"/>
      <c r="CH20" s="23"/>
      <c r="CI20" s="23"/>
      <c r="CJ20" s="23"/>
      <c r="CK20" s="23"/>
      <c r="CL20" s="23"/>
      <c r="CM20" s="23"/>
      <c r="CN20" s="23"/>
    </row>
    <row r="21" spans="1:92" x14ac:dyDescent="0.25">
      <c r="A21" s="11"/>
      <c r="B21" s="11"/>
      <c r="C21" s="11"/>
      <c r="D21" s="11"/>
      <c r="E21" s="11"/>
      <c r="F21" s="11"/>
      <c r="G21" s="11"/>
      <c r="H21" s="11"/>
      <c r="I21" s="11"/>
      <c r="J21" s="11"/>
      <c r="K21" s="11"/>
      <c r="L21" s="11"/>
      <c r="M21" s="11"/>
      <c r="N21" s="11"/>
      <c r="O21" s="11"/>
      <c r="P21" s="11"/>
      <c r="Q21" s="11"/>
      <c r="R21" s="11"/>
      <c r="S21" s="11"/>
      <c r="T21" s="11"/>
      <c r="U21" s="11"/>
      <c r="V21" s="11"/>
      <c r="W21" s="11"/>
      <c r="X21" s="11"/>
      <c r="Y21" s="11"/>
      <c r="Z21" s="11"/>
      <c r="AA21" s="11"/>
      <c r="AB21" s="11"/>
      <c r="AC21" s="11"/>
      <c r="AD21" s="11"/>
      <c r="AE21" s="11"/>
      <c r="AF21" s="77"/>
      <c r="AG21" s="244"/>
      <c r="AH21" s="244"/>
      <c r="AI21" s="244"/>
      <c r="AJ21" s="244"/>
      <c r="AK21" s="239"/>
      <c r="AL21" s="239"/>
    </row>
    <row r="22" spans="1:92" ht="14.25" customHeight="1" x14ac:dyDescent="0.25">
      <c r="A22" s="30">
        <v>2000</v>
      </c>
      <c r="B22" s="121" t="s">
        <v>30</v>
      </c>
      <c r="C22" s="103" t="s">
        <v>49</v>
      </c>
      <c r="D22" s="42" t="s">
        <v>48</v>
      </c>
      <c r="E22" s="103" t="s">
        <v>50</v>
      </c>
      <c r="F22" s="116" t="s">
        <v>33</v>
      </c>
      <c r="G22" s="168" t="s">
        <v>117</v>
      </c>
      <c r="H22" s="171"/>
      <c r="I22" s="171">
        <f>PA_CDC!I51</f>
        <v>10</v>
      </c>
      <c r="J22" s="171" t="str">
        <f>IF(J5=MJ_Initialisation!AI18,MJ_Initialisation!E22,"")</f>
        <v/>
      </c>
      <c r="K22" s="171" t="str">
        <f>IF(K5=MJ_Initialisation!AJ18,MJ_Initialisation!F22,"")</f>
        <v/>
      </c>
      <c r="L22" s="171" t="str">
        <f>IF(L5=MJ_Initialisation!AK18,MJ_Initialisation!G22,"")</f>
        <v/>
      </c>
      <c r="M22" s="171" t="str">
        <f>IF(M5=MJ_Initialisation!AL18,MJ_Initialisation!H22,"")</f>
        <v/>
      </c>
      <c r="N22" s="171" t="str">
        <f>IF(N5=MJ_Initialisation!AM18,MJ_Initialisation!I22,"")</f>
        <v/>
      </c>
      <c r="O22" s="171" t="str">
        <f>IF(O5=MJ_Initialisation!AN18,MJ_Initialisation!J22,"")</f>
        <v/>
      </c>
      <c r="P22" s="171" t="str">
        <f>IF(P5=MJ_Initialisation!AO18,MJ_Initialisation!K22,"")</f>
        <v/>
      </c>
      <c r="Q22" s="171" t="str">
        <f>IF(Q5=MJ_Initialisation!AP18,MJ_Initialisation!L22,"")</f>
        <v/>
      </c>
      <c r="R22" s="171" t="str">
        <f>IF(R5=MJ_Initialisation!AQ18,MJ_Initialisation!M22,"")</f>
        <v/>
      </c>
      <c r="S22" s="171" t="str">
        <f>IF(S5=MJ_Initialisation!AR18,MJ_Initialisation!N22,"")</f>
        <v/>
      </c>
      <c r="T22" s="171" t="str">
        <f>IF(T5=MJ_Initialisation!AS18,MJ_Initialisation!O22,"")</f>
        <v/>
      </c>
      <c r="U22" s="171" t="str">
        <f>IF(U5=MJ_Initialisation!AT18,MJ_Initialisation!P22,"")</f>
        <v/>
      </c>
      <c r="V22" s="171" t="str">
        <f>IF(V5=MJ_Initialisation!AU18,MJ_Initialisation!Q22,"")</f>
        <v/>
      </c>
      <c r="W22" s="171" t="str">
        <f>IF(W5=MJ_Initialisation!AV18,MJ_Initialisation!R22,"")</f>
        <v/>
      </c>
      <c r="X22" s="171" t="str">
        <f>IF(X5=MJ_Initialisation!AW18,MJ_Initialisation!S22,"")</f>
        <v/>
      </c>
      <c r="Y22" s="171" t="str">
        <f>IF(Y5=MJ_Initialisation!AX18,MJ_Initialisation!T22,"")</f>
        <v/>
      </c>
      <c r="Z22" s="171" t="str">
        <f>IF(Z5=MJ_Initialisation!AY18,MJ_Initialisation!U22,"")</f>
        <v/>
      </c>
      <c r="AA22" s="171" t="str">
        <f>IF(AA5=MJ_Initialisation!AZ18,MJ_Initialisation!V22,"")</f>
        <v/>
      </c>
      <c r="AB22" s="171" t="str">
        <f>IF(AB5=MJ_Initialisation!BA18,MJ_Initialisation!W22,"")</f>
        <v/>
      </c>
      <c r="AC22" s="171" t="str">
        <f>IF(AC5=MJ_Initialisation!BB18,MJ_Initialisation!X22,"")</f>
        <v/>
      </c>
      <c r="AD22" s="171" t="str">
        <f>IF(AD5=MJ_Initialisation!BC18,MJ_Initialisation!Y22,"")</f>
        <v/>
      </c>
      <c r="AE22" s="171" t="str">
        <f>IF(AE5=MJ_Initialisation!BD18,MJ_Initialisation!Z22,"")</f>
        <v/>
      </c>
      <c r="AF22" s="171" t="str">
        <f>IF(AF5=MJ_Initialisation!BE18,MJ_Initialisation!AA22,"")</f>
        <v/>
      </c>
      <c r="AG22" s="264"/>
      <c r="AH22" s="264"/>
      <c r="AI22" s="264"/>
      <c r="AJ22" s="264"/>
      <c r="AK22" s="248"/>
      <c r="AL22" s="248"/>
    </row>
    <row r="23" spans="1:92" ht="14.25" customHeight="1" x14ac:dyDescent="0.25">
      <c r="A23" s="30">
        <v>2000</v>
      </c>
      <c r="B23" s="121" t="s">
        <v>30</v>
      </c>
      <c r="C23" s="103" t="s">
        <v>49</v>
      </c>
      <c r="D23" s="42" t="s">
        <v>48</v>
      </c>
      <c r="E23" s="103" t="s">
        <v>51</v>
      </c>
      <c r="F23" s="117" t="s">
        <v>35</v>
      </c>
      <c r="G23" s="170" t="s">
        <v>117</v>
      </c>
      <c r="H23" s="171"/>
      <c r="I23" s="171">
        <f ca="1">PA_CDC!I56</f>
        <v>50</v>
      </c>
      <c r="J23" s="171" t="str">
        <f>IF(J5=MJ_Initialisation!AI18,MJ_Initialisation!E30,"")</f>
        <v/>
      </c>
      <c r="K23" s="171" t="str">
        <f>IF(K5=MJ_Initialisation!AJ18,MJ_Initialisation!F30,"")</f>
        <v/>
      </c>
      <c r="L23" s="171" t="str">
        <f>IF(L5=MJ_Initialisation!AK18,MJ_Initialisation!G30,"")</f>
        <v/>
      </c>
      <c r="M23" s="171" t="str">
        <f>IF(M5=MJ_Initialisation!AL18,MJ_Initialisation!H30,"")</f>
        <v/>
      </c>
      <c r="N23" s="171" t="str">
        <f>IF(N5=MJ_Initialisation!AM18,MJ_Initialisation!I30,"")</f>
        <v/>
      </c>
      <c r="O23" s="171" t="str">
        <f>IF(O5=MJ_Initialisation!AN18,MJ_Initialisation!J30,"")</f>
        <v/>
      </c>
      <c r="P23" s="171" t="str">
        <f>IF(P5=MJ_Initialisation!AO18,MJ_Initialisation!K30,"")</f>
        <v/>
      </c>
      <c r="Q23" s="171" t="str">
        <f>IF(Q5=MJ_Initialisation!AP18,MJ_Initialisation!L30,"")</f>
        <v/>
      </c>
      <c r="R23" s="171" t="str">
        <f>IF(R5=MJ_Initialisation!AQ18,MJ_Initialisation!M30,"")</f>
        <v/>
      </c>
      <c r="S23" s="171" t="str">
        <f>IF(S5=MJ_Initialisation!AR18,MJ_Initialisation!N30,"")</f>
        <v/>
      </c>
      <c r="T23" s="171" t="str">
        <f>IF(T5=MJ_Initialisation!AS18,MJ_Initialisation!O30,"")</f>
        <v/>
      </c>
      <c r="U23" s="171" t="str">
        <f>IF(U5=MJ_Initialisation!AT18,MJ_Initialisation!P30,"")</f>
        <v/>
      </c>
      <c r="V23" s="171" t="str">
        <f>IF(V5=MJ_Initialisation!AU18,MJ_Initialisation!Q30,"")</f>
        <v/>
      </c>
      <c r="W23" s="171" t="str">
        <f>IF(W5=MJ_Initialisation!AV18,MJ_Initialisation!R30,"")</f>
        <v/>
      </c>
      <c r="X23" s="171" t="str">
        <f>IF(X5=MJ_Initialisation!AW18,MJ_Initialisation!S30,"")</f>
        <v/>
      </c>
      <c r="Y23" s="171" t="str">
        <f>IF(Y5=MJ_Initialisation!AX18,MJ_Initialisation!T30,"")</f>
        <v/>
      </c>
      <c r="Z23" s="171" t="str">
        <f>IF(Z5=MJ_Initialisation!AY18,MJ_Initialisation!U30,"")</f>
        <v/>
      </c>
      <c r="AA23" s="171" t="str">
        <f>IF(AA5=MJ_Initialisation!AZ18,MJ_Initialisation!V30,"")</f>
        <v/>
      </c>
      <c r="AB23" s="171" t="str">
        <f>IF(AB5=MJ_Initialisation!BA18,MJ_Initialisation!W30,"")</f>
        <v/>
      </c>
      <c r="AC23" s="171" t="str">
        <f>IF(AC5=MJ_Initialisation!BB18,MJ_Initialisation!X30,"")</f>
        <v/>
      </c>
      <c r="AD23" s="171" t="str">
        <f>IF(AD5=MJ_Initialisation!BC18,MJ_Initialisation!Y30,"")</f>
        <v/>
      </c>
      <c r="AE23" s="171" t="str">
        <f>IF(AE5=MJ_Initialisation!BD18,MJ_Initialisation!Z30,"")</f>
        <v/>
      </c>
      <c r="AF23" s="171" t="str">
        <f>IF(AF5=MJ_Initialisation!BE18,MJ_Initialisation!AA30,"")</f>
        <v/>
      </c>
      <c r="AG23" s="264"/>
      <c r="AH23" s="264"/>
      <c r="AI23" s="264"/>
      <c r="AJ23" s="264"/>
      <c r="AK23" s="248"/>
      <c r="AL23" s="248"/>
    </row>
    <row r="24" spans="1:92" x14ac:dyDescent="0.25">
      <c r="A24" s="30">
        <v>2000</v>
      </c>
      <c r="B24" s="121" t="s">
        <v>30</v>
      </c>
      <c r="C24" s="103" t="s">
        <v>49</v>
      </c>
      <c r="D24" s="42" t="s">
        <v>48</v>
      </c>
      <c r="E24" s="103" t="s">
        <v>53</v>
      </c>
      <c r="F24" s="119" t="s">
        <v>34</v>
      </c>
      <c r="G24" s="170" t="s">
        <v>117</v>
      </c>
      <c r="H24" s="171"/>
      <c r="I24" s="171">
        <f ca="1">PA_CDC!I61</f>
        <v>0</v>
      </c>
      <c r="J24" s="171" t="str">
        <f>IF(J5=MJ_Initialisation!AI18,MJ_Initialisation!E38,"")</f>
        <v/>
      </c>
      <c r="K24" s="171" t="str">
        <f>IF(K5=MJ_Initialisation!AJ18,MJ_Initialisation!F38,"")</f>
        <v/>
      </c>
      <c r="L24" s="171" t="str">
        <f>IF(L5=MJ_Initialisation!AK18,MJ_Initialisation!G38,"")</f>
        <v/>
      </c>
      <c r="M24" s="171" t="str">
        <f>IF(M5=MJ_Initialisation!AL18,MJ_Initialisation!H38,"")</f>
        <v/>
      </c>
      <c r="N24" s="171" t="str">
        <f>IF(N5=MJ_Initialisation!AM18,MJ_Initialisation!I38,"")</f>
        <v/>
      </c>
      <c r="O24" s="171" t="str">
        <f>IF(O5=MJ_Initialisation!AN18,MJ_Initialisation!J38,"")</f>
        <v/>
      </c>
      <c r="P24" s="171" t="str">
        <f>IF(P5=MJ_Initialisation!AO18,MJ_Initialisation!K38,"")</f>
        <v/>
      </c>
      <c r="Q24" s="171" t="str">
        <f>IF(Q5=MJ_Initialisation!AP18,MJ_Initialisation!L38,"")</f>
        <v/>
      </c>
      <c r="R24" s="171" t="str">
        <f>IF(R5=MJ_Initialisation!AQ18,MJ_Initialisation!M38,"")</f>
        <v/>
      </c>
      <c r="S24" s="171" t="str">
        <f>IF(S5=MJ_Initialisation!AR18,MJ_Initialisation!N38,"")</f>
        <v/>
      </c>
      <c r="T24" s="171" t="str">
        <f>IF(T5=MJ_Initialisation!AS18,MJ_Initialisation!O38,"")</f>
        <v/>
      </c>
      <c r="U24" s="171" t="str">
        <f>IF(U5=MJ_Initialisation!AT18,MJ_Initialisation!P38,"")</f>
        <v/>
      </c>
      <c r="V24" s="171" t="str">
        <f>IF(V5=MJ_Initialisation!AU18,MJ_Initialisation!Q38,"")</f>
        <v/>
      </c>
      <c r="W24" s="171" t="str">
        <f>IF(W5=MJ_Initialisation!AV18,MJ_Initialisation!R38,"")</f>
        <v/>
      </c>
      <c r="X24" s="171" t="str">
        <f>IF(X5=MJ_Initialisation!AW18,MJ_Initialisation!S38,"")</f>
        <v/>
      </c>
      <c r="Y24" s="171" t="str">
        <f>IF(Y5=MJ_Initialisation!AX18,MJ_Initialisation!T38,"")</f>
        <v/>
      </c>
      <c r="Z24" s="171" t="str">
        <f>IF(Z5=MJ_Initialisation!AY18,MJ_Initialisation!U38,"")</f>
        <v/>
      </c>
      <c r="AA24" s="171" t="str">
        <f>IF(AA5=MJ_Initialisation!AZ18,MJ_Initialisation!V38,"")</f>
        <v/>
      </c>
      <c r="AB24" s="171" t="str">
        <f>IF(AB5=MJ_Initialisation!BA18,MJ_Initialisation!W38,"")</f>
        <v/>
      </c>
      <c r="AC24" s="171" t="str">
        <f>IF(AC5=MJ_Initialisation!BB18,MJ_Initialisation!X38,"")</f>
        <v/>
      </c>
      <c r="AD24" s="171" t="str">
        <f>IF(AD5=MJ_Initialisation!BC18,MJ_Initialisation!Y38,"")</f>
        <v/>
      </c>
      <c r="AE24" s="171" t="str">
        <f>IF(AE5=MJ_Initialisation!BD18,MJ_Initialisation!Z38,"")</f>
        <v/>
      </c>
      <c r="AF24" s="171" t="str">
        <f>IF(AF5=MJ_Initialisation!BE18,MJ_Initialisation!AA38,"")</f>
        <v/>
      </c>
      <c r="AG24" s="264"/>
      <c r="AH24" s="264"/>
      <c r="AI24" s="264"/>
      <c r="AJ24" s="264"/>
      <c r="AK24" s="248"/>
      <c r="AL24" s="248"/>
    </row>
    <row r="25" spans="1:92" x14ac:dyDescent="0.25">
      <c r="A25" s="30">
        <v>2000</v>
      </c>
      <c r="B25" s="121" t="s">
        <v>30</v>
      </c>
      <c r="C25" s="103" t="s">
        <v>66</v>
      </c>
      <c r="D25" s="42" t="s">
        <v>65</v>
      </c>
      <c r="E25" s="103" t="s">
        <v>49</v>
      </c>
      <c r="F25" s="42" t="s">
        <v>48</v>
      </c>
      <c r="G25" s="170" t="s">
        <v>118</v>
      </c>
      <c r="H25" s="171"/>
      <c r="I25" s="171">
        <f>I32</f>
        <v>60</v>
      </c>
      <c r="J25" s="171" t="str">
        <f>IF(J5=MJ_Initialisation!AI18,MJ_Initialisation!E46,"")</f>
        <v/>
      </c>
      <c r="K25" s="171" t="str">
        <f>IF(K5=MJ_Initialisation!AJ18,MJ_Initialisation!F46,"")</f>
        <v/>
      </c>
      <c r="L25" s="171" t="str">
        <f>IF(L5=MJ_Initialisation!AK18,MJ_Initialisation!G46,"")</f>
        <v/>
      </c>
      <c r="M25" s="171" t="str">
        <f>IF(M5=MJ_Initialisation!AL18,MJ_Initialisation!H46,"")</f>
        <v/>
      </c>
      <c r="N25" s="171" t="str">
        <f>IF(N5=MJ_Initialisation!AM18,MJ_Initialisation!I46,"")</f>
        <v/>
      </c>
      <c r="O25" s="171" t="str">
        <f>IF(O5=MJ_Initialisation!AN18,MJ_Initialisation!J46,"")</f>
        <v/>
      </c>
      <c r="P25" s="171" t="str">
        <f>IF(P5=MJ_Initialisation!AO18,MJ_Initialisation!K46,"")</f>
        <v/>
      </c>
      <c r="Q25" s="171" t="str">
        <f>IF(Q5=MJ_Initialisation!AP18,MJ_Initialisation!L46,"")</f>
        <v/>
      </c>
      <c r="R25" s="171" t="str">
        <f>IF(R5=MJ_Initialisation!AQ18,MJ_Initialisation!M46,"")</f>
        <v/>
      </c>
      <c r="S25" s="171" t="str">
        <f>IF(S5=MJ_Initialisation!AR18,MJ_Initialisation!N46,"")</f>
        <v/>
      </c>
      <c r="T25" s="171" t="str">
        <f>IF(T5=MJ_Initialisation!AS18,MJ_Initialisation!O46,"")</f>
        <v/>
      </c>
      <c r="U25" s="171" t="str">
        <f>IF(U5=MJ_Initialisation!AT18,MJ_Initialisation!P46,"")</f>
        <v/>
      </c>
      <c r="V25" s="171" t="str">
        <f>IF(V5=MJ_Initialisation!AU18,MJ_Initialisation!Q46,"")</f>
        <v/>
      </c>
      <c r="W25" s="171" t="str">
        <f>IF(W5=MJ_Initialisation!AV18,MJ_Initialisation!R46,"")</f>
        <v/>
      </c>
      <c r="X25" s="171" t="str">
        <f>IF(X5=MJ_Initialisation!AW18,MJ_Initialisation!S46,"")</f>
        <v/>
      </c>
      <c r="Y25" s="171" t="str">
        <f>IF(Y5=MJ_Initialisation!AX18,MJ_Initialisation!T46,"")</f>
        <v/>
      </c>
      <c r="Z25" s="171" t="str">
        <f>IF(Z5=MJ_Initialisation!AY18,MJ_Initialisation!U46,"")</f>
        <v/>
      </c>
      <c r="AA25" s="171" t="str">
        <f>IF(AA5=MJ_Initialisation!AZ18,MJ_Initialisation!V46,"")</f>
        <v/>
      </c>
      <c r="AB25" s="171" t="str">
        <f>IF(AB5=MJ_Initialisation!BA18,MJ_Initialisation!W46,"")</f>
        <v/>
      </c>
      <c r="AC25" s="171" t="str">
        <f>IF(AC5=MJ_Initialisation!BB18,MJ_Initialisation!X46,"")</f>
        <v/>
      </c>
      <c r="AD25" s="171" t="str">
        <f>IF(AD5=MJ_Initialisation!BC18,MJ_Initialisation!Y46,"")</f>
        <v/>
      </c>
      <c r="AE25" s="171" t="str">
        <f>IF(AE5=MJ_Initialisation!BD18,MJ_Initialisation!Z46,"")</f>
        <v/>
      </c>
      <c r="AF25" s="171" t="str">
        <f>IF(AF5=MJ_Initialisation!BE18,MJ_Initialisation!AA46,"")</f>
        <v/>
      </c>
      <c r="AG25" s="264"/>
      <c r="AH25" s="264"/>
      <c r="AI25" s="264"/>
      <c r="AJ25" s="264"/>
      <c r="AK25" s="248"/>
      <c r="AL25" s="248"/>
    </row>
    <row r="26" spans="1:92" ht="15.75" thickBot="1" x14ac:dyDescent="0.3">
      <c r="A26" s="30">
        <v>2000</v>
      </c>
      <c r="B26" s="121" t="s">
        <v>30</v>
      </c>
      <c r="C26" s="103" t="s">
        <v>49</v>
      </c>
      <c r="D26" s="42" t="s">
        <v>48</v>
      </c>
      <c r="E26" s="103" t="s">
        <v>49</v>
      </c>
      <c r="F26" s="42" t="s">
        <v>48</v>
      </c>
      <c r="G26" s="168" t="s">
        <v>120</v>
      </c>
      <c r="H26" s="66">
        <f>MJ_Initialisation!AF17</f>
        <v>300</v>
      </c>
      <c r="I26" s="175">
        <f ca="1">H26+I25-SUM(I22:I24)</f>
        <v>300</v>
      </c>
      <c r="J26" s="176"/>
      <c r="K26" s="176"/>
      <c r="L26" s="176"/>
      <c r="M26" s="176"/>
      <c r="N26" s="176"/>
      <c r="O26" s="176"/>
      <c r="P26" s="176"/>
      <c r="Q26" s="176"/>
      <c r="R26" s="176"/>
      <c r="S26" s="176"/>
      <c r="T26" s="176"/>
      <c r="U26" s="176"/>
      <c r="V26" s="176"/>
      <c r="W26" s="176"/>
      <c r="X26" s="176"/>
      <c r="Y26" s="176"/>
      <c r="Z26" s="176"/>
      <c r="AA26" s="176"/>
      <c r="AB26" s="176"/>
      <c r="AC26" s="176"/>
      <c r="AD26" s="176"/>
      <c r="AE26" s="176"/>
      <c r="AF26" s="176"/>
      <c r="AG26" s="267"/>
      <c r="AH26" s="267"/>
      <c r="AI26" s="267"/>
      <c r="AJ26" s="267"/>
      <c r="AK26" s="274"/>
      <c r="AL26" s="274"/>
    </row>
    <row r="27" spans="1:92" x14ac:dyDescent="0.25">
      <c r="A27" s="30">
        <v>2000</v>
      </c>
      <c r="B27" s="121" t="s">
        <v>30</v>
      </c>
      <c r="C27" s="103" t="s">
        <v>50</v>
      </c>
      <c r="D27" s="116" t="s">
        <v>33</v>
      </c>
      <c r="E27" s="103" t="s">
        <v>49</v>
      </c>
      <c r="F27" s="42" t="s">
        <v>48</v>
      </c>
      <c r="G27" s="8" t="s">
        <v>57</v>
      </c>
      <c r="H27" s="3"/>
      <c r="I27" s="63">
        <f>France!J22</f>
        <v>10</v>
      </c>
      <c r="J27" s="63">
        <f>France!K22</f>
        <v>50</v>
      </c>
      <c r="K27" s="63">
        <f>France!L22</f>
        <v>110</v>
      </c>
      <c r="L27" s="63">
        <f>France!M22</f>
        <v>50</v>
      </c>
      <c r="M27" s="63">
        <f>France!N22</f>
        <v>20</v>
      </c>
      <c r="N27" s="63">
        <f>France!O22</f>
        <v>130</v>
      </c>
      <c r="O27" s="63">
        <f>France!P22</f>
        <v>170</v>
      </c>
      <c r="P27" s="63">
        <f>France!Q22</f>
        <v>180</v>
      </c>
      <c r="Q27" s="63">
        <f>France!R22</f>
        <v>180</v>
      </c>
      <c r="R27" s="63">
        <f>France!S22</f>
        <v>10</v>
      </c>
      <c r="S27" s="63">
        <f>France!T22</f>
        <v>100</v>
      </c>
      <c r="T27" s="63">
        <f>France!U22</f>
        <v>200</v>
      </c>
      <c r="U27" s="63">
        <f>France!V22</f>
        <v>30</v>
      </c>
      <c r="V27" s="63">
        <f>France!W22</f>
        <v>200</v>
      </c>
      <c r="W27" s="63">
        <f>France!X22</f>
        <v>50</v>
      </c>
      <c r="X27" s="63">
        <f>France!Y22</f>
        <v>40</v>
      </c>
      <c r="Y27" s="63">
        <f>France!Z22</f>
        <v>40</v>
      </c>
      <c r="Z27" s="63">
        <f>France!AA22</f>
        <v>10</v>
      </c>
      <c r="AA27" s="63">
        <f>France!AB22</f>
        <v>40</v>
      </c>
      <c r="AB27" s="63">
        <f>France!AC22</f>
        <v>100</v>
      </c>
      <c r="AC27" s="63">
        <f>France!AD22</f>
        <v>150</v>
      </c>
      <c r="AD27" s="63">
        <f>France!AE22</f>
        <v>100</v>
      </c>
      <c r="AE27" s="63">
        <f>France!AF22</f>
        <v>110</v>
      </c>
      <c r="AF27" s="63">
        <f>France!AG22</f>
        <v>40</v>
      </c>
      <c r="AG27" s="242"/>
      <c r="AH27" s="242"/>
      <c r="AI27" s="242"/>
      <c r="AJ27" s="242"/>
      <c r="AK27" s="275"/>
      <c r="AL27" s="275"/>
    </row>
    <row r="28" spans="1:92" x14ac:dyDescent="0.25">
      <c r="A28" s="30">
        <v>2000</v>
      </c>
      <c r="B28" s="121" t="s">
        <v>30</v>
      </c>
      <c r="C28" s="103" t="s">
        <v>51</v>
      </c>
      <c r="D28" s="117" t="s">
        <v>35</v>
      </c>
      <c r="E28" s="103" t="s">
        <v>49</v>
      </c>
      <c r="F28" s="42" t="s">
        <v>48</v>
      </c>
      <c r="G28" s="8" t="s">
        <v>57</v>
      </c>
      <c r="H28" s="5"/>
      <c r="I28" s="15">
        <f ca="1">OFFSET(Espagne!J22,0,1)</f>
        <v>50</v>
      </c>
      <c r="J28" s="15">
        <f ca="1">OFFSET(Espagne!K22,0,1)</f>
        <v>20</v>
      </c>
      <c r="K28" s="15">
        <f ca="1">OFFSET(Espagne!L22,0,1)</f>
        <v>170</v>
      </c>
      <c r="L28" s="15">
        <f ca="1">OFFSET(Espagne!M22,0,1)</f>
        <v>0</v>
      </c>
      <c r="M28" s="15">
        <f ca="1">OFFSET(Espagne!N22,0,1)</f>
        <v>60</v>
      </c>
      <c r="N28" s="15">
        <f ca="1">OFFSET(Espagne!O22,0,1)</f>
        <v>20</v>
      </c>
      <c r="O28" s="15">
        <f ca="1">OFFSET(Espagne!P22,0,1)</f>
        <v>170</v>
      </c>
      <c r="P28" s="15">
        <f ca="1">OFFSET(Espagne!Q22,0,1)</f>
        <v>40</v>
      </c>
      <c r="Q28" s="15">
        <f ca="1">OFFSET(Espagne!R22,0,1)</f>
        <v>80</v>
      </c>
      <c r="R28" s="15">
        <f ca="1">OFFSET(Espagne!S22,0,1)</f>
        <v>130</v>
      </c>
      <c r="S28" s="15">
        <f ca="1">OFFSET(Espagne!T22,0,1)</f>
        <v>140</v>
      </c>
      <c r="T28" s="15">
        <f ca="1">OFFSET(Espagne!U22,0,1)</f>
        <v>30</v>
      </c>
      <c r="U28" s="15">
        <f ca="1">OFFSET(Espagne!V22,0,1)</f>
        <v>70</v>
      </c>
      <c r="V28" s="15">
        <f ca="1">OFFSET(Espagne!W22,0,1)</f>
        <v>120</v>
      </c>
      <c r="W28" s="15">
        <f ca="1">OFFSET(Espagne!X22,0,1)</f>
        <v>140</v>
      </c>
      <c r="X28" s="15">
        <f ca="1">OFFSET(Espagne!Y22,0,1)</f>
        <v>10</v>
      </c>
      <c r="Y28" s="15">
        <f ca="1">OFFSET(Espagne!Z22,0,1)</f>
        <v>110</v>
      </c>
      <c r="Z28" s="15">
        <f ca="1">OFFSET(Espagne!AA22,0,1)</f>
        <v>30</v>
      </c>
      <c r="AA28" s="15">
        <f ca="1">OFFSET(Espagne!AB22,0,1)</f>
        <v>30</v>
      </c>
      <c r="AB28" s="15">
        <f ca="1">OFFSET(Espagne!AC22,0,1)</f>
        <v>60</v>
      </c>
      <c r="AC28" s="15">
        <f ca="1">OFFSET(Espagne!AD22,0,1)</f>
        <v>100</v>
      </c>
      <c r="AD28" s="15">
        <f ca="1">OFFSET(Espagne!AE22,0,1)</f>
        <v>100</v>
      </c>
      <c r="AE28" s="15">
        <f ca="1">OFFSET(Espagne!AF22,0,1)</f>
        <v>140</v>
      </c>
      <c r="AF28" s="15">
        <f ca="1">OFFSET(Espagne!AG22,0,1)</f>
        <v>0</v>
      </c>
      <c r="AG28" s="228"/>
      <c r="AH28" s="228"/>
      <c r="AI28" s="228"/>
      <c r="AJ28" s="228"/>
      <c r="AK28" s="248"/>
      <c r="AL28" s="248"/>
    </row>
    <row r="29" spans="1:92" x14ac:dyDescent="0.25">
      <c r="A29" s="30">
        <v>2000</v>
      </c>
      <c r="B29" s="121" t="s">
        <v>30</v>
      </c>
      <c r="C29" s="103" t="s">
        <v>53</v>
      </c>
      <c r="D29" s="119" t="s">
        <v>34</v>
      </c>
      <c r="E29" s="103" t="s">
        <v>49</v>
      </c>
      <c r="F29" s="42" t="s">
        <v>48</v>
      </c>
      <c r="G29" s="8" t="s">
        <v>57</v>
      </c>
      <c r="H29" s="5"/>
      <c r="I29" s="15">
        <f ca="1">OFFSET(Australie!J22,0,3)</f>
        <v>0</v>
      </c>
      <c r="J29" s="15">
        <f ca="1">OFFSET(Australie!K22,0,3)</f>
        <v>370</v>
      </c>
      <c r="K29" s="15">
        <f ca="1">OFFSET(Australie!L22,0,3)</f>
        <v>200</v>
      </c>
      <c r="L29" s="15">
        <f ca="1">OFFSET(Australie!M22,0,3)</f>
        <v>100</v>
      </c>
      <c r="M29" s="15">
        <f ca="1">OFFSET(Australie!N22,0,3)</f>
        <v>0</v>
      </c>
      <c r="N29" s="15">
        <f ca="1">OFFSET(Australie!O22,0,3)</f>
        <v>0</v>
      </c>
      <c r="O29" s="15">
        <f ca="1">OFFSET(Australie!P22,0,3)</f>
        <v>0</v>
      </c>
      <c r="P29" s="15">
        <f ca="1">OFFSET(Australie!Q22,0,3)</f>
        <v>100</v>
      </c>
      <c r="Q29" s="15">
        <f ca="1">OFFSET(Australie!R22,0,3)</f>
        <v>200</v>
      </c>
      <c r="R29" s="15">
        <f ca="1">OFFSET(Australie!S22,0,3)</f>
        <v>100</v>
      </c>
      <c r="S29" s="15">
        <f ca="1">OFFSET(Australie!T22,0,3)</f>
        <v>200</v>
      </c>
      <c r="T29" s="15">
        <f ca="1">OFFSET(Australie!U22,0,3)</f>
        <v>0</v>
      </c>
      <c r="U29" s="15">
        <f ca="1">OFFSET(Australie!V22,0,3)</f>
        <v>0</v>
      </c>
      <c r="V29" s="15">
        <f ca="1">OFFSET(Australie!W22,0,3)</f>
        <v>300</v>
      </c>
      <c r="W29" s="15">
        <f ca="1">OFFSET(Australie!X22,0,3)</f>
        <v>300</v>
      </c>
      <c r="X29" s="15">
        <f ca="1">OFFSET(Australie!Y22,0,3)</f>
        <v>400</v>
      </c>
      <c r="Y29" s="15">
        <f ca="1">OFFSET(Australie!Z22,0,3)</f>
        <v>300</v>
      </c>
      <c r="Z29" s="15">
        <f ca="1">OFFSET(Australie!AA22,0,3)</f>
        <v>200</v>
      </c>
      <c r="AA29" s="15">
        <f ca="1">OFFSET(Australie!AB22,0,3)</f>
        <v>0</v>
      </c>
      <c r="AB29" s="15">
        <f ca="1">OFFSET(Australie!AC22,0,3)</f>
        <v>100</v>
      </c>
      <c r="AC29" s="15">
        <f ca="1">OFFSET(Australie!AD22,0,3)</f>
        <v>200</v>
      </c>
      <c r="AD29" s="15">
        <f ca="1">OFFSET(Australie!AE22,0,3)</f>
        <v>0</v>
      </c>
      <c r="AE29" s="15">
        <f ca="1">OFFSET(Australie!AF22,0,3)</f>
        <v>0</v>
      </c>
      <c r="AF29" s="15">
        <f ca="1">OFFSET(Australie!AG22,0,3)</f>
        <v>0</v>
      </c>
      <c r="AG29" s="228"/>
      <c r="AH29" s="228"/>
      <c r="AI29" s="228"/>
      <c r="AJ29" s="228"/>
      <c r="AK29" s="248"/>
      <c r="AL29" s="248"/>
    </row>
    <row r="30" spans="1:92" x14ac:dyDescent="0.25">
      <c r="A30" s="30">
        <v>2000</v>
      </c>
      <c r="B30" s="121" t="s">
        <v>30</v>
      </c>
      <c r="C30" s="103" t="s">
        <v>49</v>
      </c>
      <c r="D30" s="42" t="s">
        <v>48</v>
      </c>
      <c r="E30" s="103" t="s">
        <v>49</v>
      </c>
      <c r="F30" s="42" t="s">
        <v>48</v>
      </c>
      <c r="G30" s="124" t="s">
        <v>24</v>
      </c>
      <c r="H30" s="5"/>
      <c r="I30" s="223">
        <v>300</v>
      </c>
      <c r="J30" s="223">
        <v>300</v>
      </c>
      <c r="K30" s="223">
        <v>300</v>
      </c>
      <c r="L30" s="223">
        <v>300</v>
      </c>
      <c r="M30" s="223">
        <v>300</v>
      </c>
      <c r="N30" s="223">
        <v>300</v>
      </c>
      <c r="O30" s="223">
        <v>300</v>
      </c>
      <c r="P30" s="223">
        <v>300</v>
      </c>
      <c r="Q30" s="223">
        <v>300</v>
      </c>
      <c r="R30" s="223">
        <v>300</v>
      </c>
      <c r="S30" s="223">
        <v>300</v>
      </c>
      <c r="T30" s="223">
        <v>300</v>
      </c>
      <c r="U30" s="223">
        <v>300</v>
      </c>
      <c r="V30" s="223">
        <v>300</v>
      </c>
      <c r="W30" s="223">
        <v>300</v>
      </c>
      <c r="X30" s="223">
        <v>300</v>
      </c>
      <c r="Y30" s="223">
        <v>300</v>
      </c>
      <c r="Z30" s="223">
        <v>300</v>
      </c>
      <c r="AA30" s="223">
        <v>300</v>
      </c>
      <c r="AB30" s="223">
        <v>300</v>
      </c>
      <c r="AC30" s="223">
        <v>300</v>
      </c>
      <c r="AD30" s="223">
        <v>300</v>
      </c>
      <c r="AE30" s="223">
        <v>300</v>
      </c>
      <c r="AF30" s="223">
        <v>300</v>
      </c>
      <c r="AG30" s="223"/>
      <c r="AH30" s="223"/>
      <c r="AI30" s="223"/>
      <c r="AJ30" s="223"/>
      <c r="AK30" s="249"/>
      <c r="AL30" s="249"/>
    </row>
    <row r="31" spans="1:92" x14ac:dyDescent="0.25">
      <c r="A31" s="30">
        <v>2000</v>
      </c>
      <c r="B31" s="121" t="s">
        <v>30</v>
      </c>
      <c r="C31" s="103" t="s">
        <v>66</v>
      </c>
      <c r="D31" s="42" t="s">
        <v>65</v>
      </c>
      <c r="E31" s="103" t="s">
        <v>49</v>
      </c>
      <c r="F31" s="42" t="s">
        <v>48</v>
      </c>
      <c r="G31" s="4" t="s">
        <v>45</v>
      </c>
      <c r="H31" s="5"/>
      <c r="I31" s="142"/>
      <c r="J31" s="142"/>
      <c r="K31" s="64">
        <f>MJ_Initialisation!F46</f>
        <v>480</v>
      </c>
      <c r="L31" s="64">
        <f>MJ_Initialisation!G46</f>
        <v>197</v>
      </c>
      <c r="M31" s="64">
        <f>MJ_Initialisation!H46</f>
        <v>379</v>
      </c>
      <c r="N31" s="64">
        <f>MJ_Initialisation!I46</f>
        <v>295</v>
      </c>
      <c r="O31" s="64">
        <f>MJ_Initialisation!J46</f>
        <v>473</v>
      </c>
      <c r="P31" s="64">
        <f>MJ_Initialisation!K46</f>
        <v>321</v>
      </c>
      <c r="Q31" s="64">
        <f>MJ_Initialisation!L46</f>
        <v>374</v>
      </c>
      <c r="R31" s="64">
        <f>MJ_Initialisation!M46</f>
        <v>297</v>
      </c>
      <c r="S31" s="64">
        <f>MJ_Initialisation!N46</f>
        <v>227</v>
      </c>
      <c r="T31" s="64">
        <f>MJ_Initialisation!O46</f>
        <v>417</v>
      </c>
      <c r="U31" s="64">
        <f>MJ_Initialisation!P46</f>
        <v>296</v>
      </c>
      <c r="V31" s="64">
        <f>MJ_Initialisation!Q46</f>
        <v>71</v>
      </c>
      <c r="W31" s="64">
        <f>MJ_Initialisation!R46</f>
        <v>273</v>
      </c>
      <c r="X31" s="64">
        <f>MJ_Initialisation!S46</f>
        <v>450</v>
      </c>
      <c r="Y31" s="64">
        <f>MJ_Initialisation!T46</f>
        <v>450</v>
      </c>
      <c r="Z31" s="64">
        <f>MJ_Initialisation!U46</f>
        <v>240</v>
      </c>
      <c r="AA31" s="64">
        <f>MJ_Initialisation!V46</f>
        <v>296</v>
      </c>
      <c r="AB31" s="64">
        <f>MJ_Initialisation!W46</f>
        <v>449</v>
      </c>
      <c r="AC31" s="64">
        <f>MJ_Initialisation!X46</f>
        <v>232</v>
      </c>
      <c r="AD31" s="64">
        <f>MJ_Initialisation!Y46</f>
        <v>146</v>
      </c>
      <c r="AE31" s="64">
        <f>MJ_Initialisation!Z46</f>
        <v>208</v>
      </c>
      <c r="AF31" s="64">
        <f>MJ_Initialisation!AA46</f>
        <v>108</v>
      </c>
      <c r="AG31" s="243"/>
      <c r="AH31" s="243"/>
      <c r="AI31" s="243"/>
      <c r="AJ31" s="243"/>
      <c r="AK31" s="239"/>
      <c r="AL31" s="239"/>
    </row>
    <row r="32" spans="1:92" x14ac:dyDescent="0.25">
      <c r="A32" s="30">
        <v>2000</v>
      </c>
      <c r="B32" s="121" t="s">
        <v>30</v>
      </c>
      <c r="C32" s="103" t="s">
        <v>66</v>
      </c>
      <c r="D32" s="42" t="s">
        <v>65</v>
      </c>
      <c r="E32" s="103" t="s">
        <v>49</v>
      </c>
      <c r="F32" s="42" t="s">
        <v>48</v>
      </c>
      <c r="G32" s="35" t="s">
        <v>73</v>
      </c>
      <c r="H32" s="31"/>
      <c r="I32" s="36">
        <f>MJ_Initialisation!D46</f>
        <v>60</v>
      </c>
      <c r="J32" s="36">
        <f>MJ_Initialisation!E46</f>
        <v>440</v>
      </c>
      <c r="K32" s="254"/>
      <c r="L32" s="254"/>
      <c r="M32" s="144"/>
      <c r="N32" s="144"/>
      <c r="O32" s="144"/>
      <c r="P32" s="144"/>
      <c r="Q32" s="144"/>
      <c r="R32" s="144"/>
      <c r="S32" s="144"/>
      <c r="T32" s="144"/>
      <c r="U32" s="144"/>
      <c r="V32" s="144"/>
      <c r="W32" s="144"/>
      <c r="X32" s="144"/>
      <c r="Y32" s="144"/>
      <c r="Z32" s="144"/>
      <c r="AA32" s="144"/>
      <c r="AB32" s="144"/>
      <c r="AC32" s="144"/>
      <c r="AD32" s="144"/>
      <c r="AE32" s="144"/>
      <c r="AF32" s="144"/>
      <c r="AG32" s="255"/>
      <c r="AH32" s="255"/>
      <c r="AI32" s="255"/>
      <c r="AJ32" s="255"/>
      <c r="AK32" s="255"/>
      <c r="AL32" s="255"/>
    </row>
    <row r="33" spans="1:38" x14ac:dyDescent="0.25">
      <c r="A33" s="30">
        <v>2000</v>
      </c>
      <c r="B33" s="121" t="s">
        <v>30</v>
      </c>
      <c r="C33" s="103" t="s">
        <v>49</v>
      </c>
      <c r="D33" s="42" t="s">
        <v>48</v>
      </c>
      <c r="E33" s="103" t="s">
        <v>66</v>
      </c>
      <c r="F33" s="42" t="s">
        <v>65</v>
      </c>
      <c r="G33" s="127" t="s">
        <v>25</v>
      </c>
      <c r="H33" s="65"/>
      <c r="I33" s="225">
        <f ca="1">MAX(I31,SUM(I27:I29)+I30-H26-I32)</f>
        <v>0</v>
      </c>
      <c r="J33" s="225">
        <f t="shared" ref="J33:L33" ca="1" si="7">MAX(J31,SUM(J27:J29)+J30-I34-J32)</f>
        <v>0</v>
      </c>
      <c r="K33" s="225">
        <f t="shared" ca="1" si="7"/>
        <v>480</v>
      </c>
      <c r="L33" s="225">
        <f t="shared" ca="1" si="7"/>
        <v>197</v>
      </c>
      <c r="M33" s="9">
        <f ca="1">MAX(M31,SUM(M27:M29)+M30-L34-M32)</f>
        <v>379</v>
      </c>
      <c r="N33" s="225">
        <f t="shared" ref="N33:AF33" ca="1" si="8">MAX(N31,SUM(N27:N29)+N30-M34-N32)</f>
        <v>295</v>
      </c>
      <c r="O33" s="225">
        <f t="shared" ca="1" si="8"/>
        <v>473</v>
      </c>
      <c r="P33" s="225">
        <f t="shared" ca="1" si="8"/>
        <v>321</v>
      </c>
      <c r="Q33" s="225">
        <f t="shared" ca="1" si="8"/>
        <v>374</v>
      </c>
      <c r="R33" s="225">
        <f t="shared" ca="1" si="8"/>
        <v>297</v>
      </c>
      <c r="S33" s="225">
        <f t="shared" ca="1" si="8"/>
        <v>227</v>
      </c>
      <c r="T33" s="225">
        <f t="shared" ca="1" si="8"/>
        <v>417</v>
      </c>
      <c r="U33" s="225">
        <f t="shared" ca="1" si="8"/>
        <v>296</v>
      </c>
      <c r="V33" s="225">
        <f t="shared" ca="1" si="8"/>
        <v>71</v>
      </c>
      <c r="W33" s="225">
        <f t="shared" ca="1" si="8"/>
        <v>273</v>
      </c>
      <c r="X33" s="225">
        <f t="shared" ca="1" si="8"/>
        <v>450</v>
      </c>
      <c r="Y33" s="225">
        <f t="shared" ca="1" si="8"/>
        <v>450</v>
      </c>
      <c r="Z33" s="225">
        <f t="shared" ca="1" si="8"/>
        <v>240</v>
      </c>
      <c r="AA33" s="225">
        <f t="shared" ca="1" si="8"/>
        <v>296</v>
      </c>
      <c r="AB33" s="225">
        <f t="shared" ca="1" si="8"/>
        <v>449</v>
      </c>
      <c r="AC33" s="225">
        <f t="shared" ca="1" si="8"/>
        <v>232</v>
      </c>
      <c r="AD33" s="225">
        <f t="shared" ca="1" si="8"/>
        <v>146</v>
      </c>
      <c r="AE33" s="225">
        <f t="shared" ca="1" si="8"/>
        <v>208</v>
      </c>
      <c r="AF33" s="225">
        <f t="shared" ca="1" si="8"/>
        <v>108</v>
      </c>
      <c r="AG33" s="225"/>
      <c r="AH33" s="225"/>
      <c r="AI33" s="225"/>
      <c r="AJ33" s="225"/>
      <c r="AK33" s="272"/>
      <c r="AL33" s="272"/>
    </row>
    <row r="34" spans="1:38" ht="15.75" thickBot="1" x14ac:dyDescent="0.3">
      <c r="A34" s="30">
        <v>2000</v>
      </c>
      <c r="B34" s="121" t="s">
        <v>30</v>
      </c>
      <c r="C34" s="103" t="s">
        <v>49</v>
      </c>
      <c r="D34" s="42" t="s">
        <v>48</v>
      </c>
      <c r="E34" s="103" t="s">
        <v>49</v>
      </c>
      <c r="F34" s="42" t="s">
        <v>48</v>
      </c>
      <c r="G34" s="125" t="s">
        <v>37</v>
      </c>
      <c r="I34" s="7">
        <f ca="1">H26+I33+I32-SUM(I27:I29)</f>
        <v>300</v>
      </c>
      <c r="J34" s="7">
        <f t="shared" ref="J34:AF34" ca="1" si="9">I34+J33+J32-SUM(J27:J29)</f>
        <v>300</v>
      </c>
      <c r="K34" s="7">
        <f t="shared" ca="1" si="9"/>
        <v>300</v>
      </c>
      <c r="L34" s="7">
        <f t="shared" ca="1" si="9"/>
        <v>347</v>
      </c>
      <c r="M34" s="7">
        <f t="shared" ca="1" si="9"/>
        <v>646</v>
      </c>
      <c r="N34" s="7">
        <f t="shared" ca="1" si="9"/>
        <v>791</v>
      </c>
      <c r="O34" s="7">
        <f t="shared" ca="1" si="9"/>
        <v>924</v>
      </c>
      <c r="P34" s="7">
        <f t="shared" ca="1" si="9"/>
        <v>925</v>
      </c>
      <c r="Q34" s="7">
        <f t="shared" ca="1" si="9"/>
        <v>839</v>
      </c>
      <c r="R34" s="7">
        <f t="shared" ca="1" si="9"/>
        <v>896</v>
      </c>
      <c r="S34" s="7">
        <f t="shared" ca="1" si="9"/>
        <v>683</v>
      </c>
      <c r="T34" s="7">
        <f t="shared" ca="1" si="9"/>
        <v>870</v>
      </c>
      <c r="U34" s="7">
        <f t="shared" ca="1" si="9"/>
        <v>1066</v>
      </c>
      <c r="V34" s="7">
        <f t="shared" ca="1" si="9"/>
        <v>517</v>
      </c>
      <c r="W34" s="7">
        <f t="shared" ca="1" si="9"/>
        <v>300</v>
      </c>
      <c r="X34" s="7">
        <f t="shared" ca="1" si="9"/>
        <v>300</v>
      </c>
      <c r="Y34" s="7">
        <f t="shared" ca="1" si="9"/>
        <v>300</v>
      </c>
      <c r="Z34" s="7">
        <f t="shared" ca="1" si="9"/>
        <v>300</v>
      </c>
      <c r="AA34" s="7">
        <f t="shared" ca="1" si="9"/>
        <v>526</v>
      </c>
      <c r="AB34" s="7">
        <f t="shared" ca="1" si="9"/>
        <v>715</v>
      </c>
      <c r="AC34" s="7">
        <f t="shared" ca="1" si="9"/>
        <v>497</v>
      </c>
      <c r="AD34" s="7">
        <f t="shared" ca="1" si="9"/>
        <v>443</v>
      </c>
      <c r="AE34" s="7">
        <f t="shared" ca="1" si="9"/>
        <v>401</v>
      </c>
      <c r="AF34" s="7">
        <f t="shared" ca="1" si="9"/>
        <v>469</v>
      </c>
      <c r="AG34" s="224"/>
      <c r="AH34" s="224"/>
      <c r="AI34" s="224"/>
      <c r="AJ34" s="224"/>
      <c r="AK34" s="273"/>
      <c r="AL34" s="273"/>
    </row>
    <row r="35" spans="1:38" x14ac:dyDescent="0.25">
      <c r="A35" s="11"/>
      <c r="B35" s="11"/>
      <c r="C35" s="11"/>
      <c r="D35" s="11"/>
      <c r="E35" s="11"/>
      <c r="F35" s="11"/>
      <c r="G35" s="11"/>
      <c r="H35" s="11"/>
      <c r="I35" s="11"/>
      <c r="J35" s="11"/>
      <c r="K35" s="11"/>
      <c r="L35" s="11"/>
      <c r="M35" s="11"/>
      <c r="N35" s="11"/>
      <c r="O35" s="11"/>
      <c r="P35" s="11"/>
      <c r="Q35" s="11"/>
      <c r="R35" s="11"/>
      <c r="S35" s="11"/>
      <c r="T35" s="11"/>
      <c r="U35" s="11"/>
      <c r="V35" s="11"/>
      <c r="W35" s="11"/>
      <c r="X35" s="11"/>
      <c r="Y35" s="11"/>
      <c r="Z35" s="11"/>
      <c r="AA35" s="11"/>
      <c r="AB35" s="11"/>
      <c r="AC35" s="11"/>
      <c r="AD35" s="11"/>
      <c r="AE35" s="11"/>
      <c r="AF35" s="77"/>
      <c r="AG35" s="244"/>
      <c r="AH35" s="244"/>
      <c r="AI35" s="244"/>
      <c r="AJ35" s="244"/>
      <c r="AK35" s="239"/>
      <c r="AL35" s="239"/>
    </row>
    <row r="36" spans="1:38" ht="14.25" customHeight="1" x14ac:dyDescent="0.25">
      <c r="A36" s="108">
        <v>3000</v>
      </c>
      <c r="B36" s="122" t="s">
        <v>31</v>
      </c>
      <c r="C36" s="103" t="s">
        <v>49</v>
      </c>
      <c r="D36" s="42" t="s">
        <v>48</v>
      </c>
      <c r="E36" s="103" t="s">
        <v>50</v>
      </c>
      <c r="F36" s="116" t="s">
        <v>33</v>
      </c>
      <c r="G36" s="170" t="s">
        <v>117</v>
      </c>
      <c r="H36" s="171"/>
      <c r="I36" s="171">
        <f>PA_CDC!I80</f>
        <v>70</v>
      </c>
      <c r="J36" s="171" t="str">
        <f>IF(J5=MJ_Initialisation!AI18,MJ_Initialisation!E24,"")</f>
        <v/>
      </c>
      <c r="K36" s="171" t="str">
        <f>IF(K5=MJ_Initialisation!AJ18,MJ_Initialisation!F24,"")</f>
        <v/>
      </c>
      <c r="L36" s="171" t="str">
        <f>IF(L5=MJ_Initialisation!AK18,MJ_Initialisation!G24,"")</f>
        <v/>
      </c>
      <c r="M36" s="171" t="str">
        <f>IF(M5=MJ_Initialisation!AL18,MJ_Initialisation!H24,"")</f>
        <v/>
      </c>
      <c r="N36" s="171" t="str">
        <f>IF(N5=MJ_Initialisation!AM18,MJ_Initialisation!I24,"")</f>
        <v/>
      </c>
      <c r="O36" s="171" t="str">
        <f>IF(O5=MJ_Initialisation!AN18,MJ_Initialisation!J24,"")</f>
        <v/>
      </c>
      <c r="P36" s="171" t="str">
        <f>IF(P5=MJ_Initialisation!AO18,MJ_Initialisation!K24,"")</f>
        <v/>
      </c>
      <c r="Q36" s="171" t="str">
        <f>IF(Q5=MJ_Initialisation!AP18,MJ_Initialisation!L24,"")</f>
        <v/>
      </c>
      <c r="R36" s="171" t="str">
        <f>IF(R5=MJ_Initialisation!AQ18,MJ_Initialisation!M24,"")</f>
        <v/>
      </c>
      <c r="S36" s="171" t="str">
        <f>IF(S5=MJ_Initialisation!AR18,MJ_Initialisation!N24,"")</f>
        <v/>
      </c>
      <c r="T36" s="171" t="str">
        <f>IF(T5=MJ_Initialisation!AS18,MJ_Initialisation!O24,"")</f>
        <v/>
      </c>
      <c r="U36" s="171" t="str">
        <f>IF(U5=MJ_Initialisation!AT18,MJ_Initialisation!P24,"")</f>
        <v/>
      </c>
      <c r="V36" s="171" t="str">
        <f>IF(V5=MJ_Initialisation!AU18,MJ_Initialisation!Q24,"")</f>
        <v/>
      </c>
      <c r="W36" s="171" t="str">
        <f>IF(W5=MJ_Initialisation!AV18,MJ_Initialisation!R24,"")</f>
        <v/>
      </c>
      <c r="X36" s="171" t="str">
        <f>IF(X5=MJ_Initialisation!AW18,MJ_Initialisation!S24,"")</f>
        <v/>
      </c>
      <c r="Y36" s="171" t="str">
        <f>IF(Y5=MJ_Initialisation!AX18,MJ_Initialisation!T24,"")</f>
        <v/>
      </c>
      <c r="Z36" s="171" t="str">
        <f>IF(Z5=MJ_Initialisation!AY18,MJ_Initialisation!U24,"")</f>
        <v/>
      </c>
      <c r="AA36" s="171" t="str">
        <f>IF(AA5=MJ_Initialisation!AZ18,MJ_Initialisation!V24,"")</f>
        <v/>
      </c>
      <c r="AB36" s="171" t="str">
        <f>IF(AB5=MJ_Initialisation!BA18,MJ_Initialisation!W24,"")</f>
        <v/>
      </c>
      <c r="AC36" s="171" t="str">
        <f>IF(AC5=MJ_Initialisation!BB18,MJ_Initialisation!X24,"")</f>
        <v/>
      </c>
      <c r="AD36" s="171" t="str">
        <f>IF(AD5=MJ_Initialisation!BC18,MJ_Initialisation!Y24,"")</f>
        <v/>
      </c>
      <c r="AE36" s="171" t="str">
        <f>IF(AE5=MJ_Initialisation!BD18,MJ_Initialisation!Z24,"")</f>
        <v/>
      </c>
      <c r="AF36" s="171" t="str">
        <f>IF(AF5=MJ_Initialisation!BE18,MJ_Initialisation!AA24,"")</f>
        <v/>
      </c>
      <c r="AG36" s="264"/>
      <c r="AH36" s="264"/>
      <c r="AI36" s="264"/>
      <c r="AJ36" s="264"/>
      <c r="AK36" s="248"/>
      <c r="AL36" s="248"/>
    </row>
    <row r="37" spans="1:38" x14ac:dyDescent="0.25">
      <c r="A37" s="108">
        <v>3000</v>
      </c>
      <c r="B37" s="122" t="s">
        <v>31</v>
      </c>
      <c r="C37" s="103" t="s">
        <v>49</v>
      </c>
      <c r="D37" s="42" t="s">
        <v>48</v>
      </c>
      <c r="E37" s="103" t="s">
        <v>52</v>
      </c>
      <c r="F37" s="118" t="s">
        <v>36</v>
      </c>
      <c r="G37" s="170" t="s">
        <v>117</v>
      </c>
      <c r="H37" s="171"/>
      <c r="I37" s="171">
        <f ca="1">PA_CDC!I85</f>
        <v>150</v>
      </c>
      <c r="J37" s="171" t="str">
        <f>IF(J5=MJ_Initialisation!AI18,MJ_Initialisation!E34,"")</f>
        <v/>
      </c>
      <c r="K37" s="171" t="str">
        <f>IF(K5=MJ_Initialisation!AJ18,MJ_Initialisation!F34,"")</f>
        <v/>
      </c>
      <c r="L37" s="171" t="str">
        <f>IF(L5=MJ_Initialisation!AK18,MJ_Initialisation!G34,"")</f>
        <v/>
      </c>
      <c r="M37" s="171" t="str">
        <f>IF(M5=MJ_Initialisation!AL18,MJ_Initialisation!H34,"")</f>
        <v/>
      </c>
      <c r="N37" s="171" t="str">
        <f>IF(N5=MJ_Initialisation!AM18,MJ_Initialisation!I34,"")</f>
        <v/>
      </c>
      <c r="O37" s="171" t="str">
        <f>IF(O5=MJ_Initialisation!AN18,MJ_Initialisation!J34,"")</f>
        <v/>
      </c>
      <c r="P37" s="171" t="str">
        <f>IF(P5=MJ_Initialisation!AO18,MJ_Initialisation!K34,"")</f>
        <v/>
      </c>
      <c r="Q37" s="171" t="str">
        <f>IF(Q5=MJ_Initialisation!AP18,MJ_Initialisation!L34,"")</f>
        <v/>
      </c>
      <c r="R37" s="171" t="str">
        <f>IF(R5=MJ_Initialisation!AQ18,MJ_Initialisation!M34,"")</f>
        <v/>
      </c>
      <c r="S37" s="171" t="str">
        <f>IF(S5=MJ_Initialisation!AR18,MJ_Initialisation!N34,"")</f>
        <v/>
      </c>
      <c r="T37" s="171" t="str">
        <f>IF(T5=MJ_Initialisation!AS18,MJ_Initialisation!O34,"")</f>
        <v/>
      </c>
      <c r="U37" s="171" t="str">
        <f>IF(U5=MJ_Initialisation!AT18,MJ_Initialisation!P34,"")</f>
        <v/>
      </c>
      <c r="V37" s="171" t="str">
        <f>IF(V5=MJ_Initialisation!AU18,MJ_Initialisation!Q34,"")</f>
        <v/>
      </c>
      <c r="W37" s="171" t="str">
        <f>IF(W5=MJ_Initialisation!AV18,MJ_Initialisation!R34,"")</f>
        <v/>
      </c>
      <c r="X37" s="171" t="str">
        <f>IF(X5=MJ_Initialisation!AW18,MJ_Initialisation!S34,"")</f>
        <v/>
      </c>
      <c r="Y37" s="171" t="str">
        <f>IF(Y5=MJ_Initialisation!AX18,MJ_Initialisation!T34,"")</f>
        <v/>
      </c>
      <c r="Z37" s="171" t="str">
        <f>IF(Z5=MJ_Initialisation!AY18,MJ_Initialisation!U34,"")</f>
        <v/>
      </c>
      <c r="AA37" s="171" t="str">
        <f>IF(AA5=MJ_Initialisation!AZ18,MJ_Initialisation!V34,"")</f>
        <v/>
      </c>
      <c r="AB37" s="171" t="str">
        <f>IF(AB5=MJ_Initialisation!BA18,MJ_Initialisation!W34,"")</f>
        <v/>
      </c>
      <c r="AC37" s="171" t="str">
        <f>IF(AC5=MJ_Initialisation!BB18,MJ_Initialisation!X34,"")</f>
        <v/>
      </c>
      <c r="AD37" s="171" t="str">
        <f>IF(AD5=MJ_Initialisation!BC18,MJ_Initialisation!Y34,"")</f>
        <v/>
      </c>
      <c r="AE37" s="171" t="str">
        <f>IF(AE5=MJ_Initialisation!BD18,MJ_Initialisation!Z34,"")</f>
        <v/>
      </c>
      <c r="AF37" s="171" t="str">
        <f>IF(AF5=MJ_Initialisation!BE18,MJ_Initialisation!AA34,"")</f>
        <v/>
      </c>
      <c r="AG37" s="264"/>
      <c r="AH37" s="264"/>
      <c r="AI37" s="264"/>
      <c r="AJ37" s="264"/>
      <c r="AK37" s="248"/>
      <c r="AL37" s="248"/>
    </row>
    <row r="38" spans="1:38" x14ac:dyDescent="0.25">
      <c r="A38" s="108">
        <v>3000</v>
      </c>
      <c r="B38" s="122" t="s">
        <v>31</v>
      </c>
      <c r="C38" s="103" t="s">
        <v>66</v>
      </c>
      <c r="D38" s="42" t="s">
        <v>65</v>
      </c>
      <c r="E38" s="103" t="s">
        <v>49</v>
      </c>
      <c r="F38" s="42" t="s">
        <v>48</v>
      </c>
      <c r="G38" s="170" t="s">
        <v>118</v>
      </c>
      <c r="H38" s="171"/>
      <c r="I38" s="171">
        <f>I44</f>
        <v>220</v>
      </c>
      <c r="J38" s="171" t="str">
        <f>IF(J5=MJ_Initialisation!AI18,MJ_Initialisation!E48,"")</f>
        <v/>
      </c>
      <c r="K38" s="171" t="str">
        <f>IF(K5=MJ_Initialisation!AJ18,MJ_Initialisation!F48,"")</f>
        <v/>
      </c>
      <c r="L38" s="171" t="str">
        <f>IF(L5=MJ_Initialisation!AK18,MJ_Initialisation!G48,"")</f>
        <v/>
      </c>
      <c r="M38" s="171" t="str">
        <f>IF(M5=MJ_Initialisation!AL18,MJ_Initialisation!H48,"")</f>
        <v/>
      </c>
      <c r="N38" s="171" t="str">
        <f>IF(N5=MJ_Initialisation!AM18,MJ_Initialisation!I48,"")</f>
        <v/>
      </c>
      <c r="O38" s="171" t="str">
        <f>IF(O5=MJ_Initialisation!AN18,MJ_Initialisation!J48,"")</f>
        <v/>
      </c>
      <c r="P38" s="171" t="str">
        <f>IF(P5=MJ_Initialisation!AO18,MJ_Initialisation!K48,"")</f>
        <v/>
      </c>
      <c r="Q38" s="171" t="str">
        <f>IF(Q5=MJ_Initialisation!AP18,MJ_Initialisation!L48,"")</f>
        <v/>
      </c>
      <c r="R38" s="171" t="str">
        <f>IF(R5=MJ_Initialisation!AQ18,MJ_Initialisation!M48,"")</f>
        <v/>
      </c>
      <c r="S38" s="171" t="str">
        <f>IF(S5=MJ_Initialisation!AR18,MJ_Initialisation!N48,"")</f>
        <v/>
      </c>
      <c r="T38" s="171" t="str">
        <f>IF(T5=MJ_Initialisation!AS18,MJ_Initialisation!O48,"")</f>
        <v/>
      </c>
      <c r="U38" s="171" t="str">
        <f>IF(U5=MJ_Initialisation!AT18,MJ_Initialisation!P48,"")</f>
        <v/>
      </c>
      <c r="V38" s="171" t="str">
        <f>IF(V5=MJ_Initialisation!AU18,MJ_Initialisation!Q48,"")</f>
        <v/>
      </c>
      <c r="W38" s="171" t="str">
        <f>IF(W5=MJ_Initialisation!AV18,MJ_Initialisation!R48,"")</f>
        <v/>
      </c>
      <c r="X38" s="171" t="str">
        <f>IF(X5=MJ_Initialisation!AW18,MJ_Initialisation!S48,"")</f>
        <v/>
      </c>
      <c r="Y38" s="171" t="str">
        <f>IF(Y5=MJ_Initialisation!AX18,MJ_Initialisation!T48,"")</f>
        <v/>
      </c>
      <c r="Z38" s="171" t="str">
        <f>IF(Z5=MJ_Initialisation!AY18,MJ_Initialisation!U48,"")</f>
        <v/>
      </c>
      <c r="AA38" s="171" t="str">
        <f>IF(AA5=MJ_Initialisation!AZ18,MJ_Initialisation!V48,"")</f>
        <v/>
      </c>
      <c r="AB38" s="171" t="str">
        <f>IF(AB5=MJ_Initialisation!BA18,MJ_Initialisation!W48,"")</f>
        <v/>
      </c>
      <c r="AC38" s="171" t="str">
        <f>IF(AC5=MJ_Initialisation!BB18,MJ_Initialisation!X48,"")</f>
        <v/>
      </c>
      <c r="AD38" s="171" t="str">
        <f>IF(AD5=MJ_Initialisation!BC18,MJ_Initialisation!Y48,"")</f>
        <v/>
      </c>
      <c r="AE38" s="171" t="str">
        <f>IF(AE5=MJ_Initialisation!BD18,MJ_Initialisation!Z48,"")</f>
        <v/>
      </c>
      <c r="AF38" s="171" t="str">
        <f>IF(AF5=MJ_Initialisation!BE18,MJ_Initialisation!AA48,"")</f>
        <v/>
      </c>
      <c r="AG38" s="264"/>
      <c r="AH38" s="264"/>
      <c r="AI38" s="264"/>
      <c r="AJ38" s="264"/>
      <c r="AK38" s="248"/>
      <c r="AL38" s="248"/>
    </row>
    <row r="39" spans="1:38" x14ac:dyDescent="0.25">
      <c r="A39" s="108">
        <v>3000</v>
      </c>
      <c r="B39" s="122" t="s">
        <v>31</v>
      </c>
      <c r="C39" s="103" t="s">
        <v>49</v>
      </c>
      <c r="D39" s="42" t="s">
        <v>48</v>
      </c>
      <c r="E39" s="103" t="s">
        <v>49</v>
      </c>
      <c r="F39" s="42" t="s">
        <v>48</v>
      </c>
      <c r="G39" s="168" t="s">
        <v>120</v>
      </c>
      <c r="H39" s="67">
        <f>MJ_Initialisation!AF18</f>
        <v>300</v>
      </c>
      <c r="I39" s="171">
        <f ca="1">H39+I38-I37-I36</f>
        <v>300</v>
      </c>
      <c r="J39" s="169"/>
      <c r="K39" s="169"/>
      <c r="L39" s="169"/>
      <c r="M39" s="169"/>
      <c r="N39" s="169"/>
      <c r="O39" s="169"/>
      <c r="P39" s="169"/>
      <c r="Q39" s="169"/>
      <c r="R39" s="169"/>
      <c r="S39" s="169"/>
      <c r="T39" s="169"/>
      <c r="U39" s="169"/>
      <c r="V39" s="169"/>
      <c r="W39" s="169"/>
      <c r="X39" s="169"/>
      <c r="Y39" s="169"/>
      <c r="Z39" s="169"/>
      <c r="AA39" s="169"/>
      <c r="AB39" s="169"/>
      <c r="AC39" s="169"/>
      <c r="AD39" s="169"/>
      <c r="AE39" s="169"/>
      <c r="AF39" s="169"/>
      <c r="AG39" s="263"/>
      <c r="AH39" s="263"/>
      <c r="AI39" s="263"/>
      <c r="AJ39" s="263"/>
      <c r="AK39" s="249"/>
      <c r="AL39" s="249"/>
    </row>
    <row r="40" spans="1:38" x14ac:dyDescent="0.25">
      <c r="A40" s="108">
        <v>3000</v>
      </c>
      <c r="B40" s="122" t="s">
        <v>31</v>
      </c>
      <c r="C40" s="103" t="s">
        <v>50</v>
      </c>
      <c r="D40" s="116" t="s">
        <v>33</v>
      </c>
      <c r="E40" s="103" t="s">
        <v>49</v>
      </c>
      <c r="F40" s="42" t="s">
        <v>48</v>
      </c>
      <c r="G40" s="8" t="s">
        <v>57</v>
      </c>
      <c r="H40" s="5"/>
      <c r="I40" s="64">
        <f>France!J32</f>
        <v>70</v>
      </c>
      <c r="J40" s="64">
        <f>France!K32</f>
        <v>170</v>
      </c>
      <c r="K40" s="64">
        <f>France!L32</f>
        <v>110</v>
      </c>
      <c r="L40" s="64">
        <f>France!M32</f>
        <v>110</v>
      </c>
      <c r="M40" s="64">
        <f>France!N32</f>
        <v>150</v>
      </c>
      <c r="N40" s="64">
        <f>France!O32</f>
        <v>180</v>
      </c>
      <c r="O40" s="64">
        <f>France!P32</f>
        <v>80</v>
      </c>
      <c r="P40" s="64">
        <f>France!Q32</f>
        <v>120</v>
      </c>
      <c r="Q40" s="64">
        <f>France!R32</f>
        <v>20</v>
      </c>
      <c r="R40" s="64">
        <f>France!S32</f>
        <v>20</v>
      </c>
      <c r="S40" s="64">
        <f>France!T32</f>
        <v>50</v>
      </c>
      <c r="T40" s="64">
        <f>France!U32</f>
        <v>120</v>
      </c>
      <c r="U40" s="64">
        <f>France!V32</f>
        <v>150</v>
      </c>
      <c r="V40" s="64">
        <f>France!W32</f>
        <v>140</v>
      </c>
      <c r="W40" s="64">
        <f>France!X32</f>
        <v>160</v>
      </c>
      <c r="X40" s="64">
        <f>France!Y32</f>
        <v>30</v>
      </c>
      <c r="Y40" s="64">
        <f>France!Z32</f>
        <v>30</v>
      </c>
      <c r="Z40" s="64">
        <f>France!AA32</f>
        <v>0</v>
      </c>
      <c r="AA40" s="64">
        <f>France!AB32</f>
        <v>110</v>
      </c>
      <c r="AB40" s="64">
        <f>France!AC32</f>
        <v>80</v>
      </c>
      <c r="AC40" s="64">
        <f>France!AD32</f>
        <v>180</v>
      </c>
      <c r="AD40" s="64">
        <f>France!AE32</f>
        <v>170</v>
      </c>
      <c r="AE40" s="64">
        <f>France!AF32</f>
        <v>20</v>
      </c>
      <c r="AF40" s="64">
        <f>France!AG32</f>
        <v>30</v>
      </c>
      <c r="AG40" s="243"/>
      <c r="AH40" s="243"/>
      <c r="AI40" s="243"/>
      <c r="AJ40" s="243"/>
      <c r="AK40" s="239"/>
      <c r="AL40" s="239"/>
    </row>
    <row r="41" spans="1:38" x14ac:dyDescent="0.25">
      <c r="A41" s="108">
        <v>3000</v>
      </c>
      <c r="B41" s="122" t="s">
        <v>31</v>
      </c>
      <c r="C41" s="103" t="s">
        <v>52</v>
      </c>
      <c r="D41" s="118" t="s">
        <v>36</v>
      </c>
      <c r="E41" s="103" t="s">
        <v>49</v>
      </c>
      <c r="F41" s="42" t="s">
        <v>48</v>
      </c>
      <c r="G41" s="8" t="s">
        <v>57</v>
      </c>
      <c r="H41" s="5"/>
      <c r="I41" s="15">
        <f ca="1">OFFSET(Chili!J22,0,2)</f>
        <v>150</v>
      </c>
      <c r="J41" s="15">
        <f ca="1">OFFSET(Chili!K22,0,2)</f>
        <v>150</v>
      </c>
      <c r="K41" s="15">
        <f ca="1">OFFSET(Chili!L22,0,2)</f>
        <v>200</v>
      </c>
      <c r="L41" s="15">
        <f ca="1">OFFSET(Chili!M22,0,2)</f>
        <v>100</v>
      </c>
      <c r="M41" s="15">
        <f ca="1">OFFSET(Chili!N22,0,2)</f>
        <v>150</v>
      </c>
      <c r="N41" s="15">
        <f ca="1">OFFSET(Chili!O22,0,2)</f>
        <v>150</v>
      </c>
      <c r="O41" s="15">
        <f ca="1">OFFSET(Chili!P22,0,2)</f>
        <v>300</v>
      </c>
      <c r="P41" s="15">
        <f ca="1">OFFSET(Chili!Q22,0,2)</f>
        <v>150</v>
      </c>
      <c r="Q41" s="15">
        <f ca="1">OFFSET(Chili!R22,0,2)</f>
        <v>150</v>
      </c>
      <c r="R41" s="15">
        <f ca="1">OFFSET(Chili!S22,0,2)</f>
        <v>100</v>
      </c>
      <c r="S41" s="15">
        <f ca="1">OFFSET(Chili!T22,0,2)</f>
        <v>50</v>
      </c>
      <c r="T41" s="15">
        <f ca="1">OFFSET(Chili!U22,0,2)</f>
        <v>100</v>
      </c>
      <c r="U41" s="15">
        <f ca="1">OFFSET(Chili!V22,0,2)</f>
        <v>150</v>
      </c>
      <c r="V41" s="15">
        <f ca="1">OFFSET(Chili!W22,0,2)</f>
        <v>150</v>
      </c>
      <c r="W41" s="15">
        <f ca="1">OFFSET(Chili!X22,0,2)</f>
        <v>100</v>
      </c>
      <c r="X41" s="15">
        <f ca="1">OFFSET(Chili!Y22,0,2)</f>
        <v>50</v>
      </c>
      <c r="Y41" s="15">
        <f ca="1">OFFSET(Chili!Z22,0,2)</f>
        <v>250</v>
      </c>
      <c r="Z41" s="15">
        <f ca="1">OFFSET(Chili!AA22,0,2)</f>
        <v>150</v>
      </c>
      <c r="AA41" s="15">
        <f ca="1">OFFSET(Chili!AB22,0,2)</f>
        <v>250</v>
      </c>
      <c r="AB41" s="15">
        <f ca="1">OFFSET(Chili!AC22,0,2)</f>
        <v>200</v>
      </c>
      <c r="AC41" s="15">
        <f ca="1">OFFSET(Chili!AD22,0,2)</f>
        <v>100</v>
      </c>
      <c r="AD41" s="15">
        <f ca="1">OFFSET(Chili!AE22,0,2)</f>
        <v>50</v>
      </c>
      <c r="AE41" s="15">
        <f ca="1">OFFSET(Chili!AF22,0,2)</f>
        <v>0</v>
      </c>
      <c r="AF41" s="15">
        <f ca="1">OFFSET(Chili!AG22,0,2)</f>
        <v>0</v>
      </c>
      <c r="AG41" s="228"/>
      <c r="AH41" s="228"/>
      <c r="AI41" s="228"/>
      <c r="AJ41" s="228"/>
      <c r="AK41" s="248"/>
      <c r="AL41" s="248"/>
    </row>
    <row r="42" spans="1:38" x14ac:dyDescent="0.25">
      <c r="A42" s="108">
        <v>3000</v>
      </c>
      <c r="B42" s="122" t="s">
        <v>31</v>
      </c>
      <c r="C42" s="103" t="s">
        <v>49</v>
      </c>
      <c r="D42" s="42" t="s">
        <v>48</v>
      </c>
      <c r="E42" s="103" t="s">
        <v>49</v>
      </c>
      <c r="F42" s="42" t="s">
        <v>48</v>
      </c>
      <c r="G42" s="124" t="s">
        <v>24</v>
      </c>
      <c r="H42" s="31"/>
      <c r="I42" s="223">
        <v>300</v>
      </c>
      <c r="J42" s="223">
        <v>300</v>
      </c>
      <c r="K42" s="223">
        <v>300</v>
      </c>
      <c r="L42" s="223">
        <v>300</v>
      </c>
      <c r="M42" s="223">
        <v>300</v>
      </c>
      <c r="N42" s="223">
        <v>300</v>
      </c>
      <c r="O42" s="223">
        <v>300</v>
      </c>
      <c r="P42" s="223">
        <v>300</v>
      </c>
      <c r="Q42" s="223">
        <v>300</v>
      </c>
      <c r="R42" s="223">
        <v>300</v>
      </c>
      <c r="S42" s="223">
        <v>300</v>
      </c>
      <c r="T42" s="223">
        <v>300</v>
      </c>
      <c r="U42" s="223">
        <v>300</v>
      </c>
      <c r="V42" s="223">
        <v>300</v>
      </c>
      <c r="W42" s="223">
        <v>300</v>
      </c>
      <c r="X42" s="223">
        <v>300</v>
      </c>
      <c r="Y42" s="223">
        <v>300</v>
      </c>
      <c r="Z42" s="223">
        <v>300</v>
      </c>
      <c r="AA42" s="223">
        <v>300</v>
      </c>
      <c r="AB42" s="223">
        <v>300</v>
      </c>
      <c r="AC42" s="223">
        <v>300</v>
      </c>
      <c r="AD42" s="223">
        <v>300</v>
      </c>
      <c r="AE42" s="223">
        <v>300</v>
      </c>
      <c r="AF42" s="223">
        <v>300</v>
      </c>
      <c r="AG42" s="223"/>
      <c r="AH42" s="223"/>
      <c r="AI42" s="223"/>
      <c r="AJ42" s="223"/>
      <c r="AK42" s="249"/>
      <c r="AL42" s="249"/>
    </row>
    <row r="43" spans="1:38" x14ac:dyDescent="0.25">
      <c r="A43" s="108">
        <v>3000</v>
      </c>
      <c r="B43" s="122" t="s">
        <v>31</v>
      </c>
      <c r="C43" s="103" t="s">
        <v>66</v>
      </c>
      <c r="D43" s="42" t="s">
        <v>65</v>
      </c>
      <c r="E43" s="103" t="s">
        <v>49</v>
      </c>
      <c r="F43" s="42" t="s">
        <v>48</v>
      </c>
      <c r="G43" s="4" t="s">
        <v>45</v>
      </c>
      <c r="H43" s="5"/>
      <c r="I43" s="142"/>
      <c r="J43" s="142"/>
      <c r="K43" s="64">
        <f>MJ_Initialisation!F48</f>
        <v>310</v>
      </c>
      <c r="L43" s="64">
        <f>MJ_Initialisation!G48</f>
        <v>210</v>
      </c>
      <c r="M43" s="64">
        <f>MJ_Initialisation!H48</f>
        <v>300</v>
      </c>
      <c r="N43" s="64">
        <f>MJ_Initialisation!I48</f>
        <v>330</v>
      </c>
      <c r="O43" s="64">
        <f>MJ_Initialisation!J48</f>
        <v>380</v>
      </c>
      <c r="P43" s="64">
        <f>MJ_Initialisation!K48</f>
        <v>270</v>
      </c>
      <c r="Q43" s="64">
        <f>MJ_Initialisation!L48</f>
        <v>196</v>
      </c>
      <c r="R43" s="64">
        <f>MJ_Initialisation!M48</f>
        <v>251</v>
      </c>
      <c r="S43" s="64">
        <f>MJ_Initialisation!N48</f>
        <v>303</v>
      </c>
      <c r="T43" s="64">
        <f>MJ_Initialisation!O48</f>
        <v>173</v>
      </c>
      <c r="U43" s="64">
        <f>MJ_Initialisation!P48</f>
        <v>83</v>
      </c>
      <c r="V43" s="64">
        <f>MJ_Initialisation!Q48</f>
        <v>281</v>
      </c>
      <c r="W43" s="64">
        <f>MJ_Initialisation!R48</f>
        <v>248</v>
      </c>
      <c r="X43" s="64">
        <f>MJ_Initialisation!S48</f>
        <v>259</v>
      </c>
      <c r="Y43" s="64">
        <f>MJ_Initialisation!T48</f>
        <v>189</v>
      </c>
      <c r="Z43" s="64">
        <f>MJ_Initialisation!U48</f>
        <v>119</v>
      </c>
      <c r="AA43" s="64">
        <f>MJ_Initialisation!V48</f>
        <v>256</v>
      </c>
      <c r="AB43" s="64">
        <f>MJ_Initialisation!W48</f>
        <v>379</v>
      </c>
      <c r="AC43" s="64">
        <f>MJ_Initialisation!X48</f>
        <v>178</v>
      </c>
      <c r="AD43" s="64">
        <f>MJ_Initialisation!Y48</f>
        <v>323</v>
      </c>
      <c r="AE43" s="64">
        <f>MJ_Initialisation!Z48</f>
        <v>131</v>
      </c>
      <c r="AF43" s="64">
        <f>MJ_Initialisation!AA48</f>
        <v>138</v>
      </c>
      <c r="AG43" s="243"/>
      <c r="AH43" s="243"/>
      <c r="AI43" s="243"/>
      <c r="AJ43" s="243"/>
      <c r="AK43" s="239"/>
      <c r="AL43" s="239"/>
    </row>
    <row r="44" spans="1:38" x14ac:dyDescent="0.25">
      <c r="A44" s="108">
        <v>3000</v>
      </c>
      <c r="B44" s="122" t="s">
        <v>31</v>
      </c>
      <c r="C44" s="103" t="s">
        <v>66</v>
      </c>
      <c r="D44" s="42" t="s">
        <v>65</v>
      </c>
      <c r="E44" s="103" t="s">
        <v>49</v>
      </c>
      <c r="F44" s="42" t="s">
        <v>48</v>
      </c>
      <c r="G44" s="35" t="s">
        <v>73</v>
      </c>
      <c r="H44" s="31"/>
      <c r="I44" s="36">
        <f>MJ_Initialisation!D48</f>
        <v>220</v>
      </c>
      <c r="J44" s="36">
        <f>MJ_Initialisation!E48</f>
        <v>320</v>
      </c>
      <c r="K44" s="254"/>
      <c r="L44" s="254"/>
      <c r="M44" s="144"/>
      <c r="N44" s="144"/>
      <c r="O44" s="144"/>
      <c r="P44" s="144"/>
      <c r="Q44" s="144"/>
      <c r="R44" s="144"/>
      <c r="S44" s="144"/>
      <c r="T44" s="144"/>
      <c r="U44" s="144"/>
      <c r="V44" s="144"/>
      <c r="W44" s="144"/>
      <c r="X44" s="144"/>
      <c r="Y44" s="144"/>
      <c r="Z44" s="144"/>
      <c r="AA44" s="144"/>
      <c r="AB44" s="144"/>
      <c r="AC44" s="144"/>
      <c r="AD44" s="144"/>
      <c r="AE44" s="144"/>
      <c r="AF44" s="144"/>
      <c r="AG44" s="255"/>
      <c r="AH44" s="255"/>
      <c r="AI44" s="255"/>
      <c r="AJ44" s="255"/>
      <c r="AK44" s="255"/>
      <c r="AL44" s="255"/>
    </row>
    <row r="45" spans="1:38" x14ac:dyDescent="0.25">
      <c r="A45" s="108">
        <v>3000</v>
      </c>
      <c r="B45" s="122" t="s">
        <v>31</v>
      </c>
      <c r="C45" s="103" t="s">
        <v>49</v>
      </c>
      <c r="D45" s="42" t="s">
        <v>48</v>
      </c>
      <c r="E45" s="103" t="s">
        <v>66</v>
      </c>
      <c r="F45" s="42" t="s">
        <v>65</v>
      </c>
      <c r="G45" s="127" t="s">
        <v>25</v>
      </c>
      <c r="H45" s="5"/>
      <c r="I45" s="225">
        <f ca="1">MAX(I43,SUM(I40:I41)+I42-H39-I44)</f>
        <v>0</v>
      </c>
      <c r="J45" s="225">
        <f t="shared" ref="J45:L45" ca="1" si="10">MAX(J43,SUM(J40:J41)+J42-I46-J44)</f>
        <v>0</v>
      </c>
      <c r="K45" s="225">
        <f ca="1">MAX(K43,SUM(K40:K41)+K42-J46-K44)</f>
        <v>310</v>
      </c>
      <c r="L45" s="225">
        <f t="shared" ca="1" si="10"/>
        <v>210</v>
      </c>
      <c r="M45" s="9">
        <f ca="1">MAX(M43,SUM(M40:M41)+M42-L46-M44)</f>
        <v>300</v>
      </c>
      <c r="N45" s="225">
        <f t="shared" ref="N45:AF45" ca="1" si="11">MAX(N43,SUM(N40:N41)+N42-M46-N44)</f>
        <v>330</v>
      </c>
      <c r="O45" s="225">
        <f t="shared" ca="1" si="11"/>
        <v>380</v>
      </c>
      <c r="P45" s="225">
        <f t="shared" ca="1" si="11"/>
        <v>270</v>
      </c>
      <c r="Q45" s="225">
        <f t="shared" ca="1" si="11"/>
        <v>196</v>
      </c>
      <c r="R45" s="225">
        <f t="shared" ca="1" si="11"/>
        <v>251</v>
      </c>
      <c r="S45" s="225">
        <f t="shared" ca="1" si="11"/>
        <v>303</v>
      </c>
      <c r="T45" s="225">
        <f t="shared" ca="1" si="11"/>
        <v>173</v>
      </c>
      <c r="U45" s="225">
        <f t="shared" ca="1" si="11"/>
        <v>83</v>
      </c>
      <c r="V45" s="225">
        <f t="shared" ca="1" si="11"/>
        <v>281</v>
      </c>
      <c r="W45" s="225">
        <f t="shared" ca="1" si="11"/>
        <v>248</v>
      </c>
      <c r="X45" s="225">
        <f t="shared" ca="1" si="11"/>
        <v>259</v>
      </c>
      <c r="Y45" s="225">
        <f t="shared" ca="1" si="11"/>
        <v>189</v>
      </c>
      <c r="Z45" s="225">
        <f t="shared" ca="1" si="11"/>
        <v>119</v>
      </c>
      <c r="AA45" s="225">
        <f t="shared" ca="1" si="11"/>
        <v>256</v>
      </c>
      <c r="AB45" s="225">
        <f t="shared" ca="1" si="11"/>
        <v>379</v>
      </c>
      <c r="AC45" s="225">
        <f t="shared" ca="1" si="11"/>
        <v>178</v>
      </c>
      <c r="AD45" s="225">
        <f t="shared" ca="1" si="11"/>
        <v>323</v>
      </c>
      <c r="AE45" s="225">
        <f t="shared" ca="1" si="11"/>
        <v>131</v>
      </c>
      <c r="AF45" s="225">
        <f t="shared" ca="1" si="11"/>
        <v>138</v>
      </c>
      <c r="AG45" s="225"/>
      <c r="AH45" s="225"/>
      <c r="AI45" s="225"/>
      <c r="AJ45" s="225"/>
      <c r="AK45" s="272"/>
      <c r="AL45" s="272"/>
    </row>
    <row r="46" spans="1:38" ht="15.75" thickBot="1" x14ac:dyDescent="0.3">
      <c r="A46" s="108">
        <v>3000</v>
      </c>
      <c r="B46" s="122" t="s">
        <v>31</v>
      </c>
      <c r="C46" s="103" t="s">
        <v>49</v>
      </c>
      <c r="D46" s="42" t="s">
        <v>48</v>
      </c>
      <c r="E46" s="103" t="s">
        <v>49</v>
      </c>
      <c r="F46" s="42" t="s">
        <v>48</v>
      </c>
      <c r="G46" s="125" t="s">
        <v>37</v>
      </c>
      <c r="I46" s="7">
        <f ca="1">H39+I45+I44-SUM(I40:I41)</f>
        <v>300</v>
      </c>
      <c r="J46" s="7">
        <f t="shared" ref="J46:AF46" ca="1" si="12">I46+J45+J44-SUM(J40:J41)</f>
        <v>300</v>
      </c>
      <c r="K46" s="7">
        <f t="shared" ca="1" si="12"/>
        <v>300</v>
      </c>
      <c r="L46" s="7">
        <f t="shared" ca="1" si="12"/>
        <v>300</v>
      </c>
      <c r="M46" s="7">
        <f t="shared" ca="1" si="12"/>
        <v>300</v>
      </c>
      <c r="N46" s="7">
        <f t="shared" ca="1" si="12"/>
        <v>300</v>
      </c>
      <c r="O46" s="7">
        <f t="shared" ca="1" si="12"/>
        <v>300</v>
      </c>
      <c r="P46" s="7">
        <f t="shared" ca="1" si="12"/>
        <v>300</v>
      </c>
      <c r="Q46" s="7">
        <f t="shared" ca="1" si="12"/>
        <v>326</v>
      </c>
      <c r="R46" s="7">
        <f t="shared" ca="1" si="12"/>
        <v>457</v>
      </c>
      <c r="S46" s="7">
        <f t="shared" ca="1" si="12"/>
        <v>660</v>
      </c>
      <c r="T46" s="7">
        <f t="shared" ca="1" si="12"/>
        <v>613</v>
      </c>
      <c r="U46" s="7">
        <f t="shared" ca="1" si="12"/>
        <v>396</v>
      </c>
      <c r="V46" s="7">
        <f t="shared" ca="1" si="12"/>
        <v>387</v>
      </c>
      <c r="W46" s="7">
        <f t="shared" ca="1" si="12"/>
        <v>375</v>
      </c>
      <c r="X46" s="7">
        <f t="shared" ca="1" si="12"/>
        <v>554</v>
      </c>
      <c r="Y46" s="7">
        <f t="shared" ca="1" si="12"/>
        <v>463</v>
      </c>
      <c r="Z46" s="7">
        <f t="shared" ca="1" si="12"/>
        <v>432</v>
      </c>
      <c r="AA46" s="7">
        <f t="shared" ca="1" si="12"/>
        <v>328</v>
      </c>
      <c r="AB46" s="7">
        <f t="shared" ca="1" si="12"/>
        <v>427</v>
      </c>
      <c r="AC46" s="7">
        <f t="shared" ca="1" si="12"/>
        <v>325</v>
      </c>
      <c r="AD46" s="7">
        <f t="shared" ca="1" si="12"/>
        <v>428</v>
      </c>
      <c r="AE46" s="7">
        <f t="shared" ca="1" si="12"/>
        <v>539</v>
      </c>
      <c r="AF46" s="7">
        <f t="shared" ca="1" si="12"/>
        <v>647</v>
      </c>
      <c r="AG46" s="224"/>
      <c r="AH46" s="224"/>
      <c r="AI46" s="224"/>
      <c r="AJ46" s="224"/>
      <c r="AK46" s="273"/>
      <c r="AL46" s="273"/>
    </row>
    <row r="47" spans="1:38" ht="15.75" thickBot="1" x14ac:dyDescent="0.3">
      <c r="A47" s="77"/>
      <c r="B47" s="77"/>
      <c r="C47" s="11"/>
      <c r="D47" s="11"/>
      <c r="E47" s="11"/>
      <c r="F47" s="11"/>
      <c r="G47" s="11"/>
      <c r="H47" s="11"/>
      <c r="I47" s="11"/>
      <c r="J47" s="11"/>
      <c r="K47" s="11"/>
      <c r="L47" s="11"/>
      <c r="M47" s="11"/>
      <c r="N47" s="11"/>
      <c r="O47" s="11"/>
      <c r="P47" s="11"/>
      <c r="Q47" s="11"/>
      <c r="R47" s="11"/>
      <c r="S47" s="11"/>
      <c r="T47" s="11"/>
      <c r="U47" s="11"/>
      <c r="V47" s="11"/>
      <c r="W47" s="11"/>
      <c r="X47" s="11"/>
      <c r="Y47" s="11"/>
      <c r="Z47" s="11"/>
      <c r="AA47" s="11"/>
      <c r="AB47" s="11"/>
      <c r="AC47" s="11"/>
      <c r="AD47" s="11"/>
      <c r="AE47" s="11"/>
      <c r="AF47" s="77"/>
      <c r="AG47" s="244"/>
      <c r="AH47" s="244"/>
      <c r="AI47" s="244"/>
      <c r="AJ47" s="244"/>
      <c r="AK47" s="239"/>
      <c r="AL47" s="239"/>
    </row>
    <row r="48" spans="1:38" ht="14.25" customHeight="1" thickBot="1" x14ac:dyDescent="0.3">
      <c r="A48" s="26">
        <v>4000</v>
      </c>
      <c r="B48" s="123" t="s">
        <v>44</v>
      </c>
      <c r="C48" s="103" t="s">
        <v>49</v>
      </c>
      <c r="D48" s="42" t="s">
        <v>48</v>
      </c>
      <c r="E48" s="103" t="s">
        <v>50</v>
      </c>
      <c r="F48" s="116" t="s">
        <v>33</v>
      </c>
      <c r="G48" s="170" t="s">
        <v>117</v>
      </c>
      <c r="H48" s="171"/>
      <c r="I48" s="294">
        <f>PA_CDC!I99</f>
        <v>60</v>
      </c>
      <c r="J48" s="171" t="str">
        <f>IF(J5=MJ_Initialisation!AI18,MJ_Initialisation!E26,"")</f>
        <v/>
      </c>
      <c r="K48" s="171" t="str">
        <f>IF(K5=MJ_Initialisation!AJ18,MJ_Initialisation!F26,"")</f>
        <v/>
      </c>
      <c r="L48" s="171" t="str">
        <f>IF(L5=MJ_Initialisation!AK18,MJ_Initialisation!G26,"")</f>
        <v/>
      </c>
      <c r="M48" s="171" t="str">
        <f>IF(M5=MJ_Initialisation!AL18,MJ_Initialisation!H26,"")</f>
        <v/>
      </c>
      <c r="N48" s="171" t="str">
        <f>IF(N5=MJ_Initialisation!AM18,MJ_Initialisation!I26,"")</f>
        <v/>
      </c>
      <c r="O48" s="171" t="str">
        <f>IF(O5=MJ_Initialisation!AN18,MJ_Initialisation!J26,"")</f>
        <v/>
      </c>
      <c r="P48" s="171" t="str">
        <f>IF(P5=MJ_Initialisation!AO18,MJ_Initialisation!K26,"")</f>
        <v/>
      </c>
      <c r="Q48" s="171" t="str">
        <f>IF(Q5=MJ_Initialisation!AP18,MJ_Initialisation!L26,"")</f>
        <v/>
      </c>
      <c r="R48" s="171" t="str">
        <f>IF(R5=MJ_Initialisation!AQ18,MJ_Initialisation!M26,"")</f>
        <v/>
      </c>
      <c r="S48" s="171" t="str">
        <f>IF(S5=MJ_Initialisation!AR18,MJ_Initialisation!N26,"")</f>
        <v/>
      </c>
      <c r="T48" s="171" t="str">
        <f>IF(T5=MJ_Initialisation!AS18,MJ_Initialisation!O26,"")</f>
        <v/>
      </c>
      <c r="U48" s="171" t="str">
        <f>IF(U5=MJ_Initialisation!AT18,MJ_Initialisation!P26,"")</f>
        <v/>
      </c>
      <c r="V48" s="171" t="str">
        <f>IF(V5=MJ_Initialisation!AU18,MJ_Initialisation!Q26,"")</f>
        <v/>
      </c>
      <c r="W48" s="171" t="str">
        <f>IF(W5=MJ_Initialisation!AV18,MJ_Initialisation!R26,"")</f>
        <v/>
      </c>
      <c r="X48" s="171" t="str">
        <f>IF(X5=MJ_Initialisation!AW18,MJ_Initialisation!S26,"")</f>
        <v/>
      </c>
      <c r="Y48" s="171" t="str">
        <f>IF(Y5=MJ_Initialisation!AX18,MJ_Initialisation!T26,"")</f>
        <v/>
      </c>
      <c r="Z48" s="171" t="str">
        <f>IF(Z5=MJ_Initialisation!AY18,MJ_Initialisation!U26,"")</f>
        <v/>
      </c>
      <c r="AA48" s="171" t="str">
        <f>IF(AA5=MJ_Initialisation!AZ18,MJ_Initialisation!V26,"")</f>
        <v/>
      </c>
      <c r="AB48" s="171" t="str">
        <f>IF(AB5=MJ_Initialisation!BA18,MJ_Initialisation!W26,"")</f>
        <v/>
      </c>
      <c r="AC48" s="171" t="str">
        <f>IF(AC5=MJ_Initialisation!BB18,MJ_Initialisation!X26,"")</f>
        <v/>
      </c>
      <c r="AD48" s="171" t="str">
        <f>IF(AD5=MJ_Initialisation!BC18,MJ_Initialisation!Y26,"")</f>
        <v/>
      </c>
      <c r="AE48" s="171" t="str">
        <f>IF(AE5=MJ_Initialisation!BD18,MJ_Initialisation!Z26,"")</f>
        <v/>
      </c>
      <c r="AF48" s="171" t="str">
        <f>IF(AF5=MJ_Initialisation!BE18,MJ_Initialisation!AA26,"")</f>
        <v/>
      </c>
      <c r="AG48" s="264"/>
      <c r="AH48" s="264"/>
      <c r="AI48" s="264"/>
      <c r="AJ48" s="264"/>
      <c r="AK48" s="248"/>
      <c r="AL48" s="248"/>
    </row>
    <row r="49" spans="1:92" ht="15.75" thickBot="1" x14ac:dyDescent="0.3">
      <c r="A49" s="26">
        <v>4000</v>
      </c>
      <c r="B49" s="123" t="s">
        <v>44</v>
      </c>
      <c r="C49" s="103" t="s">
        <v>66</v>
      </c>
      <c r="D49" s="42" t="s">
        <v>65</v>
      </c>
      <c r="E49" s="103" t="s">
        <v>49</v>
      </c>
      <c r="F49" s="42" t="s">
        <v>48</v>
      </c>
      <c r="G49" s="170" t="s">
        <v>118</v>
      </c>
      <c r="H49" s="171"/>
      <c r="I49" s="171">
        <f>I54</f>
        <v>160</v>
      </c>
      <c r="J49" s="171" t="str">
        <f>IF(J5=MJ_Initialisation!AI18,MJ_Initialisation!E50,"")</f>
        <v/>
      </c>
      <c r="K49" s="171" t="str">
        <f>IF(K5=MJ_Initialisation!AJ18,MJ_Initialisation!F50,"")</f>
        <v/>
      </c>
      <c r="L49" s="171" t="str">
        <f>IF(L5=MJ_Initialisation!AK18,MJ_Initialisation!G50,"")</f>
        <v/>
      </c>
      <c r="M49" s="171" t="str">
        <f>IF(M5=MJ_Initialisation!AL18,MJ_Initialisation!H50,"")</f>
        <v/>
      </c>
      <c r="N49" s="171" t="str">
        <f>IF(N5=MJ_Initialisation!AM18,MJ_Initialisation!I50,"")</f>
        <v/>
      </c>
      <c r="O49" s="171" t="str">
        <f>IF(O5=MJ_Initialisation!AN18,MJ_Initialisation!J50,"")</f>
        <v/>
      </c>
      <c r="P49" s="171" t="str">
        <f>IF(P5=MJ_Initialisation!AO18,MJ_Initialisation!K50,"")</f>
        <v/>
      </c>
      <c r="Q49" s="171" t="str">
        <f>IF(Q5=MJ_Initialisation!AP18,MJ_Initialisation!L50,"")</f>
        <v/>
      </c>
      <c r="R49" s="171" t="str">
        <f>IF(R5=MJ_Initialisation!AQ18,MJ_Initialisation!M50,"")</f>
        <v/>
      </c>
      <c r="S49" s="171" t="str">
        <f>IF(S5=MJ_Initialisation!AR18,MJ_Initialisation!N50,"")</f>
        <v/>
      </c>
      <c r="T49" s="171" t="str">
        <f>IF(T5=MJ_Initialisation!AS18,MJ_Initialisation!O50,"")</f>
        <v/>
      </c>
      <c r="U49" s="171" t="str">
        <f>IF(U5=MJ_Initialisation!AT18,MJ_Initialisation!P50,"")</f>
        <v/>
      </c>
      <c r="V49" s="171" t="str">
        <f>IF(V5=MJ_Initialisation!AU18,MJ_Initialisation!Q50,"")</f>
        <v/>
      </c>
      <c r="W49" s="171" t="str">
        <f>IF(W5=MJ_Initialisation!AV18,MJ_Initialisation!R50,"")</f>
        <v/>
      </c>
      <c r="X49" s="171" t="str">
        <f>IF(X5=MJ_Initialisation!AW18,MJ_Initialisation!S50,"")</f>
        <v/>
      </c>
      <c r="Y49" s="171" t="str">
        <f>IF(Y5=MJ_Initialisation!AX18,MJ_Initialisation!T50,"")</f>
        <v/>
      </c>
      <c r="Z49" s="171" t="str">
        <f>IF(Z5=MJ_Initialisation!AY18,MJ_Initialisation!U50,"")</f>
        <v/>
      </c>
      <c r="AA49" s="171" t="str">
        <f>IF(AA5=MJ_Initialisation!AZ18,MJ_Initialisation!V50,"")</f>
        <v/>
      </c>
      <c r="AB49" s="171" t="str">
        <f>IF(AB5=MJ_Initialisation!BA18,MJ_Initialisation!W50,"")</f>
        <v/>
      </c>
      <c r="AC49" s="171" t="str">
        <f>IF(AC5=MJ_Initialisation!BB18,MJ_Initialisation!X50,"")</f>
        <v/>
      </c>
      <c r="AD49" s="171" t="str">
        <f>IF(AD5=MJ_Initialisation!BC18,MJ_Initialisation!Y50,"")</f>
        <v/>
      </c>
      <c r="AE49" s="171" t="str">
        <f>IF(AE5=MJ_Initialisation!BD18,MJ_Initialisation!Z50,"")</f>
        <v/>
      </c>
      <c r="AF49" s="171" t="str">
        <f>IF(AF5=MJ_Initialisation!BE18,MJ_Initialisation!AA50,"")</f>
        <v/>
      </c>
      <c r="AG49" s="264"/>
      <c r="AH49" s="264"/>
      <c r="AI49" s="264"/>
      <c r="AJ49" s="264"/>
      <c r="AK49" s="248"/>
      <c r="AL49" s="248"/>
    </row>
    <row r="50" spans="1:92" ht="15.75" thickBot="1" x14ac:dyDescent="0.3">
      <c r="A50" s="26">
        <v>4000</v>
      </c>
      <c r="B50" s="123" t="s">
        <v>44</v>
      </c>
      <c r="C50" s="103" t="s">
        <v>49</v>
      </c>
      <c r="D50" s="42" t="s">
        <v>48</v>
      </c>
      <c r="E50" s="103" t="s">
        <v>49</v>
      </c>
      <c r="F50" s="42" t="s">
        <v>48</v>
      </c>
      <c r="G50" s="168" t="s">
        <v>120</v>
      </c>
      <c r="H50" s="19">
        <f>MJ_Initialisation!AF19</f>
        <v>200</v>
      </c>
      <c r="I50" s="295">
        <f>H50+I49-I48</f>
        <v>300</v>
      </c>
      <c r="J50" s="176"/>
      <c r="K50" s="176"/>
      <c r="L50" s="176"/>
      <c r="M50" s="176"/>
      <c r="N50" s="176"/>
      <c r="O50" s="176"/>
      <c r="P50" s="176"/>
      <c r="Q50" s="176"/>
      <c r="R50" s="176"/>
      <c r="S50" s="176"/>
      <c r="T50" s="176"/>
      <c r="U50" s="176"/>
      <c r="V50" s="176"/>
      <c r="W50" s="176"/>
      <c r="X50" s="176"/>
      <c r="Y50" s="176"/>
      <c r="Z50" s="176"/>
      <c r="AA50" s="176"/>
      <c r="AB50" s="176"/>
      <c r="AC50" s="176"/>
      <c r="AD50" s="176"/>
      <c r="AE50" s="176"/>
      <c r="AF50" s="176"/>
      <c r="AG50" s="267"/>
      <c r="AH50" s="267"/>
      <c r="AI50" s="267"/>
      <c r="AJ50" s="267"/>
      <c r="AK50" s="274"/>
      <c r="AL50" s="274"/>
    </row>
    <row r="51" spans="1:92" ht="15.75" thickBot="1" x14ac:dyDescent="0.3">
      <c r="A51" s="26">
        <v>4000</v>
      </c>
      <c r="B51" s="123" t="s">
        <v>44</v>
      </c>
      <c r="C51" s="103" t="s">
        <v>50</v>
      </c>
      <c r="D51" s="116" t="s">
        <v>33</v>
      </c>
      <c r="E51" s="103" t="s">
        <v>49</v>
      </c>
      <c r="F51" s="42" t="s">
        <v>48</v>
      </c>
      <c r="G51" s="8" t="s">
        <v>57</v>
      </c>
      <c r="H51" s="12"/>
      <c r="I51" s="13">
        <f>France!J42</f>
        <v>60</v>
      </c>
      <c r="J51" s="13">
        <f>France!K42</f>
        <v>60</v>
      </c>
      <c r="K51" s="13">
        <f>France!L42</f>
        <v>80</v>
      </c>
      <c r="L51" s="13">
        <f>France!M42</f>
        <v>10</v>
      </c>
      <c r="M51" s="13">
        <f>France!N42</f>
        <v>160</v>
      </c>
      <c r="N51" s="13">
        <f>France!O42</f>
        <v>80</v>
      </c>
      <c r="O51" s="13">
        <f>France!P42</f>
        <v>40</v>
      </c>
      <c r="P51" s="13">
        <f>France!Q42</f>
        <v>120</v>
      </c>
      <c r="Q51" s="13">
        <f>France!R42</f>
        <v>170</v>
      </c>
      <c r="R51" s="13">
        <f>France!S42</f>
        <v>80</v>
      </c>
      <c r="S51" s="13">
        <f>France!T42</f>
        <v>150</v>
      </c>
      <c r="T51" s="13">
        <f>France!U42</f>
        <v>40</v>
      </c>
      <c r="U51" s="13">
        <f>France!V42</f>
        <v>40</v>
      </c>
      <c r="V51" s="13">
        <f>France!W42</f>
        <v>70</v>
      </c>
      <c r="W51" s="13">
        <f>France!X42</f>
        <v>120</v>
      </c>
      <c r="X51" s="13">
        <f>France!Y42</f>
        <v>170</v>
      </c>
      <c r="Y51" s="13">
        <f>France!Z42</f>
        <v>170</v>
      </c>
      <c r="Z51" s="13">
        <f>France!AA42</f>
        <v>180</v>
      </c>
      <c r="AA51" s="13">
        <f>France!AB42</f>
        <v>10</v>
      </c>
      <c r="AB51" s="13">
        <f>France!AC42</f>
        <v>130</v>
      </c>
      <c r="AC51" s="13">
        <f>France!AD42</f>
        <v>10</v>
      </c>
      <c r="AD51" s="13">
        <f>France!AE42</f>
        <v>190</v>
      </c>
      <c r="AE51" s="13">
        <f>France!AF42</f>
        <v>110</v>
      </c>
      <c r="AF51" s="13">
        <f>France!AG42</f>
        <v>100</v>
      </c>
      <c r="AG51" s="227"/>
      <c r="AH51" s="227"/>
      <c r="AI51" s="227"/>
      <c r="AJ51" s="227"/>
      <c r="AK51" s="261"/>
      <c r="AL51" s="261"/>
      <c r="AM51" s="23"/>
      <c r="AN51" s="23"/>
      <c r="AO51" s="23"/>
      <c r="AP51" s="23"/>
      <c r="AQ51" s="23"/>
      <c r="AR51" s="23"/>
      <c r="AS51" s="23"/>
      <c r="AT51" s="23"/>
      <c r="AU51" s="23"/>
      <c r="AV51" s="23"/>
      <c r="AW51" s="23"/>
      <c r="AX51" s="23"/>
      <c r="AY51" s="23"/>
      <c r="AZ51" s="23"/>
      <c r="BA51" s="23"/>
      <c r="BB51" s="23"/>
      <c r="BC51" s="23"/>
      <c r="BD51" s="23"/>
      <c r="BE51" s="23"/>
      <c r="BF51" s="23"/>
      <c r="BG51" s="23"/>
      <c r="BH51" s="23"/>
      <c r="BI51" s="23"/>
      <c r="BJ51" s="23"/>
      <c r="BK51" s="23"/>
      <c r="BL51" s="23"/>
      <c r="BM51" s="23"/>
      <c r="BN51" s="23"/>
      <c r="BO51" s="23"/>
      <c r="BP51" s="23"/>
      <c r="BQ51" s="23"/>
      <c r="BR51" s="23"/>
      <c r="BS51" s="23"/>
      <c r="BT51" s="23"/>
      <c r="BU51" s="23"/>
      <c r="BV51" s="23"/>
      <c r="BW51" s="23"/>
      <c r="BX51" s="23"/>
      <c r="BY51" s="23"/>
      <c r="BZ51" s="23"/>
      <c r="CA51" s="23"/>
      <c r="CB51" s="23"/>
      <c r="CC51" s="23"/>
      <c r="CD51" s="23"/>
      <c r="CE51" s="23"/>
      <c r="CF51" s="23"/>
      <c r="CG51" s="23"/>
      <c r="CH51" s="23"/>
      <c r="CI51" s="23"/>
      <c r="CJ51" s="23"/>
      <c r="CK51" s="23"/>
      <c r="CL51" s="23"/>
      <c r="CM51" s="23"/>
      <c r="CN51" s="23"/>
    </row>
    <row r="52" spans="1:92" ht="15.75" thickBot="1" x14ac:dyDescent="0.3">
      <c r="A52" s="26">
        <v>4000</v>
      </c>
      <c r="B52" s="123" t="s">
        <v>44</v>
      </c>
      <c r="C52" s="103" t="s">
        <v>49</v>
      </c>
      <c r="D52" s="42" t="s">
        <v>48</v>
      </c>
      <c r="E52" s="103" t="s">
        <v>49</v>
      </c>
      <c r="F52" s="42" t="s">
        <v>48</v>
      </c>
      <c r="G52" s="124" t="s">
        <v>24</v>
      </c>
      <c r="H52" s="14"/>
      <c r="I52" s="223">
        <v>300</v>
      </c>
      <c r="J52" s="223">
        <v>300</v>
      </c>
      <c r="K52" s="223">
        <v>300</v>
      </c>
      <c r="L52" s="223">
        <v>300</v>
      </c>
      <c r="M52" s="223">
        <v>300</v>
      </c>
      <c r="N52" s="223">
        <v>300</v>
      </c>
      <c r="O52" s="223">
        <v>300</v>
      </c>
      <c r="P52" s="223">
        <v>300</v>
      </c>
      <c r="Q52" s="223">
        <v>300</v>
      </c>
      <c r="R52" s="223">
        <v>300</v>
      </c>
      <c r="S52" s="223">
        <v>300</v>
      </c>
      <c r="T52" s="223">
        <v>300</v>
      </c>
      <c r="U52" s="223">
        <v>300</v>
      </c>
      <c r="V52" s="223">
        <v>300</v>
      </c>
      <c r="W52" s="223">
        <v>300</v>
      </c>
      <c r="X52" s="223">
        <v>300</v>
      </c>
      <c r="Y52" s="223">
        <v>300</v>
      </c>
      <c r="Z52" s="223">
        <v>300</v>
      </c>
      <c r="AA52" s="223">
        <v>300</v>
      </c>
      <c r="AB52" s="223">
        <v>300</v>
      </c>
      <c r="AC52" s="223">
        <v>300</v>
      </c>
      <c r="AD52" s="223">
        <v>300</v>
      </c>
      <c r="AE52" s="223">
        <v>300</v>
      </c>
      <c r="AF52" s="223">
        <v>300</v>
      </c>
      <c r="AG52" s="223"/>
      <c r="AH52" s="223"/>
      <c r="AI52" s="223"/>
      <c r="AJ52" s="223"/>
      <c r="AK52" s="249"/>
      <c r="AL52" s="249"/>
      <c r="AM52" s="23"/>
      <c r="AN52" s="23"/>
      <c r="AO52" s="23"/>
      <c r="AP52" s="23"/>
      <c r="AQ52" s="23"/>
      <c r="AR52" s="23"/>
      <c r="AS52" s="23"/>
      <c r="AT52" s="23"/>
      <c r="AU52" s="23"/>
      <c r="AV52" s="23"/>
      <c r="AW52" s="23"/>
      <c r="AX52" s="23"/>
      <c r="AY52" s="23"/>
      <c r="AZ52" s="23"/>
      <c r="BA52" s="23"/>
      <c r="BB52" s="23"/>
      <c r="BC52" s="23"/>
      <c r="BD52" s="23"/>
      <c r="BE52" s="23"/>
      <c r="BF52" s="23"/>
      <c r="BG52" s="23"/>
      <c r="BH52" s="23"/>
      <c r="BI52" s="23"/>
      <c r="BJ52" s="23"/>
      <c r="BK52" s="23"/>
      <c r="BL52" s="23"/>
      <c r="BM52" s="23"/>
      <c r="BN52" s="23"/>
      <c r="BO52" s="23"/>
      <c r="BP52" s="23"/>
      <c r="BQ52" s="23"/>
      <c r="BR52" s="23"/>
      <c r="BS52" s="23"/>
      <c r="BT52" s="23"/>
      <c r="BU52" s="23"/>
      <c r="BV52" s="23"/>
      <c r="BW52" s="23"/>
      <c r="BX52" s="23"/>
      <c r="BY52" s="23"/>
      <c r="BZ52" s="23"/>
      <c r="CA52" s="23"/>
      <c r="CB52" s="23"/>
      <c r="CC52" s="23"/>
      <c r="CD52" s="23"/>
      <c r="CE52" s="23"/>
      <c r="CF52" s="23"/>
      <c r="CG52" s="23"/>
      <c r="CH52" s="23"/>
      <c r="CI52" s="23"/>
      <c r="CJ52" s="23"/>
      <c r="CK52" s="23"/>
      <c r="CL52" s="23"/>
      <c r="CM52" s="23"/>
      <c r="CN52" s="23"/>
    </row>
    <row r="53" spans="1:92" ht="15.75" thickBot="1" x14ac:dyDescent="0.3">
      <c r="A53" s="26">
        <v>4000</v>
      </c>
      <c r="B53" s="123" t="s">
        <v>44</v>
      </c>
      <c r="C53" s="103" t="s">
        <v>66</v>
      </c>
      <c r="D53" s="42" t="s">
        <v>65</v>
      </c>
      <c r="E53" s="103" t="s">
        <v>49</v>
      </c>
      <c r="F53" s="42" t="s">
        <v>48</v>
      </c>
      <c r="G53" s="4" t="s">
        <v>45</v>
      </c>
      <c r="H53" s="14"/>
      <c r="I53" s="142"/>
      <c r="J53" s="142"/>
      <c r="K53" s="64">
        <f>MJ_Initialisation!F50</f>
        <v>80</v>
      </c>
      <c r="L53" s="64">
        <f>MJ_Initialisation!G50</f>
        <v>71</v>
      </c>
      <c r="M53" s="64">
        <f>MJ_Initialisation!H50</f>
        <v>99</v>
      </c>
      <c r="N53" s="64">
        <f>MJ_Initialisation!I50</f>
        <v>105</v>
      </c>
      <c r="O53" s="64">
        <f>MJ_Initialisation!J50</f>
        <v>163</v>
      </c>
      <c r="P53" s="64">
        <f>MJ_Initialisation!K50</f>
        <v>28</v>
      </c>
      <c r="Q53" s="64">
        <f>MJ_Initialisation!L50</f>
        <v>121</v>
      </c>
      <c r="R53" s="64">
        <f>MJ_Initialisation!M50</f>
        <v>199</v>
      </c>
      <c r="S53" s="64">
        <f>MJ_Initialisation!N50</f>
        <v>115</v>
      </c>
      <c r="T53" s="64">
        <f>MJ_Initialisation!O50</f>
        <v>168</v>
      </c>
      <c r="U53" s="64">
        <f>MJ_Initialisation!P50</f>
        <v>168</v>
      </c>
      <c r="V53" s="64">
        <f>MJ_Initialisation!Q50</f>
        <v>132</v>
      </c>
      <c r="W53" s="64">
        <f>MJ_Initialisation!R50</f>
        <v>160</v>
      </c>
      <c r="X53" s="64">
        <f>MJ_Initialisation!S50</f>
        <v>136</v>
      </c>
      <c r="Y53" s="64">
        <f>MJ_Initialisation!T50</f>
        <v>152</v>
      </c>
      <c r="Z53" s="64">
        <f>MJ_Initialisation!U50</f>
        <v>56</v>
      </c>
      <c r="AA53" s="64">
        <f>MJ_Initialisation!V50</f>
        <v>131</v>
      </c>
      <c r="AB53" s="64">
        <f>MJ_Initialisation!W50</f>
        <v>115</v>
      </c>
      <c r="AC53" s="64">
        <f>MJ_Initialisation!X50</f>
        <v>17</v>
      </c>
      <c r="AD53" s="64">
        <f>MJ_Initialisation!Y50</f>
        <v>56</v>
      </c>
      <c r="AE53" s="64">
        <f>MJ_Initialisation!Z50</f>
        <v>153</v>
      </c>
      <c r="AF53" s="64">
        <f>MJ_Initialisation!AA50</f>
        <v>113</v>
      </c>
      <c r="AG53" s="243"/>
      <c r="AH53" s="243"/>
      <c r="AI53" s="243"/>
      <c r="AJ53" s="243"/>
      <c r="AK53" s="239"/>
      <c r="AL53" s="239"/>
      <c r="AM53" s="23"/>
      <c r="AN53" s="23"/>
      <c r="AO53" s="23"/>
      <c r="AP53" s="23"/>
      <c r="AQ53" s="23"/>
      <c r="AR53" s="23"/>
      <c r="AS53" s="23"/>
      <c r="AT53" s="23"/>
      <c r="AU53" s="23"/>
      <c r="AV53" s="23"/>
      <c r="AW53" s="23"/>
      <c r="AX53" s="23"/>
      <c r="AY53" s="23"/>
      <c r="AZ53" s="23"/>
      <c r="BA53" s="23"/>
      <c r="BB53" s="23"/>
      <c r="BC53" s="23"/>
      <c r="BD53" s="23"/>
      <c r="BE53" s="23"/>
      <c r="BF53" s="23"/>
      <c r="BG53" s="23"/>
      <c r="BH53" s="23"/>
      <c r="BI53" s="23"/>
      <c r="BJ53" s="23"/>
      <c r="BK53" s="23"/>
      <c r="BL53" s="23"/>
      <c r="BM53" s="23"/>
      <c r="BN53" s="23"/>
      <c r="BO53" s="23"/>
      <c r="BP53" s="23"/>
      <c r="BQ53" s="23"/>
      <c r="BR53" s="23"/>
      <c r="BS53" s="23"/>
      <c r="BT53" s="23"/>
      <c r="BU53" s="23"/>
      <c r="BV53" s="23"/>
      <c r="BW53" s="23"/>
      <c r="BX53" s="23"/>
      <c r="BY53" s="23"/>
      <c r="BZ53" s="23"/>
      <c r="CA53" s="23"/>
      <c r="CB53" s="23"/>
      <c r="CC53" s="23"/>
      <c r="CD53" s="23"/>
      <c r="CE53" s="23"/>
      <c r="CF53" s="23"/>
      <c r="CG53" s="23"/>
      <c r="CH53" s="23"/>
      <c r="CI53" s="23"/>
      <c r="CJ53" s="23"/>
      <c r="CK53" s="23"/>
      <c r="CL53" s="23"/>
      <c r="CM53" s="23"/>
      <c r="CN53" s="23"/>
    </row>
    <row r="54" spans="1:92" ht="15.75" thickBot="1" x14ac:dyDescent="0.3">
      <c r="A54" s="26">
        <v>4000</v>
      </c>
      <c r="B54" s="123" t="s">
        <v>44</v>
      </c>
      <c r="C54" s="103" t="s">
        <v>66</v>
      </c>
      <c r="D54" s="42" t="s">
        <v>65</v>
      </c>
      <c r="E54" s="103" t="s">
        <v>49</v>
      </c>
      <c r="F54" s="42" t="s">
        <v>48</v>
      </c>
      <c r="G54" s="35" t="s">
        <v>73</v>
      </c>
      <c r="H54" s="31"/>
      <c r="I54" s="36">
        <f>MJ_Initialisation!D50</f>
        <v>160</v>
      </c>
      <c r="J54" s="36">
        <f>MJ_Initialisation!E50</f>
        <v>60</v>
      </c>
      <c r="K54" s="254"/>
      <c r="L54" s="254"/>
      <c r="M54" s="144"/>
      <c r="N54" s="144"/>
      <c r="O54" s="144"/>
      <c r="P54" s="144"/>
      <c r="Q54" s="144"/>
      <c r="R54" s="144"/>
      <c r="S54" s="144"/>
      <c r="T54" s="144"/>
      <c r="U54" s="144"/>
      <c r="V54" s="144"/>
      <c r="W54" s="144"/>
      <c r="X54" s="144"/>
      <c r="Y54" s="144"/>
      <c r="Z54" s="144"/>
      <c r="AA54" s="144"/>
      <c r="AB54" s="144"/>
      <c r="AC54" s="144"/>
      <c r="AD54" s="144"/>
      <c r="AE54" s="144"/>
      <c r="AF54" s="144"/>
      <c r="AG54" s="255"/>
      <c r="AH54" s="255"/>
      <c r="AI54" s="255"/>
      <c r="AJ54" s="255"/>
      <c r="AK54" s="255"/>
      <c r="AL54" s="255"/>
      <c r="AM54" s="23"/>
      <c r="AN54" s="23"/>
      <c r="AO54" s="23"/>
      <c r="AP54" s="23"/>
      <c r="AQ54" s="23"/>
      <c r="AR54" s="23"/>
      <c r="AS54" s="23"/>
      <c r="AT54" s="23"/>
      <c r="AU54" s="23"/>
      <c r="AV54" s="23"/>
      <c r="AW54" s="23"/>
      <c r="AX54" s="23"/>
      <c r="AY54" s="23"/>
      <c r="AZ54" s="23"/>
      <c r="BA54" s="23"/>
      <c r="BB54" s="23"/>
      <c r="BC54" s="23"/>
      <c r="BD54" s="23"/>
      <c r="BE54" s="23"/>
      <c r="BF54" s="23"/>
      <c r="BG54" s="23"/>
      <c r="BH54" s="23"/>
      <c r="BI54" s="23"/>
      <c r="BJ54" s="23"/>
      <c r="BK54" s="23"/>
      <c r="BL54" s="23"/>
      <c r="BM54" s="23"/>
      <c r="BN54" s="23"/>
      <c r="BO54" s="23"/>
      <c r="BP54" s="23"/>
      <c r="BQ54" s="23"/>
      <c r="BR54" s="23"/>
      <c r="BS54" s="23"/>
      <c r="BT54" s="23"/>
      <c r="BU54" s="23"/>
      <c r="BV54" s="23"/>
      <c r="BW54" s="23"/>
      <c r="BX54" s="23"/>
      <c r="BY54" s="23"/>
      <c r="BZ54" s="23"/>
      <c r="CA54" s="23"/>
      <c r="CB54" s="23"/>
      <c r="CC54" s="23"/>
      <c r="CD54" s="23"/>
      <c r="CE54" s="23"/>
      <c r="CF54" s="23"/>
      <c r="CG54" s="23"/>
      <c r="CH54" s="23"/>
      <c r="CI54" s="23"/>
      <c r="CJ54" s="23"/>
      <c r="CK54" s="23"/>
      <c r="CL54" s="23"/>
      <c r="CM54" s="23"/>
      <c r="CN54" s="23"/>
    </row>
    <row r="55" spans="1:92" ht="15.75" thickBot="1" x14ac:dyDescent="0.3">
      <c r="A55" s="26">
        <v>4000</v>
      </c>
      <c r="B55" s="123" t="s">
        <v>44</v>
      </c>
      <c r="C55" s="103" t="s">
        <v>49</v>
      </c>
      <c r="D55" s="42" t="s">
        <v>48</v>
      </c>
      <c r="E55" s="103" t="s">
        <v>66</v>
      </c>
      <c r="F55" s="42" t="s">
        <v>65</v>
      </c>
      <c r="G55" s="127" t="s">
        <v>25</v>
      </c>
      <c r="H55" s="18"/>
      <c r="I55" s="225">
        <f>MAX(I53,I51+I52-H50-I54)</f>
        <v>0</v>
      </c>
      <c r="J55" s="225">
        <f t="shared" ref="J55:L55" si="13">MAX(J53,J51+J52-I56-J54)</f>
        <v>0</v>
      </c>
      <c r="K55" s="225">
        <f t="shared" si="13"/>
        <v>80</v>
      </c>
      <c r="L55" s="225">
        <f t="shared" si="13"/>
        <v>71</v>
      </c>
      <c r="M55" s="9">
        <f>MAX(M53,M51+M52-L56-M54)</f>
        <v>99</v>
      </c>
      <c r="N55" s="225">
        <f t="shared" ref="N55:AF55" si="14">MAX(N53,N51+N52-M56-N54)</f>
        <v>105</v>
      </c>
      <c r="O55" s="225">
        <f t="shared" si="14"/>
        <v>163</v>
      </c>
      <c r="P55" s="225">
        <f t="shared" si="14"/>
        <v>28</v>
      </c>
      <c r="Q55" s="225">
        <f t="shared" si="14"/>
        <v>121</v>
      </c>
      <c r="R55" s="225">
        <f t="shared" si="14"/>
        <v>199</v>
      </c>
      <c r="S55" s="225">
        <f t="shared" si="14"/>
        <v>115</v>
      </c>
      <c r="T55" s="225">
        <f t="shared" si="14"/>
        <v>168</v>
      </c>
      <c r="U55" s="225">
        <f t="shared" si="14"/>
        <v>168</v>
      </c>
      <c r="V55" s="225">
        <f t="shared" si="14"/>
        <v>132</v>
      </c>
      <c r="W55" s="225">
        <f t="shared" si="14"/>
        <v>160</v>
      </c>
      <c r="X55" s="225">
        <f t="shared" si="14"/>
        <v>136</v>
      </c>
      <c r="Y55" s="225">
        <f t="shared" si="14"/>
        <v>152</v>
      </c>
      <c r="Z55" s="225">
        <f t="shared" si="14"/>
        <v>56</v>
      </c>
      <c r="AA55" s="225">
        <f t="shared" si="14"/>
        <v>131</v>
      </c>
      <c r="AB55" s="225">
        <f t="shared" si="14"/>
        <v>115</v>
      </c>
      <c r="AC55" s="225">
        <f t="shared" si="14"/>
        <v>17</v>
      </c>
      <c r="AD55" s="225">
        <f t="shared" si="14"/>
        <v>56</v>
      </c>
      <c r="AE55" s="225">
        <f t="shared" si="14"/>
        <v>153</v>
      </c>
      <c r="AF55" s="225">
        <f t="shared" si="14"/>
        <v>113</v>
      </c>
      <c r="AG55" s="225"/>
      <c r="AH55" s="225"/>
      <c r="AI55" s="225"/>
      <c r="AJ55" s="225"/>
      <c r="AK55" s="272"/>
      <c r="AL55" s="272"/>
      <c r="AM55" s="23"/>
      <c r="AN55" s="23"/>
      <c r="AO55" s="23"/>
      <c r="AP55" s="23"/>
      <c r="AQ55" s="23"/>
      <c r="AR55" s="23"/>
      <c r="AS55" s="23"/>
      <c r="AT55" s="23"/>
      <c r="AU55" s="23"/>
      <c r="AV55" s="23"/>
      <c r="AW55" s="23"/>
      <c r="AX55" s="23"/>
      <c r="AY55" s="23"/>
      <c r="AZ55" s="23"/>
      <c r="BA55" s="23"/>
      <c r="BB55" s="23"/>
      <c r="BC55" s="23"/>
      <c r="BD55" s="23"/>
      <c r="BE55" s="23"/>
      <c r="BF55" s="23"/>
      <c r="BG55" s="23"/>
      <c r="BH55" s="23"/>
      <c r="BI55" s="23"/>
      <c r="BJ55" s="23"/>
      <c r="BK55" s="23"/>
      <c r="BL55" s="23"/>
      <c r="BM55" s="23"/>
      <c r="BN55" s="23"/>
      <c r="BO55" s="23"/>
      <c r="BP55" s="23"/>
      <c r="BQ55" s="23"/>
      <c r="BR55" s="23"/>
      <c r="BS55" s="23"/>
      <c r="BT55" s="23"/>
      <c r="BU55" s="23"/>
      <c r="BV55" s="23"/>
      <c r="BW55" s="23"/>
      <c r="BX55" s="23"/>
      <c r="BY55" s="23"/>
      <c r="BZ55" s="23"/>
      <c r="CA55" s="23"/>
      <c r="CB55" s="23"/>
      <c r="CC55" s="23"/>
      <c r="CD55" s="23"/>
      <c r="CE55" s="23"/>
      <c r="CF55" s="23"/>
      <c r="CG55" s="23"/>
      <c r="CH55" s="23"/>
      <c r="CI55" s="23"/>
      <c r="CJ55" s="23"/>
      <c r="CK55" s="23"/>
      <c r="CL55" s="23"/>
      <c r="CM55" s="23"/>
      <c r="CN55" s="23"/>
    </row>
    <row r="56" spans="1:92" ht="15.75" thickBot="1" x14ac:dyDescent="0.3">
      <c r="A56" s="26">
        <v>4000</v>
      </c>
      <c r="B56" s="123" t="s">
        <v>44</v>
      </c>
      <c r="C56" s="103" t="s">
        <v>49</v>
      </c>
      <c r="D56" s="42" t="s">
        <v>48</v>
      </c>
      <c r="E56" s="103" t="s">
        <v>49</v>
      </c>
      <c r="F56" s="42" t="s">
        <v>48</v>
      </c>
      <c r="G56" s="167" t="s">
        <v>37</v>
      </c>
      <c r="H56" s="42"/>
      <c r="I56" s="7">
        <f>H50+I55+I54-I51</f>
        <v>300</v>
      </c>
      <c r="J56" s="7">
        <f t="shared" ref="J56:AF56" si="15">I56+J55+J54-J51</f>
        <v>300</v>
      </c>
      <c r="K56" s="7">
        <f t="shared" si="15"/>
        <v>300</v>
      </c>
      <c r="L56" s="7">
        <f t="shared" si="15"/>
        <v>361</v>
      </c>
      <c r="M56" s="7">
        <f t="shared" si="15"/>
        <v>300</v>
      </c>
      <c r="N56" s="7">
        <f t="shared" si="15"/>
        <v>325</v>
      </c>
      <c r="O56" s="7">
        <f t="shared" si="15"/>
        <v>448</v>
      </c>
      <c r="P56" s="7">
        <f t="shared" si="15"/>
        <v>356</v>
      </c>
      <c r="Q56" s="7">
        <f t="shared" si="15"/>
        <v>307</v>
      </c>
      <c r="R56" s="7">
        <f t="shared" si="15"/>
        <v>426</v>
      </c>
      <c r="S56" s="7">
        <f t="shared" si="15"/>
        <v>391</v>
      </c>
      <c r="T56" s="7">
        <f t="shared" si="15"/>
        <v>519</v>
      </c>
      <c r="U56" s="7">
        <f t="shared" si="15"/>
        <v>647</v>
      </c>
      <c r="V56" s="7">
        <f t="shared" si="15"/>
        <v>709</v>
      </c>
      <c r="W56" s="7">
        <f t="shared" si="15"/>
        <v>749</v>
      </c>
      <c r="X56" s="7">
        <f t="shared" si="15"/>
        <v>715</v>
      </c>
      <c r="Y56" s="7">
        <f t="shared" si="15"/>
        <v>697</v>
      </c>
      <c r="Z56" s="7">
        <f t="shared" si="15"/>
        <v>573</v>
      </c>
      <c r="AA56" s="7">
        <f t="shared" si="15"/>
        <v>694</v>
      </c>
      <c r="AB56" s="7">
        <f t="shared" si="15"/>
        <v>679</v>
      </c>
      <c r="AC56" s="7">
        <f t="shared" si="15"/>
        <v>686</v>
      </c>
      <c r="AD56" s="7">
        <f t="shared" si="15"/>
        <v>552</v>
      </c>
      <c r="AE56" s="7">
        <f t="shared" si="15"/>
        <v>595</v>
      </c>
      <c r="AF56" s="7">
        <f t="shared" si="15"/>
        <v>608</v>
      </c>
      <c r="AG56" s="224"/>
      <c r="AH56" s="224"/>
      <c r="AI56" s="224"/>
      <c r="AJ56" s="224"/>
      <c r="AK56" s="273"/>
      <c r="AL56" s="273"/>
      <c r="AM56" s="23"/>
      <c r="AN56" s="23"/>
      <c r="AO56" s="23"/>
      <c r="AP56" s="23"/>
      <c r="AQ56" s="23"/>
      <c r="AR56" s="23"/>
      <c r="AS56" s="23"/>
      <c r="AT56" s="23"/>
      <c r="AU56" s="23"/>
      <c r="AV56" s="23"/>
      <c r="AW56" s="23"/>
      <c r="AX56" s="23"/>
      <c r="AY56" s="23"/>
      <c r="AZ56" s="23"/>
      <c r="BA56" s="23"/>
      <c r="BB56" s="23"/>
      <c r="BC56" s="23"/>
      <c r="BD56" s="23"/>
      <c r="BE56" s="23"/>
      <c r="BF56" s="23"/>
      <c r="BG56" s="23"/>
      <c r="BH56" s="23"/>
      <c r="BI56" s="23"/>
      <c r="BJ56" s="23"/>
      <c r="BK56" s="23"/>
      <c r="BL56" s="23"/>
      <c r="BM56" s="23"/>
      <c r="BN56" s="23"/>
      <c r="BO56" s="23"/>
      <c r="BP56" s="23"/>
      <c r="BQ56" s="23"/>
      <c r="BR56" s="23"/>
      <c r="BS56" s="23"/>
      <c r="BT56" s="23"/>
      <c r="BU56" s="23"/>
      <c r="BV56" s="23"/>
      <c r="BW56" s="23"/>
      <c r="BX56" s="23"/>
      <c r="BY56" s="23"/>
      <c r="BZ56" s="23"/>
      <c r="CA56" s="23"/>
      <c r="CB56" s="23"/>
      <c r="CC56" s="23"/>
      <c r="CD56" s="23"/>
      <c r="CE56" s="23"/>
      <c r="CF56" s="23"/>
      <c r="CG56" s="23"/>
      <c r="CH56" s="23"/>
      <c r="CI56" s="23"/>
      <c r="CJ56" s="23"/>
      <c r="CK56" s="23"/>
      <c r="CL56" s="23"/>
      <c r="CM56" s="23"/>
      <c r="CN56" s="23"/>
    </row>
    <row r="57" spans="1:92" x14ac:dyDescent="0.25">
      <c r="D57" s="23"/>
      <c r="E57" s="23"/>
      <c r="F57" s="23"/>
      <c r="G57" s="23"/>
    </row>
    <row r="58" spans="1:92" x14ac:dyDescent="0.25">
      <c r="D58" s="23"/>
      <c r="E58" s="23"/>
      <c r="F58" s="23"/>
      <c r="G58" s="23"/>
    </row>
    <row r="59" spans="1:92" x14ac:dyDescent="0.25">
      <c r="D59" s="23"/>
      <c r="E59" s="23"/>
      <c r="F59" s="23"/>
      <c r="G59" s="23"/>
    </row>
    <row r="60" spans="1:92" x14ac:dyDescent="0.25">
      <c r="D60" s="23"/>
      <c r="E60" s="23"/>
      <c r="F60" s="23"/>
      <c r="G60" s="23"/>
    </row>
    <row r="61" spans="1:92" x14ac:dyDescent="0.25">
      <c r="D61" s="23"/>
      <c r="E61" s="23"/>
      <c r="F61" s="23"/>
      <c r="G61" s="23"/>
    </row>
    <row r="62" spans="1:92" x14ac:dyDescent="0.25">
      <c r="D62" s="23"/>
      <c r="E62" s="23"/>
      <c r="F62" s="23"/>
      <c r="G62" s="23"/>
    </row>
    <row r="63" spans="1:92" x14ac:dyDescent="0.25">
      <c r="D63" s="23"/>
      <c r="E63" s="23"/>
      <c r="F63" s="23"/>
      <c r="G63" s="23"/>
    </row>
    <row r="64" spans="1:92" x14ac:dyDescent="0.25">
      <c r="D64" s="23"/>
      <c r="E64" s="23"/>
      <c r="F64" s="23"/>
      <c r="G64" s="23"/>
    </row>
    <row r="65" spans="4:7" x14ac:dyDescent="0.25">
      <c r="D65" s="23"/>
      <c r="E65" s="23"/>
      <c r="F65" s="23"/>
      <c r="G65" s="23"/>
    </row>
    <row r="66" spans="4:7" x14ac:dyDescent="0.25">
      <c r="D66" s="23"/>
      <c r="E66" s="23"/>
      <c r="F66" s="23"/>
      <c r="G66" s="23"/>
    </row>
    <row r="67" spans="4:7" x14ac:dyDescent="0.25">
      <c r="D67" s="23"/>
      <c r="E67" s="23"/>
      <c r="F67" s="23"/>
      <c r="G67" s="23"/>
    </row>
    <row r="68" spans="4:7" x14ac:dyDescent="0.25">
      <c r="D68" s="23"/>
      <c r="E68" s="23"/>
      <c r="F68" s="23"/>
      <c r="G68" s="23"/>
    </row>
    <row r="69" spans="4:7" x14ac:dyDescent="0.25">
      <c r="D69" s="23"/>
      <c r="E69" s="23"/>
      <c r="F69" s="23"/>
      <c r="G69" s="23"/>
    </row>
    <row r="70" spans="4:7" x14ac:dyDescent="0.25">
      <c r="D70" s="23"/>
      <c r="E70" s="23"/>
      <c r="F70" s="23"/>
      <c r="G70" s="23"/>
    </row>
    <row r="71" spans="4:7" x14ac:dyDescent="0.25">
      <c r="D71" s="23"/>
      <c r="E71" s="23"/>
      <c r="F71" s="23"/>
      <c r="G71" s="23"/>
    </row>
    <row r="72" spans="4:7" x14ac:dyDescent="0.25">
      <c r="D72" s="23"/>
      <c r="E72" s="23"/>
      <c r="F72" s="23"/>
      <c r="G72" s="23"/>
    </row>
    <row r="73" spans="4:7" x14ac:dyDescent="0.25">
      <c r="D73" s="23"/>
      <c r="E73" s="23"/>
      <c r="F73" s="23"/>
      <c r="G73" s="23"/>
    </row>
    <row r="74" spans="4:7" x14ac:dyDescent="0.25">
      <c r="D74" s="23"/>
      <c r="E74" s="23"/>
      <c r="F74" s="23"/>
      <c r="G74" s="23"/>
    </row>
    <row r="75" spans="4:7" x14ac:dyDescent="0.25">
      <c r="D75" s="23"/>
      <c r="E75" s="23"/>
      <c r="F75" s="23"/>
      <c r="G75" s="23"/>
    </row>
    <row r="76" spans="4:7" x14ac:dyDescent="0.25">
      <c r="D76" s="23"/>
      <c r="E76" s="23"/>
      <c r="F76" s="23"/>
      <c r="G76" s="23"/>
    </row>
    <row r="77" spans="4:7" x14ac:dyDescent="0.25">
      <c r="D77" s="23"/>
      <c r="E77" s="23"/>
      <c r="F77" s="23"/>
      <c r="G77" s="23"/>
    </row>
    <row r="78" spans="4:7" x14ac:dyDescent="0.25">
      <c r="D78" s="23"/>
      <c r="E78" s="23"/>
      <c r="F78" s="23"/>
      <c r="G78" s="23"/>
    </row>
    <row r="79" spans="4:7" x14ac:dyDescent="0.25">
      <c r="D79" s="23"/>
      <c r="E79" s="23"/>
      <c r="F79" s="23"/>
      <c r="G79" s="23"/>
    </row>
    <row r="80" spans="4:7" x14ac:dyDescent="0.25">
      <c r="D80" s="23"/>
      <c r="E80" s="23"/>
      <c r="F80" s="23"/>
      <c r="G80" s="23"/>
    </row>
    <row r="81" spans="4:7" x14ac:dyDescent="0.25">
      <c r="D81" s="23"/>
      <c r="E81" s="23"/>
      <c r="F81" s="23"/>
      <c r="G81" s="23"/>
    </row>
    <row r="82" spans="4:7" x14ac:dyDescent="0.25">
      <c r="D82" s="23"/>
      <c r="E82" s="23"/>
      <c r="F82" s="23"/>
      <c r="G82" s="23"/>
    </row>
    <row r="83" spans="4:7" x14ac:dyDescent="0.25">
      <c r="D83" s="23"/>
      <c r="E83" s="23"/>
      <c r="F83" s="23"/>
      <c r="G83" s="23"/>
    </row>
    <row r="84" spans="4:7" x14ac:dyDescent="0.25">
      <c r="D84" s="23"/>
      <c r="E84" s="23"/>
      <c r="F84" s="23"/>
      <c r="G84" s="23"/>
    </row>
    <row r="85" spans="4:7" x14ac:dyDescent="0.25">
      <c r="D85" s="23"/>
      <c r="E85" s="23"/>
      <c r="F85" s="23"/>
      <c r="G85" s="23"/>
    </row>
    <row r="86" spans="4:7" x14ac:dyDescent="0.25">
      <c r="D86" s="23"/>
      <c r="E86" s="23"/>
      <c r="F86" s="23"/>
      <c r="G86" s="23"/>
    </row>
    <row r="87" spans="4:7" x14ac:dyDescent="0.25">
      <c r="D87" s="23"/>
      <c r="E87" s="23"/>
      <c r="F87" s="23"/>
      <c r="G87" s="23"/>
    </row>
    <row r="88" spans="4:7" x14ac:dyDescent="0.25">
      <c r="D88" s="23"/>
      <c r="E88" s="23"/>
      <c r="F88" s="23"/>
      <c r="G88" s="23"/>
    </row>
    <row r="89" spans="4:7" x14ac:dyDescent="0.25">
      <c r="D89" s="23"/>
      <c r="E89" s="23"/>
      <c r="F89" s="23"/>
      <c r="G89" s="23"/>
    </row>
    <row r="90" spans="4:7" x14ac:dyDescent="0.25">
      <c r="D90" s="23"/>
      <c r="E90" s="23"/>
      <c r="F90" s="23"/>
      <c r="G90" s="23"/>
    </row>
    <row r="91" spans="4:7" x14ac:dyDescent="0.25">
      <c r="D91" s="23"/>
      <c r="E91" s="23"/>
      <c r="F91" s="23"/>
      <c r="G91" s="23"/>
    </row>
    <row r="92" spans="4:7" x14ac:dyDescent="0.25">
      <c r="D92" s="23"/>
      <c r="E92" s="23"/>
      <c r="F92" s="23"/>
      <c r="G92" s="23"/>
    </row>
    <row r="93" spans="4:7" x14ac:dyDescent="0.25">
      <c r="D93" s="23"/>
      <c r="E93" s="23"/>
      <c r="F93" s="23"/>
      <c r="G93" s="23"/>
    </row>
    <row r="94" spans="4:7" x14ac:dyDescent="0.25">
      <c r="D94" s="23"/>
      <c r="E94" s="23"/>
      <c r="F94" s="23"/>
      <c r="G94" s="23"/>
    </row>
    <row r="95" spans="4:7" x14ac:dyDescent="0.25">
      <c r="D95" s="23"/>
      <c r="E95" s="23"/>
      <c r="F95" s="23"/>
      <c r="G95" s="23"/>
    </row>
    <row r="96" spans="4:7" x14ac:dyDescent="0.25">
      <c r="D96" s="23"/>
      <c r="E96" s="23"/>
      <c r="F96" s="23"/>
      <c r="G96" s="23"/>
    </row>
    <row r="97" spans="4:7" x14ac:dyDescent="0.25">
      <c r="D97" s="23"/>
      <c r="E97" s="23"/>
      <c r="F97" s="23"/>
      <c r="G97" s="23"/>
    </row>
    <row r="98" spans="4:7" x14ac:dyDescent="0.25">
      <c r="D98" s="23"/>
      <c r="E98" s="23"/>
      <c r="F98" s="23"/>
      <c r="G98" s="23"/>
    </row>
    <row r="99" spans="4:7" x14ac:dyDescent="0.25">
      <c r="D99" s="23"/>
      <c r="E99" s="23"/>
      <c r="F99" s="23"/>
      <c r="G99" s="23"/>
    </row>
    <row r="100" spans="4:7" x14ac:dyDescent="0.25">
      <c r="D100" s="23"/>
      <c r="E100" s="23"/>
      <c r="F100" s="23"/>
      <c r="G100" s="23"/>
    </row>
    <row r="101" spans="4:7" x14ac:dyDescent="0.25">
      <c r="D101" s="23"/>
      <c r="E101" s="23"/>
      <c r="F101" s="23"/>
      <c r="G101" s="23"/>
    </row>
    <row r="102" spans="4:7" x14ac:dyDescent="0.25">
      <c r="D102" s="23"/>
      <c r="E102" s="23"/>
      <c r="F102" s="23"/>
      <c r="G102" s="23"/>
    </row>
    <row r="103" spans="4:7" x14ac:dyDescent="0.25">
      <c r="D103" s="23"/>
      <c r="E103" s="23"/>
      <c r="F103" s="23"/>
      <c r="G103" s="23"/>
    </row>
    <row r="104" spans="4:7" x14ac:dyDescent="0.25">
      <c r="D104" s="23"/>
      <c r="E104" s="23"/>
      <c r="F104" s="23"/>
      <c r="G104" s="23"/>
    </row>
    <row r="105" spans="4:7" x14ac:dyDescent="0.25">
      <c r="D105" s="23"/>
      <c r="E105" s="23"/>
      <c r="F105" s="23"/>
      <c r="G105" s="23"/>
    </row>
    <row r="106" spans="4:7" x14ac:dyDescent="0.25">
      <c r="D106" s="23"/>
      <c r="E106" s="23"/>
      <c r="F106" s="23"/>
      <c r="G106" s="23"/>
    </row>
    <row r="107" spans="4:7" x14ac:dyDescent="0.25">
      <c r="D107" s="23"/>
      <c r="E107" s="23"/>
      <c r="F107" s="23"/>
      <c r="G107" s="23"/>
    </row>
    <row r="108" spans="4:7" x14ac:dyDescent="0.25">
      <c r="D108" s="23"/>
      <c r="E108" s="23"/>
      <c r="F108" s="23"/>
      <c r="G108" s="23"/>
    </row>
    <row r="109" spans="4:7" x14ac:dyDescent="0.25">
      <c r="D109" s="23"/>
      <c r="E109" s="23"/>
      <c r="F109" s="23"/>
      <c r="G109" s="23"/>
    </row>
    <row r="110" spans="4:7" x14ac:dyDescent="0.25">
      <c r="D110" s="23"/>
      <c r="E110" s="23"/>
      <c r="F110" s="23"/>
      <c r="G110" s="23"/>
    </row>
    <row r="111" spans="4:7" x14ac:dyDescent="0.25">
      <c r="D111" s="23"/>
      <c r="E111" s="23"/>
      <c r="F111" s="23"/>
      <c r="G111" s="23"/>
    </row>
    <row r="112" spans="4:7" x14ac:dyDescent="0.25">
      <c r="D112" s="23"/>
      <c r="E112" s="23"/>
      <c r="F112" s="23"/>
      <c r="G112" s="23"/>
    </row>
    <row r="113" spans="4:7" x14ac:dyDescent="0.25">
      <c r="D113" s="23"/>
      <c r="E113" s="23"/>
      <c r="F113" s="23"/>
      <c r="G113" s="23"/>
    </row>
    <row r="114" spans="4:7" x14ac:dyDescent="0.25">
      <c r="D114" s="23"/>
      <c r="E114" s="23"/>
      <c r="F114" s="23"/>
      <c r="G114" s="23"/>
    </row>
    <row r="115" spans="4:7" x14ac:dyDescent="0.25">
      <c r="D115" s="23"/>
      <c r="E115" s="23"/>
      <c r="F115" s="23"/>
      <c r="G115" s="23"/>
    </row>
    <row r="116" spans="4:7" x14ac:dyDescent="0.25">
      <c r="D116" s="23"/>
      <c r="E116" s="23"/>
      <c r="F116" s="23"/>
      <c r="G116" s="23"/>
    </row>
    <row r="117" spans="4:7" x14ac:dyDescent="0.25">
      <c r="D117" s="23"/>
      <c r="E117" s="23"/>
      <c r="F117" s="23"/>
      <c r="G117" s="23"/>
    </row>
    <row r="118" spans="4:7" x14ac:dyDescent="0.25">
      <c r="D118" s="23"/>
      <c r="E118" s="23"/>
      <c r="F118" s="23"/>
      <c r="G118" s="23"/>
    </row>
    <row r="119" spans="4:7" x14ac:dyDescent="0.25">
      <c r="D119" s="23"/>
      <c r="E119" s="23"/>
      <c r="F119" s="23"/>
      <c r="G119" s="23"/>
    </row>
    <row r="120" spans="4:7" x14ac:dyDescent="0.25">
      <c r="D120" s="23"/>
      <c r="E120" s="23"/>
      <c r="F120" s="23"/>
      <c r="G120" s="23"/>
    </row>
    <row r="121" spans="4:7" x14ac:dyDescent="0.25">
      <c r="D121" s="23"/>
      <c r="E121" s="23"/>
      <c r="F121" s="23"/>
      <c r="G121" s="23"/>
    </row>
    <row r="122" spans="4:7" x14ac:dyDescent="0.25">
      <c r="D122" s="23"/>
      <c r="E122" s="23"/>
      <c r="F122" s="23"/>
      <c r="G122" s="23"/>
    </row>
    <row r="123" spans="4:7" x14ac:dyDescent="0.25">
      <c r="D123" s="23"/>
      <c r="E123" s="23"/>
      <c r="F123" s="23"/>
      <c r="G123" s="23"/>
    </row>
    <row r="124" spans="4:7" x14ac:dyDescent="0.25">
      <c r="D124" s="23"/>
      <c r="E124" s="23"/>
      <c r="F124" s="23"/>
      <c r="G124" s="23"/>
    </row>
    <row r="125" spans="4:7" x14ac:dyDescent="0.25">
      <c r="D125" s="23"/>
      <c r="E125" s="23"/>
      <c r="F125" s="23"/>
      <c r="G125" s="23"/>
    </row>
    <row r="126" spans="4:7" x14ac:dyDescent="0.25">
      <c r="D126" s="23"/>
      <c r="E126" s="23"/>
      <c r="F126" s="23"/>
      <c r="G126" s="23"/>
    </row>
    <row r="127" spans="4:7" x14ac:dyDescent="0.25">
      <c r="D127" s="23"/>
      <c r="E127" s="23"/>
      <c r="F127" s="23"/>
      <c r="G127" s="23"/>
    </row>
    <row r="128" spans="4:7" x14ac:dyDescent="0.25">
      <c r="D128" s="23"/>
      <c r="E128" s="23"/>
      <c r="F128" s="23"/>
      <c r="G128" s="23"/>
    </row>
    <row r="129" spans="4:7" x14ac:dyDescent="0.25">
      <c r="D129" s="23"/>
      <c r="E129" s="23"/>
      <c r="F129" s="23"/>
      <c r="G129" s="23"/>
    </row>
    <row r="130" spans="4:7" x14ac:dyDescent="0.25">
      <c r="D130" s="23"/>
      <c r="E130" s="23"/>
      <c r="F130" s="23"/>
      <c r="G130" s="23"/>
    </row>
    <row r="131" spans="4:7" x14ac:dyDescent="0.25">
      <c r="D131" s="23"/>
      <c r="E131" s="23"/>
      <c r="F131" s="23"/>
      <c r="G131" s="23"/>
    </row>
    <row r="132" spans="4:7" x14ac:dyDescent="0.25">
      <c r="D132" s="23"/>
      <c r="E132" s="23"/>
      <c r="F132" s="23"/>
      <c r="G132" s="23"/>
    </row>
    <row r="133" spans="4:7" x14ac:dyDescent="0.25">
      <c r="D133" s="23"/>
      <c r="E133" s="23"/>
      <c r="F133" s="23"/>
      <c r="G133" s="23"/>
    </row>
    <row r="134" spans="4:7" x14ac:dyDescent="0.25">
      <c r="D134" s="23"/>
      <c r="E134" s="23"/>
      <c r="F134" s="23"/>
      <c r="G134" s="23"/>
    </row>
    <row r="135" spans="4:7" x14ac:dyDescent="0.25">
      <c r="D135" s="23"/>
      <c r="E135" s="23"/>
      <c r="F135" s="23"/>
      <c r="G135" s="23"/>
    </row>
    <row r="136" spans="4:7" x14ac:dyDescent="0.25">
      <c r="D136" s="23"/>
      <c r="E136" s="23"/>
      <c r="F136" s="23"/>
      <c r="G136" s="23"/>
    </row>
    <row r="137" spans="4:7" x14ac:dyDescent="0.25">
      <c r="D137" s="23"/>
      <c r="E137" s="23"/>
      <c r="F137" s="23"/>
      <c r="G137" s="23"/>
    </row>
    <row r="138" spans="4:7" x14ac:dyDescent="0.25">
      <c r="D138" s="23"/>
      <c r="E138" s="23"/>
      <c r="F138" s="23"/>
      <c r="G138" s="23"/>
    </row>
    <row r="139" spans="4:7" x14ac:dyDescent="0.25">
      <c r="D139" s="23"/>
      <c r="E139" s="23"/>
      <c r="F139" s="23"/>
      <c r="G139" s="23"/>
    </row>
    <row r="140" spans="4:7" x14ac:dyDescent="0.25">
      <c r="D140" s="23"/>
      <c r="E140" s="23"/>
      <c r="F140" s="23"/>
      <c r="G140" s="23"/>
    </row>
    <row r="141" spans="4:7" x14ac:dyDescent="0.25">
      <c r="D141" s="23"/>
      <c r="E141" s="23"/>
      <c r="F141" s="23"/>
      <c r="G141" s="23"/>
    </row>
    <row r="142" spans="4:7" x14ac:dyDescent="0.25">
      <c r="D142" s="23"/>
      <c r="E142" s="23"/>
      <c r="F142" s="23"/>
      <c r="G142" s="23"/>
    </row>
    <row r="143" spans="4:7" x14ac:dyDescent="0.25">
      <c r="D143" s="23"/>
      <c r="E143" s="23"/>
      <c r="F143" s="23"/>
      <c r="G143" s="23"/>
    </row>
    <row r="144" spans="4:7" x14ac:dyDescent="0.25">
      <c r="D144" s="23"/>
      <c r="E144" s="23"/>
      <c r="F144" s="23"/>
      <c r="G144" s="23"/>
    </row>
    <row r="145" spans="4:7" x14ac:dyDescent="0.25">
      <c r="D145" s="23"/>
      <c r="E145" s="23"/>
      <c r="F145" s="23"/>
      <c r="G145" s="23"/>
    </row>
    <row r="146" spans="4:7" x14ac:dyDescent="0.25">
      <c r="D146" s="23"/>
      <c r="E146" s="23"/>
      <c r="F146" s="23"/>
      <c r="G146" s="23"/>
    </row>
    <row r="147" spans="4:7" x14ac:dyDescent="0.25">
      <c r="D147" s="23"/>
      <c r="E147" s="23"/>
      <c r="F147" s="23"/>
      <c r="G147" s="23"/>
    </row>
    <row r="148" spans="4:7" x14ac:dyDescent="0.25">
      <c r="D148" s="23"/>
      <c r="E148" s="23"/>
      <c r="F148" s="23"/>
      <c r="G148" s="23"/>
    </row>
    <row r="149" spans="4:7" x14ac:dyDescent="0.25">
      <c r="D149" s="23"/>
      <c r="E149" s="23"/>
      <c r="F149" s="23"/>
      <c r="G149" s="23"/>
    </row>
    <row r="150" spans="4:7" x14ac:dyDescent="0.25">
      <c r="D150" s="23"/>
      <c r="E150" s="23"/>
      <c r="F150" s="23"/>
      <c r="G150" s="23"/>
    </row>
    <row r="151" spans="4:7" x14ac:dyDescent="0.25">
      <c r="D151" s="23"/>
      <c r="E151" s="23"/>
      <c r="F151" s="23"/>
      <c r="G151" s="23"/>
    </row>
    <row r="152" spans="4:7" x14ac:dyDescent="0.25">
      <c r="D152" s="23"/>
      <c r="E152" s="23"/>
      <c r="F152" s="23"/>
      <c r="G152" s="23"/>
    </row>
    <row r="153" spans="4:7" x14ac:dyDescent="0.25">
      <c r="D153" s="23"/>
      <c r="E153" s="23"/>
      <c r="F153" s="23"/>
      <c r="G153" s="23"/>
    </row>
    <row r="154" spans="4:7" x14ac:dyDescent="0.25">
      <c r="D154" s="23"/>
      <c r="E154" s="23"/>
      <c r="F154" s="23"/>
      <c r="G154" s="23"/>
    </row>
    <row r="155" spans="4:7" x14ac:dyDescent="0.25">
      <c r="D155" s="23"/>
      <c r="E155" s="23"/>
      <c r="F155" s="23"/>
      <c r="G155" s="23"/>
    </row>
    <row r="156" spans="4:7" x14ac:dyDescent="0.25">
      <c r="D156" s="23"/>
      <c r="E156" s="23"/>
      <c r="F156" s="23"/>
      <c r="G156" s="23"/>
    </row>
    <row r="157" spans="4:7" x14ac:dyDescent="0.25">
      <c r="D157" s="23"/>
      <c r="E157" s="23"/>
      <c r="F157" s="23"/>
      <c r="G157" s="23"/>
    </row>
    <row r="158" spans="4:7" x14ac:dyDescent="0.25">
      <c r="D158" s="23"/>
      <c r="E158" s="23"/>
      <c r="F158" s="23"/>
      <c r="G158" s="23"/>
    </row>
    <row r="159" spans="4:7" x14ac:dyDescent="0.25">
      <c r="D159" s="23"/>
      <c r="E159" s="23"/>
      <c r="F159" s="23"/>
      <c r="G159" s="23"/>
    </row>
    <row r="160" spans="4:7" x14ac:dyDescent="0.25">
      <c r="D160" s="23"/>
      <c r="E160" s="23"/>
      <c r="F160" s="23"/>
      <c r="G160" s="23"/>
    </row>
    <row r="161" spans="4:7" x14ac:dyDescent="0.25">
      <c r="D161" s="23"/>
      <c r="E161" s="23"/>
      <c r="F161" s="23"/>
      <c r="G161" s="23"/>
    </row>
    <row r="162" spans="4:7" x14ac:dyDescent="0.25">
      <c r="D162" s="23"/>
      <c r="E162" s="23"/>
      <c r="F162" s="23"/>
      <c r="G162" s="23"/>
    </row>
    <row r="163" spans="4:7" x14ac:dyDescent="0.25">
      <c r="D163" s="23"/>
      <c r="E163" s="23"/>
      <c r="F163" s="23"/>
      <c r="G163" s="23"/>
    </row>
    <row r="164" spans="4:7" x14ac:dyDescent="0.25">
      <c r="D164" s="23"/>
      <c r="E164" s="23"/>
      <c r="F164" s="23"/>
      <c r="G164" s="23"/>
    </row>
    <row r="165" spans="4:7" x14ac:dyDescent="0.25">
      <c r="D165" s="23"/>
      <c r="E165" s="23"/>
      <c r="F165" s="23"/>
      <c r="G165" s="23"/>
    </row>
    <row r="166" spans="4:7" x14ac:dyDescent="0.25">
      <c r="D166" s="23"/>
      <c r="E166" s="23"/>
      <c r="F166" s="23"/>
      <c r="G166" s="23"/>
    </row>
    <row r="167" spans="4:7" x14ac:dyDescent="0.25">
      <c r="D167" s="23"/>
      <c r="E167" s="23"/>
      <c r="F167" s="23"/>
      <c r="G167" s="23"/>
    </row>
    <row r="168" spans="4:7" x14ac:dyDescent="0.25">
      <c r="D168" s="23"/>
      <c r="E168" s="23"/>
      <c r="F168" s="23"/>
      <c r="G168" s="23"/>
    </row>
    <row r="169" spans="4:7" x14ac:dyDescent="0.25">
      <c r="D169" s="23"/>
      <c r="E169" s="23"/>
      <c r="F169" s="23"/>
      <c r="G169" s="23"/>
    </row>
    <row r="170" spans="4:7" x14ac:dyDescent="0.25">
      <c r="D170" s="23"/>
      <c r="E170" s="23"/>
      <c r="F170" s="23"/>
      <c r="G170" s="23"/>
    </row>
    <row r="171" spans="4:7" x14ac:dyDescent="0.25">
      <c r="D171" s="23"/>
      <c r="E171" s="23"/>
      <c r="F171" s="23"/>
      <c r="G171" s="23"/>
    </row>
    <row r="172" spans="4:7" x14ac:dyDescent="0.25">
      <c r="D172" s="23"/>
      <c r="E172" s="23"/>
      <c r="F172" s="23"/>
      <c r="G172" s="23"/>
    </row>
    <row r="173" spans="4:7" x14ac:dyDescent="0.25">
      <c r="D173" s="23"/>
      <c r="E173" s="23"/>
      <c r="F173" s="23"/>
      <c r="G173" s="23"/>
    </row>
    <row r="174" spans="4:7" x14ac:dyDescent="0.25">
      <c r="D174" s="23"/>
      <c r="E174" s="23"/>
      <c r="F174" s="23"/>
      <c r="G174" s="23"/>
    </row>
    <row r="175" spans="4:7" x14ac:dyDescent="0.25">
      <c r="D175" s="23"/>
      <c r="E175" s="23"/>
      <c r="F175" s="23"/>
      <c r="G175" s="23"/>
    </row>
    <row r="176" spans="4:7" x14ac:dyDescent="0.25">
      <c r="D176" s="23"/>
      <c r="E176" s="23"/>
      <c r="F176" s="23"/>
      <c r="G176" s="23"/>
    </row>
    <row r="177" spans="4:7" x14ac:dyDescent="0.25">
      <c r="D177" s="23"/>
      <c r="E177" s="23"/>
      <c r="F177" s="23"/>
      <c r="G177" s="23"/>
    </row>
    <row r="178" spans="4:7" x14ac:dyDescent="0.25">
      <c r="D178" s="23"/>
      <c r="E178" s="23"/>
      <c r="F178" s="23"/>
      <c r="G178" s="23"/>
    </row>
    <row r="179" spans="4:7" x14ac:dyDescent="0.25">
      <c r="D179" s="23"/>
      <c r="E179" s="23"/>
      <c r="F179" s="23"/>
      <c r="G179" s="23"/>
    </row>
    <row r="180" spans="4:7" x14ac:dyDescent="0.25">
      <c r="D180" s="23"/>
      <c r="E180" s="23"/>
      <c r="F180" s="23"/>
      <c r="G180" s="23"/>
    </row>
    <row r="181" spans="4:7" x14ac:dyDescent="0.25">
      <c r="D181" s="23"/>
      <c r="E181" s="23"/>
      <c r="F181" s="23"/>
      <c r="G181" s="23"/>
    </row>
    <row r="182" spans="4:7" x14ac:dyDescent="0.25">
      <c r="D182" s="23"/>
      <c r="E182" s="23"/>
      <c r="F182" s="23"/>
      <c r="G182" s="23"/>
    </row>
    <row r="183" spans="4:7" x14ac:dyDescent="0.25">
      <c r="D183" s="23"/>
      <c r="E183" s="23"/>
      <c r="F183" s="23"/>
      <c r="G183" s="23"/>
    </row>
    <row r="184" spans="4:7" x14ac:dyDescent="0.25">
      <c r="D184" s="23"/>
      <c r="E184" s="23"/>
      <c r="F184" s="23"/>
      <c r="G184" s="23"/>
    </row>
    <row r="185" spans="4:7" x14ac:dyDescent="0.25">
      <c r="D185" s="23"/>
      <c r="E185" s="23"/>
      <c r="F185" s="23"/>
      <c r="G185" s="23"/>
    </row>
    <row r="186" spans="4:7" x14ac:dyDescent="0.25">
      <c r="D186" s="23"/>
      <c r="E186" s="23"/>
      <c r="F186" s="23"/>
      <c r="G186" s="23"/>
    </row>
    <row r="187" spans="4:7" x14ac:dyDescent="0.25">
      <c r="D187" s="23"/>
      <c r="E187" s="23"/>
      <c r="F187" s="23"/>
      <c r="G187" s="23"/>
    </row>
    <row r="188" spans="4:7" x14ac:dyDescent="0.25">
      <c r="D188" s="23"/>
      <c r="E188" s="23"/>
      <c r="F188" s="23"/>
      <c r="G188" s="23"/>
    </row>
    <row r="189" spans="4:7" x14ac:dyDescent="0.25">
      <c r="D189" s="23"/>
      <c r="E189" s="23"/>
      <c r="F189" s="23"/>
      <c r="G189" s="23"/>
    </row>
    <row r="190" spans="4:7" x14ac:dyDescent="0.25">
      <c r="D190" s="23"/>
      <c r="E190" s="23"/>
      <c r="F190" s="23"/>
      <c r="G190" s="23"/>
    </row>
    <row r="191" spans="4:7" x14ac:dyDescent="0.25">
      <c r="D191" s="23"/>
      <c r="E191" s="23"/>
      <c r="F191" s="23"/>
      <c r="G191" s="23"/>
    </row>
    <row r="192" spans="4:7" x14ac:dyDescent="0.25">
      <c r="D192" s="23"/>
      <c r="E192" s="23"/>
      <c r="F192" s="23"/>
      <c r="G192" s="23"/>
    </row>
    <row r="193" spans="4:7" x14ac:dyDescent="0.25">
      <c r="D193" s="23"/>
      <c r="E193" s="23"/>
      <c r="F193" s="23"/>
      <c r="G193" s="23"/>
    </row>
    <row r="194" spans="4:7" x14ac:dyDescent="0.25">
      <c r="D194" s="23"/>
      <c r="E194" s="23"/>
      <c r="F194" s="23"/>
      <c r="G194" s="23"/>
    </row>
    <row r="195" spans="4:7" x14ac:dyDescent="0.25">
      <c r="D195" s="23"/>
      <c r="E195" s="23"/>
      <c r="F195" s="23"/>
      <c r="G195" s="23"/>
    </row>
    <row r="196" spans="4:7" x14ac:dyDescent="0.25">
      <c r="D196" s="23"/>
      <c r="E196" s="23"/>
      <c r="F196" s="23"/>
      <c r="G196" s="23"/>
    </row>
    <row r="197" spans="4:7" x14ac:dyDescent="0.25">
      <c r="D197" s="23"/>
      <c r="E197" s="23"/>
      <c r="F197" s="23"/>
      <c r="G197" s="23"/>
    </row>
    <row r="198" spans="4:7" x14ac:dyDescent="0.25">
      <c r="D198" s="23"/>
      <c r="E198" s="23"/>
      <c r="F198" s="23"/>
      <c r="G198" s="23"/>
    </row>
    <row r="199" spans="4:7" x14ac:dyDescent="0.25">
      <c r="D199" s="23"/>
      <c r="E199" s="23"/>
      <c r="F199" s="23"/>
      <c r="G199" s="23"/>
    </row>
    <row r="200" spans="4:7" x14ac:dyDescent="0.25">
      <c r="D200" s="23"/>
      <c r="E200" s="23"/>
      <c r="F200" s="23"/>
      <c r="G200" s="23"/>
    </row>
    <row r="201" spans="4:7" x14ac:dyDescent="0.25">
      <c r="D201" s="23"/>
      <c r="E201" s="23"/>
      <c r="F201" s="23"/>
      <c r="G201" s="23"/>
    </row>
    <row r="202" spans="4:7" x14ac:dyDescent="0.25">
      <c r="D202" s="23"/>
      <c r="E202" s="23"/>
      <c r="F202" s="23"/>
      <c r="G202" s="23"/>
    </row>
    <row r="203" spans="4:7" x14ac:dyDescent="0.25">
      <c r="D203" s="23"/>
      <c r="E203" s="23"/>
      <c r="F203" s="23"/>
      <c r="G203" s="23"/>
    </row>
    <row r="204" spans="4:7" x14ac:dyDescent="0.25">
      <c r="D204" s="23"/>
      <c r="E204" s="23"/>
      <c r="F204" s="23"/>
      <c r="G204" s="23"/>
    </row>
    <row r="205" spans="4:7" x14ac:dyDescent="0.25">
      <c r="D205" s="23"/>
      <c r="E205" s="23"/>
      <c r="F205" s="23"/>
      <c r="G205" s="23"/>
    </row>
    <row r="206" spans="4:7" x14ac:dyDescent="0.25">
      <c r="D206" s="23"/>
      <c r="E206" s="23"/>
      <c r="F206" s="23"/>
      <c r="G206" s="23"/>
    </row>
    <row r="207" spans="4:7" x14ac:dyDescent="0.25">
      <c r="D207" s="23"/>
      <c r="E207" s="23"/>
      <c r="F207" s="23"/>
      <c r="G207" s="23"/>
    </row>
    <row r="208" spans="4:7" x14ac:dyDescent="0.25">
      <c r="D208" s="23"/>
      <c r="E208" s="23"/>
      <c r="F208" s="23"/>
      <c r="G208" s="23"/>
    </row>
    <row r="209" spans="4:7" x14ac:dyDescent="0.25">
      <c r="D209" s="23"/>
      <c r="E209" s="23"/>
      <c r="F209" s="23"/>
      <c r="G209" s="23"/>
    </row>
    <row r="210" spans="4:7" x14ac:dyDescent="0.25">
      <c r="D210" s="23"/>
      <c r="E210" s="23"/>
      <c r="F210" s="23"/>
      <c r="G210" s="23"/>
    </row>
    <row r="211" spans="4:7" x14ac:dyDescent="0.25">
      <c r="D211" s="23"/>
      <c r="E211" s="23"/>
      <c r="F211" s="23"/>
      <c r="G211" s="23"/>
    </row>
    <row r="212" spans="4:7" x14ac:dyDescent="0.25">
      <c r="D212" s="23"/>
      <c r="E212" s="23"/>
      <c r="F212" s="23"/>
      <c r="G212" s="23"/>
    </row>
    <row r="213" spans="4:7" x14ac:dyDescent="0.25">
      <c r="D213" s="23"/>
      <c r="E213" s="23"/>
      <c r="F213" s="23"/>
      <c r="G213" s="23"/>
    </row>
    <row r="214" spans="4:7" x14ac:dyDescent="0.25">
      <c r="D214" s="23"/>
      <c r="E214" s="23"/>
      <c r="F214" s="23"/>
      <c r="G214" s="23"/>
    </row>
    <row r="215" spans="4:7" x14ac:dyDescent="0.25">
      <c r="D215" s="23"/>
      <c r="E215" s="23"/>
      <c r="F215" s="23"/>
      <c r="G215" s="23"/>
    </row>
    <row r="216" spans="4:7" x14ac:dyDescent="0.25">
      <c r="D216" s="23"/>
      <c r="E216" s="23"/>
      <c r="F216" s="23"/>
      <c r="G216" s="23"/>
    </row>
    <row r="217" spans="4:7" x14ac:dyDescent="0.25">
      <c r="D217" s="23"/>
      <c r="E217" s="23"/>
      <c r="F217" s="23"/>
      <c r="G217" s="23"/>
    </row>
    <row r="218" spans="4:7" x14ac:dyDescent="0.25">
      <c r="D218" s="23"/>
      <c r="E218" s="23"/>
      <c r="F218" s="23"/>
      <c r="G218" s="23"/>
    </row>
    <row r="219" spans="4:7" x14ac:dyDescent="0.25">
      <c r="D219" s="23"/>
      <c r="E219" s="23"/>
      <c r="F219" s="23"/>
      <c r="G219" s="23"/>
    </row>
    <row r="220" spans="4:7" x14ac:dyDescent="0.25">
      <c r="D220" s="23"/>
      <c r="E220" s="23"/>
      <c r="F220" s="23"/>
      <c r="G220" s="23"/>
    </row>
    <row r="221" spans="4:7" x14ac:dyDescent="0.25">
      <c r="D221" s="23"/>
      <c r="E221" s="23"/>
      <c r="F221" s="23"/>
      <c r="G221" s="23"/>
    </row>
    <row r="222" spans="4:7" x14ac:dyDescent="0.25">
      <c r="D222" s="23"/>
      <c r="E222" s="23"/>
      <c r="F222" s="23"/>
      <c r="G222" s="23"/>
    </row>
    <row r="223" spans="4:7" x14ac:dyDescent="0.25">
      <c r="D223" s="23"/>
      <c r="E223" s="23"/>
      <c r="F223" s="23"/>
      <c r="G223" s="23"/>
    </row>
    <row r="224" spans="4:7" x14ac:dyDescent="0.25">
      <c r="D224" s="23"/>
      <c r="E224" s="23"/>
      <c r="F224" s="23"/>
      <c r="G224" s="23"/>
    </row>
    <row r="225" spans="4:7" x14ac:dyDescent="0.25">
      <c r="D225" s="23"/>
      <c r="E225" s="23"/>
      <c r="F225" s="23"/>
      <c r="G225" s="23"/>
    </row>
    <row r="226" spans="4:7" x14ac:dyDescent="0.25">
      <c r="D226" s="23"/>
      <c r="E226" s="23"/>
      <c r="F226" s="23"/>
      <c r="G226" s="23"/>
    </row>
    <row r="227" spans="4:7" x14ac:dyDescent="0.25">
      <c r="D227" s="23"/>
      <c r="E227" s="23"/>
      <c r="F227" s="23"/>
      <c r="G227" s="23"/>
    </row>
    <row r="228" spans="4:7" x14ac:dyDescent="0.25">
      <c r="D228" s="23"/>
      <c r="E228" s="23"/>
      <c r="F228" s="23"/>
      <c r="G228" s="23"/>
    </row>
    <row r="229" spans="4:7" x14ac:dyDescent="0.25">
      <c r="D229" s="23"/>
      <c r="E229" s="23"/>
      <c r="F229" s="23"/>
      <c r="G229" s="23"/>
    </row>
    <row r="230" spans="4:7" x14ac:dyDescent="0.25">
      <c r="D230" s="23"/>
      <c r="E230" s="23"/>
      <c r="F230" s="23"/>
      <c r="G230" s="23"/>
    </row>
    <row r="231" spans="4:7" x14ac:dyDescent="0.25">
      <c r="D231" s="23"/>
      <c r="E231" s="23"/>
      <c r="F231" s="23"/>
      <c r="G231" s="23"/>
    </row>
    <row r="232" spans="4:7" x14ac:dyDescent="0.25">
      <c r="D232" s="23"/>
      <c r="E232" s="23"/>
      <c r="F232" s="23"/>
      <c r="G232" s="23"/>
    </row>
    <row r="233" spans="4:7" x14ac:dyDescent="0.25">
      <c r="D233" s="23"/>
      <c r="E233" s="23"/>
      <c r="F233" s="23"/>
      <c r="G233" s="23"/>
    </row>
    <row r="234" spans="4:7" x14ac:dyDescent="0.25">
      <c r="D234" s="23"/>
      <c r="E234" s="23"/>
      <c r="F234" s="23"/>
      <c r="G234" s="23"/>
    </row>
    <row r="235" spans="4:7" x14ac:dyDescent="0.25">
      <c r="D235" s="23"/>
      <c r="E235" s="23"/>
      <c r="F235" s="23"/>
      <c r="G235" s="23"/>
    </row>
    <row r="236" spans="4:7" x14ac:dyDescent="0.25">
      <c r="D236" s="23"/>
      <c r="E236" s="23"/>
      <c r="F236" s="23"/>
      <c r="G236" s="23"/>
    </row>
    <row r="237" spans="4:7" x14ac:dyDescent="0.25">
      <c r="D237" s="23"/>
      <c r="E237" s="23"/>
      <c r="F237" s="23"/>
      <c r="G237" s="23"/>
    </row>
    <row r="238" spans="4:7" x14ac:dyDescent="0.25">
      <c r="D238" s="23"/>
      <c r="E238" s="23"/>
      <c r="F238" s="23"/>
      <c r="G238" s="23"/>
    </row>
    <row r="239" spans="4:7" x14ac:dyDescent="0.25">
      <c r="D239" s="23"/>
      <c r="E239" s="23"/>
      <c r="F239" s="23"/>
      <c r="G239" s="23"/>
    </row>
    <row r="240" spans="4:7" x14ac:dyDescent="0.25">
      <c r="D240" s="23"/>
      <c r="E240" s="23"/>
      <c r="F240" s="23"/>
      <c r="G240" s="23"/>
    </row>
    <row r="241" spans="4:7" x14ac:dyDescent="0.25">
      <c r="D241" s="23"/>
      <c r="E241" s="23"/>
      <c r="F241" s="23"/>
      <c r="G241" s="23"/>
    </row>
    <row r="242" spans="4:7" x14ac:dyDescent="0.25">
      <c r="D242" s="23"/>
      <c r="E242" s="23"/>
      <c r="F242" s="23"/>
      <c r="G242" s="23"/>
    </row>
    <row r="243" spans="4:7" x14ac:dyDescent="0.25">
      <c r="D243" s="23"/>
      <c r="E243" s="23"/>
      <c r="F243" s="23"/>
      <c r="G243" s="23"/>
    </row>
    <row r="244" spans="4:7" x14ac:dyDescent="0.25">
      <c r="D244" s="23"/>
      <c r="E244" s="23"/>
      <c r="F244" s="23"/>
      <c r="G244" s="23"/>
    </row>
    <row r="245" spans="4:7" x14ac:dyDescent="0.25">
      <c r="D245" s="23"/>
      <c r="E245" s="23"/>
      <c r="F245" s="23"/>
      <c r="G245" s="23"/>
    </row>
    <row r="246" spans="4:7" x14ac:dyDescent="0.25">
      <c r="D246" s="23"/>
      <c r="E246" s="23"/>
      <c r="F246" s="23"/>
      <c r="G246" s="23"/>
    </row>
    <row r="247" spans="4:7" x14ac:dyDescent="0.25">
      <c r="D247" s="23"/>
      <c r="E247" s="23"/>
      <c r="F247" s="23"/>
      <c r="G247" s="23"/>
    </row>
    <row r="248" spans="4:7" x14ac:dyDescent="0.25">
      <c r="D248" s="23"/>
      <c r="E248" s="23"/>
      <c r="F248" s="23"/>
      <c r="G248" s="23"/>
    </row>
    <row r="249" spans="4:7" x14ac:dyDescent="0.25">
      <c r="D249" s="23"/>
      <c r="E249" s="23"/>
      <c r="F249" s="23"/>
      <c r="G249" s="23"/>
    </row>
    <row r="250" spans="4:7" x14ac:dyDescent="0.25">
      <c r="D250" s="23"/>
      <c r="E250" s="23"/>
      <c r="F250" s="23"/>
      <c r="G250" s="23"/>
    </row>
    <row r="251" spans="4:7" x14ac:dyDescent="0.25">
      <c r="D251" s="23"/>
      <c r="E251" s="23"/>
      <c r="F251" s="23"/>
      <c r="G251" s="23"/>
    </row>
    <row r="252" spans="4:7" x14ac:dyDescent="0.25">
      <c r="D252" s="23"/>
      <c r="E252" s="23"/>
      <c r="F252" s="23"/>
      <c r="G252" s="23"/>
    </row>
    <row r="253" spans="4:7" x14ac:dyDescent="0.25">
      <c r="D253" s="23"/>
      <c r="E253" s="23"/>
      <c r="F253" s="23"/>
      <c r="G253" s="23"/>
    </row>
    <row r="254" spans="4:7" x14ac:dyDescent="0.25">
      <c r="D254" s="23"/>
      <c r="E254" s="23"/>
      <c r="F254" s="23"/>
      <c r="G254" s="23"/>
    </row>
    <row r="255" spans="4:7" x14ac:dyDescent="0.25">
      <c r="D255" s="23"/>
      <c r="E255" s="23"/>
      <c r="F255" s="23"/>
      <c r="G255" s="23"/>
    </row>
    <row r="256" spans="4:7" x14ac:dyDescent="0.25">
      <c r="D256" s="23"/>
      <c r="E256" s="23"/>
      <c r="F256" s="23"/>
      <c r="G256" s="23"/>
    </row>
    <row r="257" spans="4:7" x14ac:dyDescent="0.25">
      <c r="D257" s="23"/>
      <c r="E257" s="23"/>
      <c r="F257" s="23"/>
      <c r="G257" s="23"/>
    </row>
    <row r="258" spans="4:7" x14ac:dyDescent="0.25">
      <c r="D258" s="23"/>
      <c r="E258" s="23"/>
      <c r="F258" s="23"/>
      <c r="G258" s="23"/>
    </row>
    <row r="259" spans="4:7" x14ac:dyDescent="0.25">
      <c r="D259" s="23"/>
      <c r="E259" s="23"/>
      <c r="F259" s="23"/>
      <c r="G259" s="23"/>
    </row>
    <row r="260" spans="4:7" x14ac:dyDescent="0.25">
      <c r="D260" s="23"/>
      <c r="E260" s="23"/>
      <c r="F260" s="23"/>
      <c r="G260" s="23"/>
    </row>
    <row r="261" spans="4:7" x14ac:dyDescent="0.25">
      <c r="D261" s="23"/>
      <c r="E261" s="23"/>
      <c r="F261" s="23"/>
      <c r="G261" s="23"/>
    </row>
    <row r="262" spans="4:7" x14ac:dyDescent="0.25">
      <c r="D262" s="23"/>
      <c r="E262" s="23"/>
      <c r="F262" s="23"/>
      <c r="G262" s="23"/>
    </row>
    <row r="263" spans="4:7" x14ac:dyDescent="0.25">
      <c r="D263" s="23"/>
      <c r="E263" s="23"/>
      <c r="F263" s="23"/>
      <c r="G263" s="23"/>
    </row>
    <row r="264" spans="4:7" x14ac:dyDescent="0.25">
      <c r="D264" s="23"/>
      <c r="E264" s="23"/>
      <c r="F264" s="23"/>
      <c r="G264" s="23"/>
    </row>
    <row r="265" spans="4:7" x14ac:dyDescent="0.25">
      <c r="D265" s="23"/>
      <c r="E265" s="23"/>
      <c r="F265" s="23"/>
      <c r="G265" s="23"/>
    </row>
    <row r="266" spans="4:7" x14ac:dyDescent="0.25">
      <c r="D266" s="23"/>
      <c r="E266" s="23"/>
      <c r="F266" s="23"/>
      <c r="G266" s="23"/>
    </row>
    <row r="267" spans="4:7" x14ac:dyDescent="0.25">
      <c r="D267" s="23"/>
      <c r="E267" s="23"/>
      <c r="F267" s="23"/>
      <c r="G267" s="23"/>
    </row>
    <row r="268" spans="4:7" x14ac:dyDescent="0.25">
      <c r="D268" s="23"/>
      <c r="E268" s="23"/>
      <c r="F268" s="23"/>
      <c r="G268" s="23"/>
    </row>
    <row r="269" spans="4:7" x14ac:dyDescent="0.25">
      <c r="D269" s="23"/>
      <c r="E269" s="23"/>
      <c r="F269" s="23"/>
      <c r="G269" s="23"/>
    </row>
    <row r="270" spans="4:7" x14ac:dyDescent="0.25">
      <c r="D270" s="23"/>
      <c r="E270" s="23"/>
      <c r="F270" s="23"/>
      <c r="G270" s="23"/>
    </row>
    <row r="271" spans="4:7" x14ac:dyDescent="0.25">
      <c r="D271" s="23"/>
      <c r="E271" s="23"/>
      <c r="F271" s="23"/>
      <c r="G271" s="23"/>
    </row>
    <row r="272" spans="4:7" x14ac:dyDescent="0.25">
      <c r="D272" s="23"/>
      <c r="E272" s="23"/>
      <c r="F272" s="23"/>
      <c r="G272" s="23"/>
    </row>
    <row r="273" spans="4:7" x14ac:dyDescent="0.25">
      <c r="D273" s="23"/>
      <c r="E273" s="23"/>
      <c r="F273" s="23"/>
      <c r="G273" s="23"/>
    </row>
    <row r="274" spans="4:7" x14ac:dyDescent="0.25">
      <c r="D274" s="23"/>
      <c r="E274" s="23"/>
      <c r="F274" s="23"/>
      <c r="G274" s="23"/>
    </row>
    <row r="275" spans="4:7" x14ac:dyDescent="0.25">
      <c r="D275" s="23"/>
      <c r="E275" s="23"/>
      <c r="F275" s="23"/>
      <c r="G275" s="23"/>
    </row>
    <row r="276" spans="4:7" x14ac:dyDescent="0.25">
      <c r="D276" s="23"/>
      <c r="E276" s="23"/>
      <c r="F276" s="23"/>
      <c r="G276" s="23"/>
    </row>
    <row r="277" spans="4:7" x14ac:dyDescent="0.25">
      <c r="D277" s="23"/>
      <c r="E277" s="23"/>
      <c r="F277" s="23"/>
      <c r="G277" s="23"/>
    </row>
    <row r="278" spans="4:7" x14ac:dyDescent="0.25">
      <c r="D278" s="23"/>
      <c r="E278" s="23"/>
      <c r="F278" s="23"/>
      <c r="G278" s="23"/>
    </row>
    <row r="279" spans="4:7" x14ac:dyDescent="0.25">
      <c r="D279" s="23"/>
      <c r="E279" s="23"/>
      <c r="F279" s="23"/>
      <c r="G279" s="23"/>
    </row>
    <row r="280" spans="4:7" x14ac:dyDescent="0.25">
      <c r="D280" s="23"/>
      <c r="E280" s="23"/>
      <c r="F280" s="23"/>
      <c r="G280" s="23"/>
    </row>
    <row r="281" spans="4:7" x14ac:dyDescent="0.25">
      <c r="D281" s="23"/>
      <c r="E281" s="23"/>
      <c r="F281" s="23"/>
      <c r="G281" s="23"/>
    </row>
    <row r="282" spans="4:7" x14ac:dyDescent="0.25">
      <c r="D282" s="23"/>
      <c r="E282" s="23"/>
      <c r="F282" s="23"/>
      <c r="G282" s="23"/>
    </row>
    <row r="283" spans="4:7" x14ac:dyDescent="0.25">
      <c r="D283" s="23"/>
      <c r="E283" s="23"/>
      <c r="F283" s="23"/>
      <c r="G283" s="23"/>
    </row>
    <row r="284" spans="4:7" x14ac:dyDescent="0.25">
      <c r="D284" s="23"/>
      <c r="E284" s="23"/>
      <c r="F284" s="23"/>
      <c r="G284" s="23"/>
    </row>
    <row r="285" spans="4:7" x14ac:dyDescent="0.25">
      <c r="D285" s="23"/>
      <c r="E285" s="23"/>
      <c r="F285" s="23"/>
      <c r="G285" s="23"/>
    </row>
    <row r="286" spans="4:7" x14ac:dyDescent="0.25">
      <c r="D286" s="23"/>
      <c r="E286" s="23"/>
      <c r="F286" s="23"/>
      <c r="G286" s="23"/>
    </row>
    <row r="287" spans="4:7" x14ac:dyDescent="0.25">
      <c r="D287" s="23"/>
      <c r="E287" s="23"/>
      <c r="F287" s="23"/>
      <c r="G287" s="23"/>
    </row>
    <row r="288" spans="4:7" x14ac:dyDescent="0.25">
      <c r="D288" s="23"/>
      <c r="E288" s="23"/>
      <c r="F288" s="23"/>
      <c r="G288" s="23"/>
    </row>
    <row r="289" spans="4:7" x14ac:dyDescent="0.25">
      <c r="D289" s="23"/>
      <c r="E289" s="23"/>
      <c r="F289" s="23"/>
      <c r="G289" s="23"/>
    </row>
    <row r="290" spans="4:7" x14ac:dyDescent="0.25">
      <c r="D290" s="23"/>
      <c r="E290" s="23"/>
      <c r="F290" s="23"/>
      <c r="G290" s="23"/>
    </row>
    <row r="291" spans="4:7" x14ac:dyDescent="0.25">
      <c r="D291" s="23"/>
      <c r="E291" s="23"/>
      <c r="F291" s="23"/>
      <c r="G291" s="23"/>
    </row>
    <row r="292" spans="4:7" x14ac:dyDescent="0.25">
      <c r="D292" s="23"/>
      <c r="E292" s="23"/>
      <c r="F292" s="23"/>
      <c r="G292" s="23"/>
    </row>
    <row r="293" spans="4:7" x14ac:dyDescent="0.25">
      <c r="D293" s="23"/>
      <c r="E293" s="23"/>
      <c r="F293" s="23"/>
      <c r="G293" s="23"/>
    </row>
    <row r="294" spans="4:7" x14ac:dyDescent="0.25">
      <c r="D294" s="23"/>
      <c r="E294" s="23"/>
      <c r="F294" s="23"/>
      <c r="G294" s="23"/>
    </row>
    <row r="295" spans="4:7" x14ac:dyDescent="0.25">
      <c r="D295" s="23"/>
      <c r="E295" s="23"/>
      <c r="F295" s="23"/>
      <c r="G295" s="23"/>
    </row>
    <row r="296" spans="4:7" x14ac:dyDescent="0.25">
      <c r="D296" s="23"/>
      <c r="E296" s="23"/>
      <c r="F296" s="23"/>
      <c r="G296" s="23"/>
    </row>
    <row r="297" spans="4:7" x14ac:dyDescent="0.25">
      <c r="D297" s="23"/>
      <c r="E297" s="23"/>
      <c r="F297" s="23"/>
      <c r="G297" s="23"/>
    </row>
    <row r="298" spans="4:7" x14ac:dyDescent="0.25">
      <c r="D298" s="23"/>
      <c r="E298" s="23"/>
      <c r="F298" s="23"/>
      <c r="G298" s="23"/>
    </row>
    <row r="299" spans="4:7" x14ac:dyDescent="0.25">
      <c r="D299" s="23"/>
      <c r="E299" s="23"/>
      <c r="F299" s="23"/>
      <c r="G299" s="23"/>
    </row>
    <row r="300" spans="4:7" x14ac:dyDescent="0.25">
      <c r="D300" s="23"/>
      <c r="E300" s="23"/>
      <c r="F300" s="23"/>
      <c r="G300" s="23"/>
    </row>
    <row r="301" spans="4:7" x14ac:dyDescent="0.25">
      <c r="D301" s="23"/>
      <c r="E301" s="23"/>
      <c r="F301" s="23"/>
      <c r="G301" s="23"/>
    </row>
    <row r="302" spans="4:7" x14ac:dyDescent="0.25">
      <c r="D302" s="23"/>
      <c r="E302" s="23"/>
      <c r="F302" s="23"/>
      <c r="G302" s="23"/>
    </row>
    <row r="303" spans="4:7" x14ac:dyDescent="0.25">
      <c r="D303" s="23"/>
      <c r="E303" s="23"/>
      <c r="F303" s="23"/>
      <c r="G303" s="23"/>
    </row>
    <row r="304" spans="4:7" x14ac:dyDescent="0.25">
      <c r="D304" s="23"/>
      <c r="E304" s="23"/>
      <c r="F304" s="23"/>
      <c r="G304" s="23"/>
    </row>
    <row r="305" spans="4:7" x14ac:dyDescent="0.25">
      <c r="D305" s="23"/>
      <c r="E305" s="23"/>
      <c r="F305" s="23"/>
      <c r="G305" s="23"/>
    </row>
    <row r="306" spans="4:7" x14ac:dyDescent="0.25">
      <c r="D306" s="23"/>
      <c r="E306" s="23"/>
      <c r="F306" s="23"/>
      <c r="G306" s="23"/>
    </row>
    <row r="307" spans="4:7" x14ac:dyDescent="0.25">
      <c r="D307" s="23"/>
      <c r="E307" s="23"/>
      <c r="F307" s="23"/>
      <c r="G307" s="23"/>
    </row>
    <row r="308" spans="4:7" x14ac:dyDescent="0.25">
      <c r="D308" s="23"/>
      <c r="E308" s="23"/>
      <c r="F308" s="23"/>
      <c r="G308" s="23"/>
    </row>
    <row r="309" spans="4:7" x14ac:dyDescent="0.25">
      <c r="D309" s="23"/>
      <c r="E309" s="23"/>
      <c r="F309" s="23"/>
      <c r="G309" s="23"/>
    </row>
    <row r="310" spans="4:7" x14ac:dyDescent="0.25">
      <c r="D310" s="23"/>
      <c r="E310" s="23"/>
      <c r="F310" s="23"/>
      <c r="G310" s="23"/>
    </row>
    <row r="311" spans="4:7" x14ac:dyDescent="0.25">
      <c r="D311" s="23"/>
      <c r="E311" s="23"/>
      <c r="F311" s="23"/>
      <c r="G311" s="23"/>
    </row>
    <row r="312" spans="4:7" x14ac:dyDescent="0.25">
      <c r="D312" s="23"/>
      <c r="E312" s="23"/>
      <c r="F312" s="23"/>
      <c r="G312" s="23"/>
    </row>
    <row r="313" spans="4:7" x14ac:dyDescent="0.25">
      <c r="D313" s="23"/>
      <c r="E313" s="23"/>
      <c r="F313" s="23"/>
      <c r="G313" s="23"/>
    </row>
    <row r="314" spans="4:7" x14ac:dyDescent="0.25">
      <c r="D314" s="23"/>
      <c r="E314" s="23"/>
      <c r="F314" s="23"/>
      <c r="G314" s="23"/>
    </row>
    <row r="315" spans="4:7" x14ac:dyDescent="0.25">
      <c r="D315" s="23"/>
      <c r="E315" s="23"/>
      <c r="F315" s="23"/>
      <c r="G315" s="23"/>
    </row>
    <row r="316" spans="4:7" x14ac:dyDescent="0.25">
      <c r="D316" s="23"/>
      <c r="E316" s="23"/>
      <c r="F316" s="23"/>
      <c r="G316" s="23"/>
    </row>
    <row r="317" spans="4:7" x14ac:dyDescent="0.25">
      <c r="D317" s="23"/>
      <c r="E317" s="23"/>
      <c r="F317" s="23"/>
      <c r="G317" s="23"/>
    </row>
    <row r="318" spans="4:7" x14ac:dyDescent="0.25">
      <c r="D318" s="23"/>
      <c r="E318" s="23"/>
      <c r="F318" s="23"/>
      <c r="G318" s="23"/>
    </row>
    <row r="319" spans="4:7" x14ac:dyDescent="0.25">
      <c r="D319" s="23"/>
      <c r="E319" s="23"/>
      <c r="F319" s="23"/>
      <c r="G319" s="23"/>
    </row>
    <row r="320" spans="4:7" x14ac:dyDescent="0.25">
      <c r="D320" s="23"/>
      <c r="E320" s="23"/>
      <c r="F320" s="23"/>
      <c r="G320" s="23"/>
    </row>
    <row r="321" spans="4:7" x14ac:dyDescent="0.25">
      <c r="D321" s="23"/>
      <c r="E321" s="23"/>
      <c r="F321" s="23"/>
      <c r="G321" s="23"/>
    </row>
    <row r="322" spans="4:7" x14ac:dyDescent="0.25">
      <c r="D322" s="23"/>
      <c r="E322" s="23"/>
      <c r="F322" s="23"/>
      <c r="G322" s="23"/>
    </row>
    <row r="323" spans="4:7" x14ac:dyDescent="0.25">
      <c r="D323" s="23"/>
      <c r="E323" s="23"/>
      <c r="F323" s="23"/>
      <c r="G323" s="23"/>
    </row>
    <row r="324" spans="4:7" x14ac:dyDescent="0.25">
      <c r="D324" s="23"/>
      <c r="E324" s="23"/>
      <c r="F324" s="23"/>
      <c r="G324" s="23"/>
    </row>
    <row r="325" spans="4:7" x14ac:dyDescent="0.25">
      <c r="D325" s="23"/>
      <c r="E325" s="23"/>
      <c r="F325" s="23"/>
      <c r="G325" s="23"/>
    </row>
    <row r="326" spans="4:7" x14ac:dyDescent="0.25">
      <c r="D326" s="23"/>
      <c r="E326" s="23"/>
      <c r="F326" s="23"/>
      <c r="G326" s="23"/>
    </row>
    <row r="327" spans="4:7" x14ac:dyDescent="0.25">
      <c r="D327" s="23"/>
      <c r="E327" s="23"/>
      <c r="F327" s="23"/>
      <c r="G327" s="23"/>
    </row>
    <row r="328" spans="4:7" x14ac:dyDescent="0.25">
      <c r="D328" s="23"/>
      <c r="E328" s="23"/>
      <c r="F328" s="23"/>
      <c r="G328" s="23"/>
    </row>
    <row r="329" spans="4:7" x14ac:dyDescent="0.25">
      <c r="D329" s="23"/>
      <c r="E329" s="23"/>
      <c r="F329" s="23"/>
      <c r="G329" s="23"/>
    </row>
    <row r="330" spans="4:7" x14ac:dyDescent="0.25">
      <c r="D330" s="23"/>
      <c r="E330" s="23"/>
      <c r="F330" s="23"/>
      <c r="G330" s="23"/>
    </row>
    <row r="331" spans="4:7" x14ac:dyDescent="0.25">
      <c r="D331" s="23"/>
      <c r="E331" s="23"/>
      <c r="F331" s="23"/>
      <c r="G331" s="23"/>
    </row>
    <row r="332" spans="4:7" x14ac:dyDescent="0.25">
      <c r="D332" s="23"/>
      <c r="E332" s="23"/>
      <c r="F332" s="23"/>
      <c r="G332" s="23"/>
    </row>
    <row r="333" spans="4:7" x14ac:dyDescent="0.25">
      <c r="D333" s="23"/>
      <c r="E333" s="23"/>
      <c r="F333" s="23"/>
      <c r="G333" s="23"/>
    </row>
    <row r="334" spans="4:7" x14ac:dyDescent="0.25">
      <c r="D334" s="23"/>
      <c r="E334" s="23"/>
      <c r="F334" s="23"/>
      <c r="G334" s="23"/>
    </row>
    <row r="335" spans="4:7" x14ac:dyDescent="0.25">
      <c r="D335" s="23"/>
      <c r="E335" s="23"/>
      <c r="F335" s="23"/>
      <c r="G335" s="23"/>
    </row>
    <row r="336" spans="4:7" x14ac:dyDescent="0.25">
      <c r="D336" s="23"/>
      <c r="E336" s="23"/>
      <c r="F336" s="23"/>
      <c r="G336" s="23"/>
    </row>
    <row r="337" spans="4:7" x14ac:dyDescent="0.25">
      <c r="D337" s="23"/>
      <c r="E337" s="23"/>
      <c r="F337" s="23"/>
      <c r="G337" s="23"/>
    </row>
    <row r="338" spans="4:7" x14ac:dyDescent="0.25">
      <c r="D338" s="23"/>
      <c r="E338" s="23"/>
      <c r="F338" s="23"/>
      <c r="G338" s="23"/>
    </row>
    <row r="339" spans="4:7" x14ac:dyDescent="0.25">
      <c r="D339" s="23"/>
      <c r="E339" s="23"/>
      <c r="F339" s="23"/>
      <c r="G339" s="23"/>
    </row>
    <row r="340" spans="4:7" x14ac:dyDescent="0.25">
      <c r="D340" s="23"/>
      <c r="E340" s="23"/>
      <c r="F340" s="23"/>
      <c r="G340" s="23"/>
    </row>
    <row r="341" spans="4:7" x14ac:dyDescent="0.25">
      <c r="D341" s="23"/>
      <c r="E341" s="23"/>
      <c r="F341" s="23"/>
      <c r="G341" s="23"/>
    </row>
    <row r="342" spans="4:7" x14ac:dyDescent="0.25">
      <c r="D342" s="23"/>
      <c r="E342" s="23"/>
      <c r="F342" s="23"/>
      <c r="G342" s="23"/>
    </row>
    <row r="343" spans="4:7" x14ac:dyDescent="0.25">
      <c r="D343" s="23"/>
      <c r="E343" s="23"/>
      <c r="F343" s="23"/>
      <c r="G343" s="23"/>
    </row>
    <row r="344" spans="4:7" x14ac:dyDescent="0.25">
      <c r="D344" s="23"/>
      <c r="E344" s="23"/>
      <c r="F344" s="23"/>
      <c r="G344" s="23"/>
    </row>
    <row r="345" spans="4:7" x14ac:dyDescent="0.25">
      <c r="D345" s="23"/>
      <c r="E345" s="23"/>
      <c r="F345" s="23"/>
      <c r="G345" s="23"/>
    </row>
    <row r="346" spans="4:7" x14ac:dyDescent="0.25">
      <c r="D346" s="23"/>
      <c r="E346" s="23"/>
      <c r="F346" s="23"/>
      <c r="G346" s="23"/>
    </row>
    <row r="347" spans="4:7" x14ac:dyDescent="0.25">
      <c r="D347" s="23"/>
      <c r="E347" s="23"/>
      <c r="F347" s="23"/>
      <c r="G347" s="23"/>
    </row>
    <row r="348" spans="4:7" x14ac:dyDescent="0.25">
      <c r="D348" s="23"/>
      <c r="E348" s="23"/>
      <c r="F348" s="23"/>
      <c r="G348" s="23"/>
    </row>
    <row r="349" spans="4:7" x14ac:dyDescent="0.25">
      <c r="D349" s="23"/>
      <c r="E349" s="23"/>
      <c r="F349" s="23"/>
      <c r="G349" s="23"/>
    </row>
    <row r="350" spans="4:7" x14ac:dyDescent="0.25">
      <c r="D350" s="23"/>
      <c r="E350" s="23"/>
      <c r="F350" s="23"/>
      <c r="G350" s="23"/>
    </row>
    <row r="351" spans="4:7" x14ac:dyDescent="0.25">
      <c r="D351" s="23"/>
      <c r="E351" s="23"/>
      <c r="F351" s="23"/>
      <c r="G351" s="23"/>
    </row>
    <row r="352" spans="4:7" x14ac:dyDescent="0.25">
      <c r="D352" s="23"/>
      <c r="E352" s="23"/>
      <c r="F352" s="23"/>
      <c r="G352" s="23"/>
    </row>
    <row r="353" spans="4:7" x14ac:dyDescent="0.25">
      <c r="D353" s="23"/>
      <c r="E353" s="23"/>
      <c r="F353" s="23"/>
      <c r="G353" s="23"/>
    </row>
    <row r="354" spans="4:7" x14ac:dyDescent="0.25">
      <c r="D354" s="23"/>
      <c r="E354" s="23"/>
      <c r="F354" s="23"/>
      <c r="G354" s="23"/>
    </row>
    <row r="355" spans="4:7" x14ac:dyDescent="0.25">
      <c r="D355" s="23"/>
      <c r="E355" s="23"/>
      <c r="F355" s="23"/>
      <c r="G355" s="23"/>
    </row>
    <row r="356" spans="4:7" x14ac:dyDescent="0.25">
      <c r="D356" s="23"/>
      <c r="E356" s="23"/>
      <c r="F356" s="23"/>
      <c r="G356" s="23"/>
    </row>
    <row r="357" spans="4:7" x14ac:dyDescent="0.25">
      <c r="D357" s="23"/>
      <c r="E357" s="23"/>
      <c r="F357" s="23"/>
      <c r="G357" s="23"/>
    </row>
    <row r="358" spans="4:7" x14ac:dyDescent="0.25">
      <c r="D358" s="23"/>
      <c r="E358" s="23"/>
      <c r="F358" s="23"/>
      <c r="G358" s="23"/>
    </row>
    <row r="359" spans="4:7" x14ac:dyDescent="0.25">
      <c r="D359" s="23"/>
      <c r="E359" s="23"/>
      <c r="F359" s="23"/>
      <c r="G359" s="23"/>
    </row>
    <row r="360" spans="4:7" x14ac:dyDescent="0.25">
      <c r="D360" s="23"/>
      <c r="E360" s="23"/>
      <c r="F360" s="23"/>
      <c r="G360" s="23"/>
    </row>
    <row r="361" spans="4:7" x14ac:dyDescent="0.25">
      <c r="D361" s="23"/>
      <c r="E361" s="23"/>
      <c r="F361" s="23"/>
      <c r="G361" s="23"/>
    </row>
    <row r="362" spans="4:7" x14ac:dyDescent="0.25">
      <c r="D362" s="23"/>
      <c r="E362" s="23"/>
      <c r="F362" s="23"/>
      <c r="G362" s="23"/>
    </row>
    <row r="363" spans="4:7" x14ac:dyDescent="0.25">
      <c r="D363" s="23"/>
      <c r="E363" s="23"/>
      <c r="F363" s="23"/>
      <c r="G363" s="23"/>
    </row>
    <row r="364" spans="4:7" x14ac:dyDescent="0.25">
      <c r="D364" s="23"/>
      <c r="E364" s="23"/>
      <c r="F364" s="23"/>
      <c r="G364" s="23"/>
    </row>
    <row r="365" spans="4:7" x14ac:dyDescent="0.25">
      <c r="D365" s="23"/>
      <c r="E365" s="23"/>
      <c r="F365" s="23"/>
      <c r="G365" s="23"/>
    </row>
    <row r="366" spans="4:7" x14ac:dyDescent="0.25">
      <c r="D366" s="23"/>
      <c r="E366" s="23"/>
      <c r="F366" s="23"/>
      <c r="G366" s="23"/>
    </row>
    <row r="367" spans="4:7" x14ac:dyDescent="0.25">
      <c r="D367" s="23"/>
      <c r="E367" s="23"/>
      <c r="F367" s="23"/>
      <c r="G367" s="23"/>
    </row>
    <row r="368" spans="4:7" x14ac:dyDescent="0.25">
      <c r="D368" s="23"/>
      <c r="E368" s="23"/>
      <c r="F368" s="23"/>
      <c r="G368" s="23"/>
    </row>
    <row r="369" spans="4:7" x14ac:dyDescent="0.25">
      <c r="D369" s="23"/>
      <c r="E369" s="23"/>
      <c r="F369" s="23"/>
      <c r="G369" s="23"/>
    </row>
    <row r="370" spans="4:7" x14ac:dyDescent="0.25">
      <c r="D370" s="23"/>
      <c r="E370" s="23"/>
      <c r="F370" s="23"/>
      <c r="G370" s="23"/>
    </row>
    <row r="371" spans="4:7" x14ac:dyDescent="0.25">
      <c r="D371" s="23"/>
      <c r="E371" s="23"/>
      <c r="F371" s="23"/>
      <c r="G371" s="23"/>
    </row>
    <row r="372" spans="4:7" x14ac:dyDescent="0.25">
      <c r="D372" s="23"/>
      <c r="E372" s="23"/>
      <c r="F372" s="23"/>
      <c r="G372" s="23"/>
    </row>
    <row r="373" spans="4:7" x14ac:dyDescent="0.25">
      <c r="D373" s="23"/>
      <c r="E373" s="23"/>
      <c r="F373" s="23"/>
      <c r="G373" s="23"/>
    </row>
    <row r="374" spans="4:7" x14ac:dyDescent="0.25">
      <c r="D374" s="23"/>
      <c r="E374" s="23"/>
      <c r="F374" s="23"/>
      <c r="G374" s="23"/>
    </row>
    <row r="375" spans="4:7" x14ac:dyDescent="0.25">
      <c r="D375" s="23"/>
      <c r="E375" s="23"/>
      <c r="F375" s="23"/>
      <c r="G375" s="23"/>
    </row>
    <row r="376" spans="4:7" x14ac:dyDescent="0.25">
      <c r="D376" s="23"/>
      <c r="E376" s="23"/>
      <c r="F376" s="23"/>
      <c r="G376" s="23"/>
    </row>
    <row r="377" spans="4:7" x14ac:dyDescent="0.25">
      <c r="D377" s="23"/>
      <c r="E377" s="23"/>
      <c r="F377" s="23"/>
      <c r="G377" s="23"/>
    </row>
    <row r="378" spans="4:7" x14ac:dyDescent="0.25">
      <c r="D378" s="23"/>
      <c r="E378" s="23"/>
      <c r="F378" s="23"/>
      <c r="G378" s="23"/>
    </row>
    <row r="379" spans="4:7" x14ac:dyDescent="0.25">
      <c r="D379" s="23"/>
      <c r="E379" s="23"/>
      <c r="F379" s="23"/>
      <c r="G379" s="23"/>
    </row>
    <row r="380" spans="4:7" x14ac:dyDescent="0.25">
      <c r="D380" s="23"/>
      <c r="E380" s="23"/>
      <c r="F380" s="23"/>
      <c r="G380" s="23"/>
    </row>
    <row r="381" spans="4:7" x14ac:dyDescent="0.25">
      <c r="D381" s="23"/>
      <c r="E381" s="23"/>
      <c r="F381" s="23"/>
      <c r="G381" s="23"/>
    </row>
    <row r="382" spans="4:7" x14ac:dyDescent="0.25">
      <c r="D382" s="23"/>
      <c r="E382" s="23"/>
      <c r="F382" s="23"/>
      <c r="G382" s="23"/>
    </row>
    <row r="383" spans="4:7" x14ac:dyDescent="0.25">
      <c r="D383" s="23"/>
      <c r="E383" s="23"/>
      <c r="F383" s="23"/>
      <c r="G383" s="23"/>
    </row>
    <row r="384" spans="4:7" x14ac:dyDescent="0.25">
      <c r="D384" s="23"/>
      <c r="E384" s="23"/>
      <c r="F384" s="23"/>
      <c r="G384" s="23"/>
    </row>
    <row r="385" spans="4:7" x14ac:dyDescent="0.25">
      <c r="D385" s="23"/>
      <c r="E385" s="23"/>
      <c r="F385" s="23"/>
      <c r="G385" s="23"/>
    </row>
    <row r="386" spans="4:7" x14ac:dyDescent="0.25">
      <c r="D386" s="23"/>
      <c r="E386" s="23"/>
      <c r="F386" s="23"/>
      <c r="G386" s="23"/>
    </row>
    <row r="387" spans="4:7" x14ac:dyDescent="0.25">
      <c r="D387" s="23"/>
      <c r="E387" s="23"/>
      <c r="F387" s="23"/>
      <c r="G387" s="23"/>
    </row>
    <row r="388" spans="4:7" x14ac:dyDescent="0.25">
      <c r="D388" s="23"/>
      <c r="E388" s="23"/>
      <c r="F388" s="23"/>
      <c r="G388" s="23"/>
    </row>
    <row r="389" spans="4:7" x14ac:dyDescent="0.25">
      <c r="D389" s="23"/>
      <c r="E389" s="23"/>
      <c r="F389" s="23"/>
      <c r="G389" s="23"/>
    </row>
    <row r="390" spans="4:7" x14ac:dyDescent="0.25">
      <c r="D390" s="23"/>
      <c r="E390" s="23"/>
      <c r="F390" s="23"/>
      <c r="G390" s="23"/>
    </row>
    <row r="391" spans="4:7" x14ac:dyDescent="0.25">
      <c r="D391" s="23"/>
      <c r="E391" s="23"/>
      <c r="F391" s="23"/>
      <c r="G391" s="23"/>
    </row>
    <row r="392" spans="4:7" x14ac:dyDescent="0.25">
      <c r="D392" s="23"/>
      <c r="E392" s="23"/>
      <c r="F392" s="23"/>
      <c r="G392" s="23"/>
    </row>
    <row r="393" spans="4:7" x14ac:dyDescent="0.25">
      <c r="D393" s="23"/>
      <c r="E393" s="23"/>
      <c r="F393" s="23"/>
      <c r="G393" s="23"/>
    </row>
    <row r="394" spans="4:7" x14ac:dyDescent="0.25">
      <c r="D394" s="23"/>
      <c r="E394" s="23"/>
      <c r="F394" s="23"/>
      <c r="G394" s="23"/>
    </row>
    <row r="395" spans="4:7" x14ac:dyDescent="0.25">
      <c r="D395" s="23"/>
      <c r="E395" s="23"/>
      <c r="F395" s="23"/>
      <c r="G395" s="23"/>
    </row>
    <row r="396" spans="4:7" x14ac:dyDescent="0.25">
      <c r="D396" s="23"/>
      <c r="E396" s="23"/>
      <c r="F396" s="23"/>
      <c r="G396" s="23"/>
    </row>
    <row r="397" spans="4:7" x14ac:dyDescent="0.25">
      <c r="D397" s="23"/>
      <c r="E397" s="23"/>
      <c r="F397" s="23"/>
      <c r="G397" s="23"/>
    </row>
    <row r="398" spans="4:7" x14ac:dyDescent="0.25">
      <c r="D398" s="23"/>
      <c r="E398" s="23"/>
      <c r="F398" s="23"/>
      <c r="G398" s="23"/>
    </row>
    <row r="399" spans="4:7" x14ac:dyDescent="0.25">
      <c r="D399" s="23"/>
      <c r="E399" s="23"/>
      <c r="F399" s="23"/>
      <c r="G399" s="23"/>
    </row>
    <row r="400" spans="4:7" x14ac:dyDescent="0.25">
      <c r="D400" s="23"/>
      <c r="E400" s="23"/>
      <c r="F400" s="23"/>
      <c r="G400" s="23"/>
    </row>
    <row r="401" spans="4:7" x14ac:dyDescent="0.25">
      <c r="D401" s="23"/>
      <c r="E401" s="23"/>
      <c r="F401" s="23"/>
      <c r="G401" s="23"/>
    </row>
    <row r="402" spans="4:7" x14ac:dyDescent="0.25">
      <c r="D402" s="23"/>
      <c r="E402" s="23"/>
      <c r="F402" s="23"/>
      <c r="G402" s="23"/>
    </row>
    <row r="403" spans="4:7" x14ac:dyDescent="0.25">
      <c r="D403" s="23"/>
      <c r="E403" s="23"/>
      <c r="F403" s="23"/>
      <c r="G403" s="23"/>
    </row>
    <row r="404" spans="4:7" x14ac:dyDescent="0.25">
      <c r="D404" s="23"/>
      <c r="E404" s="23"/>
      <c r="F404" s="23"/>
      <c r="G404" s="23"/>
    </row>
    <row r="405" spans="4:7" x14ac:dyDescent="0.25">
      <c r="D405" s="23"/>
      <c r="E405" s="23"/>
      <c r="F405" s="23"/>
      <c r="G405" s="23"/>
    </row>
    <row r="406" spans="4:7" x14ac:dyDescent="0.25">
      <c r="D406" s="23"/>
      <c r="E406" s="23"/>
      <c r="F406" s="23"/>
      <c r="G406" s="23"/>
    </row>
    <row r="407" spans="4:7" x14ac:dyDescent="0.25">
      <c r="D407" s="23"/>
      <c r="E407" s="23"/>
      <c r="F407" s="23"/>
      <c r="G407" s="23"/>
    </row>
    <row r="408" spans="4:7" x14ac:dyDescent="0.25">
      <c r="D408" s="23"/>
      <c r="E408" s="23"/>
      <c r="F408" s="23"/>
      <c r="G408" s="23"/>
    </row>
    <row r="409" spans="4:7" x14ac:dyDescent="0.25">
      <c r="D409" s="23"/>
      <c r="E409" s="23"/>
      <c r="F409" s="23"/>
      <c r="G409" s="23"/>
    </row>
    <row r="410" spans="4:7" x14ac:dyDescent="0.25">
      <c r="D410" s="23"/>
      <c r="E410" s="23"/>
      <c r="F410" s="23"/>
      <c r="G410" s="23"/>
    </row>
    <row r="411" spans="4:7" x14ac:dyDescent="0.25">
      <c r="D411" s="23"/>
      <c r="E411" s="23"/>
      <c r="F411" s="23"/>
      <c r="G411" s="23"/>
    </row>
    <row r="412" spans="4:7" x14ac:dyDescent="0.25">
      <c r="D412" s="23"/>
      <c r="E412" s="23"/>
      <c r="F412" s="23"/>
      <c r="G412" s="23"/>
    </row>
    <row r="413" spans="4:7" x14ac:dyDescent="0.25">
      <c r="D413" s="23"/>
      <c r="E413" s="23"/>
      <c r="F413" s="23"/>
      <c r="G413" s="23"/>
    </row>
    <row r="414" spans="4:7" x14ac:dyDescent="0.25">
      <c r="D414" s="23"/>
      <c r="E414" s="23"/>
      <c r="F414" s="23"/>
      <c r="G414" s="23"/>
    </row>
    <row r="415" spans="4:7" x14ac:dyDescent="0.25">
      <c r="D415" s="23"/>
      <c r="E415" s="23"/>
      <c r="F415" s="23"/>
      <c r="G415" s="23"/>
    </row>
    <row r="416" spans="4:7" x14ac:dyDescent="0.25">
      <c r="D416" s="23"/>
      <c r="E416" s="23"/>
      <c r="F416" s="23"/>
      <c r="G416" s="23"/>
    </row>
    <row r="417" spans="4:7" x14ac:dyDescent="0.25">
      <c r="D417" s="23"/>
      <c r="E417" s="23"/>
      <c r="F417" s="23"/>
      <c r="G417" s="23"/>
    </row>
    <row r="418" spans="4:7" x14ac:dyDescent="0.25">
      <c r="D418" s="23"/>
      <c r="E418" s="23"/>
      <c r="F418" s="23"/>
      <c r="G418" s="23"/>
    </row>
    <row r="419" spans="4:7" x14ac:dyDescent="0.25">
      <c r="D419" s="23"/>
      <c r="E419" s="23"/>
      <c r="F419" s="23"/>
      <c r="G419" s="23"/>
    </row>
    <row r="420" spans="4:7" x14ac:dyDescent="0.25">
      <c r="D420" s="23"/>
      <c r="E420" s="23"/>
      <c r="F420" s="23"/>
      <c r="G420" s="23"/>
    </row>
    <row r="421" spans="4:7" x14ac:dyDescent="0.25">
      <c r="D421" s="23"/>
      <c r="E421" s="23"/>
      <c r="F421" s="23"/>
      <c r="G421" s="23"/>
    </row>
    <row r="422" spans="4:7" x14ac:dyDescent="0.25">
      <c r="D422" s="23"/>
      <c r="E422" s="23"/>
      <c r="F422" s="23"/>
      <c r="G422" s="23"/>
    </row>
    <row r="423" spans="4:7" x14ac:dyDescent="0.25">
      <c r="D423" s="23"/>
      <c r="E423" s="23"/>
      <c r="F423" s="23"/>
      <c r="G423" s="23"/>
    </row>
    <row r="424" spans="4:7" x14ac:dyDescent="0.25">
      <c r="D424" s="23"/>
      <c r="E424" s="23"/>
      <c r="F424" s="23"/>
      <c r="G424" s="23"/>
    </row>
    <row r="425" spans="4:7" x14ac:dyDescent="0.25">
      <c r="D425" s="23"/>
      <c r="E425" s="23"/>
      <c r="F425" s="23"/>
      <c r="G425" s="23"/>
    </row>
    <row r="426" spans="4:7" x14ac:dyDescent="0.25">
      <c r="D426" s="23"/>
      <c r="E426" s="23"/>
      <c r="F426" s="23"/>
      <c r="G426" s="23"/>
    </row>
    <row r="427" spans="4:7" x14ac:dyDescent="0.25">
      <c r="D427" s="23"/>
      <c r="E427" s="23"/>
      <c r="F427" s="23"/>
      <c r="G427" s="23"/>
    </row>
    <row r="428" spans="4:7" x14ac:dyDescent="0.25">
      <c r="D428" s="23"/>
      <c r="E428" s="23"/>
      <c r="F428" s="23"/>
      <c r="G428" s="23"/>
    </row>
    <row r="429" spans="4:7" x14ac:dyDescent="0.25">
      <c r="D429" s="23"/>
      <c r="E429" s="23"/>
      <c r="F429" s="23"/>
      <c r="G429" s="23"/>
    </row>
    <row r="430" spans="4:7" x14ac:dyDescent="0.25">
      <c r="D430" s="23"/>
      <c r="E430" s="23"/>
      <c r="F430" s="23"/>
      <c r="G430" s="23"/>
    </row>
    <row r="431" spans="4:7" x14ac:dyDescent="0.25">
      <c r="D431" s="23"/>
      <c r="E431" s="23"/>
      <c r="F431" s="23"/>
      <c r="G431" s="23"/>
    </row>
    <row r="432" spans="4:7" x14ac:dyDescent="0.25">
      <c r="D432" s="23"/>
      <c r="E432" s="23"/>
      <c r="F432" s="23"/>
      <c r="G432" s="23"/>
    </row>
    <row r="433" spans="4:7" x14ac:dyDescent="0.25">
      <c r="D433" s="23"/>
      <c r="E433" s="23"/>
      <c r="F433" s="23"/>
      <c r="G433" s="23"/>
    </row>
    <row r="434" spans="4:7" x14ac:dyDescent="0.25">
      <c r="D434" s="23"/>
      <c r="E434" s="23"/>
      <c r="F434" s="23"/>
      <c r="G434" s="23"/>
    </row>
    <row r="435" spans="4:7" x14ac:dyDescent="0.25">
      <c r="D435" s="23"/>
      <c r="E435" s="23"/>
      <c r="F435" s="23"/>
      <c r="G435" s="23"/>
    </row>
    <row r="436" spans="4:7" x14ac:dyDescent="0.25">
      <c r="D436" s="23"/>
      <c r="E436" s="23"/>
      <c r="F436" s="23"/>
      <c r="G436" s="23"/>
    </row>
    <row r="437" spans="4:7" x14ac:dyDescent="0.25">
      <c r="D437" s="23"/>
      <c r="E437" s="23"/>
      <c r="F437" s="23"/>
      <c r="G437" s="23"/>
    </row>
    <row r="438" spans="4:7" x14ac:dyDescent="0.25">
      <c r="D438" s="23"/>
      <c r="E438" s="23"/>
      <c r="F438" s="23"/>
      <c r="G438" s="23"/>
    </row>
    <row r="439" spans="4:7" x14ac:dyDescent="0.25">
      <c r="D439" s="23"/>
      <c r="E439" s="23"/>
      <c r="F439" s="23"/>
      <c r="G439" s="23"/>
    </row>
    <row r="440" spans="4:7" x14ac:dyDescent="0.25">
      <c r="D440" s="23"/>
      <c r="E440" s="23"/>
      <c r="F440" s="23"/>
      <c r="G440" s="23"/>
    </row>
    <row r="441" spans="4:7" x14ac:dyDescent="0.25">
      <c r="D441" s="23"/>
      <c r="E441" s="23"/>
      <c r="F441" s="23"/>
      <c r="G441" s="23"/>
    </row>
    <row r="442" spans="4:7" x14ac:dyDescent="0.25">
      <c r="D442" s="23"/>
      <c r="E442" s="23"/>
      <c r="F442" s="23"/>
      <c r="G442" s="23"/>
    </row>
    <row r="443" spans="4:7" x14ac:dyDescent="0.25">
      <c r="D443" s="23"/>
      <c r="E443" s="23"/>
      <c r="F443" s="23"/>
      <c r="G443" s="23"/>
    </row>
    <row r="444" spans="4:7" x14ac:dyDescent="0.25">
      <c r="D444" s="23"/>
      <c r="E444" s="23"/>
      <c r="F444" s="23"/>
      <c r="G444" s="23"/>
    </row>
    <row r="445" spans="4:7" x14ac:dyDescent="0.25">
      <c r="D445" s="23"/>
      <c r="E445" s="23"/>
      <c r="F445" s="23"/>
      <c r="G445" s="23"/>
    </row>
    <row r="446" spans="4:7" x14ac:dyDescent="0.25">
      <c r="D446" s="23"/>
      <c r="E446" s="23"/>
      <c r="F446" s="23"/>
      <c r="G446" s="23"/>
    </row>
    <row r="447" spans="4:7" x14ac:dyDescent="0.25">
      <c r="D447" s="23"/>
      <c r="E447" s="23"/>
      <c r="F447" s="23"/>
      <c r="G447" s="23"/>
    </row>
    <row r="448" spans="4:7" x14ac:dyDescent="0.25">
      <c r="D448" s="23"/>
      <c r="E448" s="23"/>
      <c r="F448" s="23"/>
      <c r="G448" s="23"/>
    </row>
    <row r="449" spans="4:7" x14ac:dyDescent="0.25">
      <c r="D449" s="23"/>
      <c r="E449" s="23"/>
      <c r="F449" s="23"/>
      <c r="G449" s="23"/>
    </row>
    <row r="450" spans="4:7" x14ac:dyDescent="0.25">
      <c r="D450" s="23"/>
      <c r="E450" s="23"/>
      <c r="F450" s="23"/>
      <c r="G450" s="23"/>
    </row>
    <row r="451" spans="4:7" x14ac:dyDescent="0.25">
      <c r="D451" s="23"/>
      <c r="E451" s="23"/>
      <c r="F451" s="23"/>
      <c r="G451" s="23"/>
    </row>
    <row r="452" spans="4:7" x14ac:dyDescent="0.25">
      <c r="D452" s="23"/>
      <c r="E452" s="23"/>
      <c r="F452" s="23"/>
      <c r="G452" s="23"/>
    </row>
    <row r="453" spans="4:7" x14ac:dyDescent="0.25">
      <c r="D453" s="23"/>
      <c r="E453" s="23"/>
      <c r="F453" s="23"/>
      <c r="G453" s="23"/>
    </row>
    <row r="454" spans="4:7" x14ac:dyDescent="0.25">
      <c r="D454" s="23"/>
      <c r="E454" s="23"/>
      <c r="F454" s="23"/>
      <c r="G454" s="23"/>
    </row>
    <row r="455" spans="4:7" x14ac:dyDescent="0.25">
      <c r="D455" s="23"/>
      <c r="E455" s="23"/>
      <c r="F455" s="23"/>
      <c r="G455" s="23"/>
    </row>
    <row r="456" spans="4:7" x14ac:dyDescent="0.25">
      <c r="D456" s="23"/>
      <c r="E456" s="23"/>
      <c r="F456" s="23"/>
      <c r="G456" s="23"/>
    </row>
    <row r="457" spans="4:7" x14ac:dyDescent="0.25">
      <c r="D457" s="23"/>
      <c r="E457" s="23"/>
      <c r="F457" s="23"/>
      <c r="G457" s="23"/>
    </row>
    <row r="458" spans="4:7" x14ac:dyDescent="0.25">
      <c r="D458" s="23"/>
      <c r="E458" s="23"/>
      <c r="F458" s="23"/>
      <c r="G458" s="23"/>
    </row>
    <row r="459" spans="4:7" x14ac:dyDescent="0.25">
      <c r="D459" s="23"/>
      <c r="E459" s="23"/>
      <c r="F459" s="23"/>
      <c r="G459" s="23"/>
    </row>
    <row r="460" spans="4:7" x14ac:dyDescent="0.25">
      <c r="D460" s="23"/>
      <c r="E460" s="23"/>
      <c r="F460" s="23"/>
      <c r="G460" s="23"/>
    </row>
    <row r="461" spans="4:7" x14ac:dyDescent="0.25">
      <c r="D461" s="23"/>
      <c r="E461" s="23"/>
      <c r="F461" s="23"/>
      <c r="G461" s="23"/>
    </row>
    <row r="462" spans="4:7" x14ac:dyDescent="0.25">
      <c r="D462" s="23"/>
      <c r="E462" s="23"/>
      <c r="F462" s="23"/>
      <c r="G462" s="23"/>
    </row>
    <row r="463" spans="4:7" x14ac:dyDescent="0.25">
      <c r="D463" s="23"/>
      <c r="E463" s="23"/>
      <c r="F463" s="23"/>
      <c r="G463" s="23"/>
    </row>
    <row r="464" spans="4:7" x14ac:dyDescent="0.25">
      <c r="D464" s="23"/>
      <c r="E464" s="23"/>
      <c r="F464" s="23"/>
      <c r="G464" s="23"/>
    </row>
    <row r="465" spans="4:7" x14ac:dyDescent="0.25">
      <c r="D465" s="23"/>
      <c r="E465" s="23"/>
      <c r="F465" s="23"/>
      <c r="G465" s="23"/>
    </row>
    <row r="466" spans="4:7" x14ac:dyDescent="0.25">
      <c r="D466" s="23"/>
      <c r="E466" s="23"/>
      <c r="F466" s="23"/>
      <c r="G466" s="23"/>
    </row>
    <row r="467" spans="4:7" x14ac:dyDescent="0.25">
      <c r="D467" s="23"/>
      <c r="E467" s="23"/>
      <c r="F467" s="23"/>
      <c r="G467" s="23"/>
    </row>
    <row r="468" spans="4:7" x14ac:dyDescent="0.25">
      <c r="D468" s="23"/>
      <c r="E468" s="23"/>
      <c r="F468" s="23"/>
      <c r="G468" s="23"/>
    </row>
    <row r="469" spans="4:7" x14ac:dyDescent="0.25">
      <c r="D469" s="23"/>
      <c r="E469" s="23"/>
      <c r="F469" s="23"/>
      <c r="G469" s="23"/>
    </row>
    <row r="470" spans="4:7" x14ac:dyDescent="0.25">
      <c r="D470" s="23"/>
      <c r="E470" s="23"/>
      <c r="F470" s="23"/>
      <c r="G470" s="23"/>
    </row>
    <row r="471" spans="4:7" x14ac:dyDescent="0.25">
      <c r="D471" s="23"/>
      <c r="E471" s="23"/>
      <c r="F471" s="23"/>
      <c r="G471" s="23"/>
    </row>
    <row r="472" spans="4:7" x14ac:dyDescent="0.25">
      <c r="D472" s="23"/>
      <c r="E472" s="23"/>
      <c r="F472" s="23"/>
      <c r="G472" s="23"/>
    </row>
    <row r="473" spans="4:7" x14ac:dyDescent="0.25">
      <c r="D473" s="23"/>
      <c r="E473" s="23"/>
      <c r="F473" s="23"/>
      <c r="G473" s="23"/>
    </row>
    <row r="474" spans="4:7" x14ac:dyDescent="0.25">
      <c r="D474" s="23"/>
      <c r="E474" s="23"/>
      <c r="F474" s="23"/>
      <c r="G474" s="23"/>
    </row>
    <row r="475" spans="4:7" x14ac:dyDescent="0.25">
      <c r="D475" s="23"/>
      <c r="E475" s="23"/>
      <c r="F475" s="23"/>
      <c r="G475" s="23"/>
    </row>
    <row r="476" spans="4:7" x14ac:dyDescent="0.25">
      <c r="D476" s="23"/>
      <c r="E476" s="23"/>
      <c r="F476" s="23"/>
      <c r="G476" s="23"/>
    </row>
    <row r="477" spans="4:7" x14ac:dyDescent="0.25">
      <c r="D477" s="23"/>
      <c r="E477" s="23"/>
      <c r="F477" s="23"/>
      <c r="G477" s="23"/>
    </row>
    <row r="478" spans="4:7" x14ac:dyDescent="0.25">
      <c r="D478" s="23"/>
      <c r="E478" s="23"/>
      <c r="F478" s="23"/>
      <c r="G478" s="23"/>
    </row>
    <row r="479" spans="4:7" x14ac:dyDescent="0.25">
      <c r="D479" s="23"/>
      <c r="E479" s="23"/>
      <c r="F479" s="23"/>
      <c r="G479" s="23"/>
    </row>
    <row r="480" spans="4:7" x14ac:dyDescent="0.25">
      <c r="D480" s="23"/>
      <c r="E480" s="23"/>
      <c r="F480" s="23"/>
      <c r="G480" s="23"/>
    </row>
    <row r="481" spans="4:7" x14ac:dyDescent="0.25">
      <c r="D481" s="23"/>
      <c r="E481" s="23"/>
      <c r="F481" s="23"/>
      <c r="G481" s="23"/>
    </row>
    <row r="482" spans="4:7" x14ac:dyDescent="0.25">
      <c r="D482" s="23"/>
      <c r="E482" s="23"/>
      <c r="F482" s="23"/>
      <c r="G482" s="23"/>
    </row>
    <row r="483" spans="4:7" x14ac:dyDescent="0.25">
      <c r="D483" s="23"/>
      <c r="E483" s="23"/>
      <c r="F483" s="23"/>
      <c r="G483" s="23"/>
    </row>
    <row r="484" spans="4:7" x14ac:dyDescent="0.25">
      <c r="D484" s="23"/>
      <c r="E484" s="23"/>
      <c r="F484" s="23"/>
      <c r="G484" s="23"/>
    </row>
    <row r="485" spans="4:7" x14ac:dyDescent="0.25">
      <c r="D485" s="23"/>
      <c r="E485" s="23"/>
      <c r="F485" s="23"/>
      <c r="G485" s="23"/>
    </row>
    <row r="486" spans="4:7" x14ac:dyDescent="0.25">
      <c r="D486" s="23"/>
      <c r="E486" s="23"/>
      <c r="F486" s="23"/>
      <c r="G486" s="23"/>
    </row>
    <row r="487" spans="4:7" x14ac:dyDescent="0.25">
      <c r="D487" s="23"/>
      <c r="E487" s="23"/>
      <c r="F487" s="23"/>
      <c r="G487" s="23"/>
    </row>
    <row r="488" spans="4:7" x14ac:dyDescent="0.25">
      <c r="D488" s="23"/>
      <c r="E488" s="23"/>
      <c r="F488" s="23"/>
      <c r="G488" s="23"/>
    </row>
    <row r="489" spans="4:7" x14ac:dyDescent="0.25">
      <c r="D489" s="23"/>
      <c r="E489" s="23"/>
      <c r="F489" s="23"/>
      <c r="G489" s="23"/>
    </row>
    <row r="490" spans="4:7" x14ac:dyDescent="0.25">
      <c r="D490" s="23"/>
      <c r="E490" s="23"/>
      <c r="F490" s="23"/>
      <c r="G490" s="23"/>
    </row>
    <row r="491" spans="4:7" x14ac:dyDescent="0.25">
      <c r="D491" s="23"/>
      <c r="E491" s="23"/>
      <c r="F491" s="23"/>
      <c r="G491" s="23"/>
    </row>
    <row r="492" spans="4:7" x14ac:dyDescent="0.25">
      <c r="D492" s="23"/>
      <c r="E492" s="23"/>
      <c r="F492" s="23"/>
      <c r="G492" s="23"/>
    </row>
    <row r="493" spans="4:7" x14ac:dyDescent="0.25">
      <c r="D493" s="23"/>
      <c r="E493" s="23"/>
      <c r="F493" s="23"/>
      <c r="G493" s="23"/>
    </row>
    <row r="494" spans="4:7" x14ac:dyDescent="0.25">
      <c r="D494" s="23"/>
      <c r="E494" s="23"/>
      <c r="F494" s="23"/>
      <c r="G494" s="23"/>
    </row>
    <row r="495" spans="4:7" x14ac:dyDescent="0.25">
      <c r="D495" s="23"/>
      <c r="E495" s="23"/>
      <c r="F495" s="23"/>
      <c r="G495" s="23"/>
    </row>
    <row r="496" spans="4:7" x14ac:dyDescent="0.25">
      <c r="D496" s="23"/>
      <c r="E496" s="23"/>
      <c r="F496" s="23"/>
      <c r="G496" s="23"/>
    </row>
    <row r="497" spans="4:7" x14ac:dyDescent="0.25">
      <c r="D497" s="23"/>
      <c r="E497" s="23"/>
      <c r="F497" s="23"/>
      <c r="G497" s="23"/>
    </row>
    <row r="498" spans="4:7" x14ac:dyDescent="0.25">
      <c r="D498" s="23"/>
      <c r="E498" s="23"/>
      <c r="F498" s="23"/>
      <c r="G498" s="23"/>
    </row>
    <row r="499" spans="4:7" x14ac:dyDescent="0.25">
      <c r="D499" s="23"/>
      <c r="E499" s="23"/>
      <c r="F499" s="23"/>
      <c r="G499" s="23"/>
    </row>
    <row r="500" spans="4:7" x14ac:dyDescent="0.25">
      <c r="D500" s="23"/>
      <c r="E500" s="23"/>
      <c r="F500" s="23"/>
      <c r="G500" s="23"/>
    </row>
    <row r="501" spans="4:7" x14ac:dyDescent="0.25">
      <c r="D501" s="23"/>
      <c r="E501" s="23"/>
      <c r="F501" s="23"/>
      <c r="G501" s="23"/>
    </row>
    <row r="502" spans="4:7" x14ac:dyDescent="0.25">
      <c r="D502" s="23"/>
      <c r="E502" s="23"/>
      <c r="F502" s="23"/>
      <c r="G502" s="23"/>
    </row>
    <row r="503" spans="4:7" x14ac:dyDescent="0.25">
      <c r="D503" s="23"/>
      <c r="E503" s="23"/>
      <c r="F503" s="23"/>
      <c r="G503" s="23"/>
    </row>
    <row r="504" spans="4:7" x14ac:dyDescent="0.25">
      <c r="D504" s="23"/>
      <c r="E504" s="23"/>
      <c r="F504" s="23"/>
      <c r="G504" s="23"/>
    </row>
    <row r="505" spans="4:7" x14ac:dyDescent="0.25">
      <c r="D505" s="23"/>
      <c r="E505" s="23"/>
      <c r="F505" s="23"/>
      <c r="G505" s="23"/>
    </row>
    <row r="506" spans="4:7" x14ac:dyDescent="0.25">
      <c r="D506" s="23"/>
      <c r="E506" s="23"/>
      <c r="F506" s="23"/>
      <c r="G506" s="23"/>
    </row>
    <row r="507" spans="4:7" x14ac:dyDescent="0.25">
      <c r="D507" s="23"/>
      <c r="E507" s="23"/>
      <c r="F507" s="23"/>
      <c r="G507" s="23"/>
    </row>
    <row r="508" spans="4:7" x14ac:dyDescent="0.25">
      <c r="D508" s="23"/>
      <c r="E508" s="23"/>
      <c r="F508" s="23"/>
      <c r="G508" s="23"/>
    </row>
    <row r="509" spans="4:7" x14ac:dyDescent="0.25">
      <c r="D509" s="23"/>
      <c r="E509" s="23"/>
      <c r="F509" s="23"/>
      <c r="G509" s="23"/>
    </row>
    <row r="510" spans="4:7" x14ac:dyDescent="0.25">
      <c r="D510" s="23"/>
      <c r="E510" s="23"/>
      <c r="F510" s="23"/>
      <c r="G510" s="23"/>
    </row>
    <row r="511" spans="4:7" x14ac:dyDescent="0.25">
      <c r="D511" s="23"/>
      <c r="E511" s="23"/>
      <c r="F511" s="23"/>
      <c r="G511" s="23"/>
    </row>
    <row r="512" spans="4:7" x14ac:dyDescent="0.25">
      <c r="D512" s="23"/>
      <c r="E512" s="23"/>
      <c r="F512" s="23"/>
      <c r="G512" s="23"/>
    </row>
    <row r="513" spans="4:7" x14ac:dyDescent="0.25">
      <c r="D513" s="23"/>
      <c r="E513" s="23"/>
      <c r="F513" s="23"/>
      <c r="G513" s="23"/>
    </row>
    <row r="514" spans="4:7" x14ac:dyDescent="0.25">
      <c r="D514" s="23"/>
      <c r="E514" s="23"/>
      <c r="F514" s="23"/>
      <c r="G514" s="23"/>
    </row>
    <row r="515" spans="4:7" x14ac:dyDescent="0.25">
      <c r="D515" s="23"/>
      <c r="E515" s="23"/>
      <c r="F515" s="23"/>
      <c r="G515" s="23"/>
    </row>
    <row r="516" spans="4:7" x14ac:dyDescent="0.25">
      <c r="D516" s="23"/>
      <c r="E516" s="23"/>
      <c r="F516" s="23"/>
      <c r="G516" s="23"/>
    </row>
    <row r="517" spans="4:7" x14ac:dyDescent="0.25">
      <c r="D517" s="23"/>
      <c r="E517" s="23"/>
      <c r="F517" s="23"/>
      <c r="G517" s="23"/>
    </row>
    <row r="518" spans="4:7" x14ac:dyDescent="0.25">
      <c r="D518" s="23"/>
      <c r="E518" s="23"/>
      <c r="F518" s="23"/>
      <c r="G518" s="23"/>
    </row>
    <row r="519" spans="4:7" x14ac:dyDescent="0.25">
      <c r="D519" s="23"/>
      <c r="E519" s="23"/>
      <c r="F519" s="23"/>
      <c r="G519" s="23"/>
    </row>
    <row r="520" spans="4:7" x14ac:dyDescent="0.25">
      <c r="D520" s="23"/>
      <c r="E520" s="23"/>
      <c r="F520" s="23"/>
      <c r="G520" s="23"/>
    </row>
    <row r="521" spans="4:7" x14ac:dyDescent="0.25">
      <c r="D521" s="23"/>
      <c r="E521" s="23"/>
      <c r="F521" s="23"/>
      <c r="G521" s="23"/>
    </row>
    <row r="522" spans="4:7" x14ac:dyDescent="0.25">
      <c r="D522" s="23"/>
      <c r="E522" s="23"/>
      <c r="F522" s="23"/>
      <c r="G522" s="23"/>
    </row>
    <row r="523" spans="4:7" x14ac:dyDescent="0.25">
      <c r="D523" s="23"/>
      <c r="E523" s="23"/>
      <c r="F523" s="23"/>
      <c r="G523" s="23"/>
    </row>
    <row r="524" spans="4:7" x14ac:dyDescent="0.25">
      <c r="D524" s="23"/>
      <c r="E524" s="23"/>
      <c r="F524" s="23"/>
      <c r="G524" s="23"/>
    </row>
    <row r="525" spans="4:7" x14ac:dyDescent="0.25">
      <c r="D525" s="23"/>
      <c r="E525" s="23"/>
      <c r="F525" s="23"/>
      <c r="G525" s="23"/>
    </row>
    <row r="526" spans="4:7" x14ac:dyDescent="0.25">
      <c r="D526" s="23"/>
      <c r="E526" s="23"/>
      <c r="F526" s="23"/>
      <c r="G526" s="23"/>
    </row>
    <row r="527" spans="4:7" x14ac:dyDescent="0.25">
      <c r="D527" s="23"/>
      <c r="E527" s="23"/>
      <c r="F527" s="23"/>
      <c r="G527" s="23"/>
    </row>
    <row r="528" spans="4:7" x14ac:dyDescent="0.25">
      <c r="D528" s="23"/>
      <c r="E528" s="23"/>
      <c r="F528" s="23"/>
      <c r="G528" s="23"/>
    </row>
    <row r="529" spans="4:7" x14ac:dyDescent="0.25">
      <c r="D529" s="23"/>
      <c r="E529" s="23"/>
      <c r="F529" s="23"/>
      <c r="G529" s="23"/>
    </row>
    <row r="530" spans="4:7" x14ac:dyDescent="0.25">
      <c r="D530" s="23"/>
      <c r="E530" s="23"/>
      <c r="F530" s="23"/>
      <c r="G530" s="23"/>
    </row>
    <row r="531" spans="4:7" x14ac:dyDescent="0.25">
      <c r="D531" s="23"/>
      <c r="E531" s="23"/>
      <c r="F531" s="23"/>
      <c r="G531" s="23"/>
    </row>
    <row r="532" spans="4:7" x14ac:dyDescent="0.25">
      <c r="D532" s="23"/>
      <c r="E532" s="23"/>
      <c r="F532" s="23"/>
      <c r="G532" s="23"/>
    </row>
    <row r="533" spans="4:7" x14ac:dyDescent="0.25">
      <c r="D533" s="23"/>
      <c r="E533" s="23"/>
      <c r="F533" s="23"/>
      <c r="G533" s="23"/>
    </row>
    <row r="534" spans="4:7" x14ac:dyDescent="0.25">
      <c r="D534" s="23"/>
      <c r="E534" s="23"/>
      <c r="F534" s="23"/>
      <c r="G534" s="23"/>
    </row>
    <row r="535" spans="4:7" x14ac:dyDescent="0.25">
      <c r="D535" s="23"/>
      <c r="E535" s="23"/>
      <c r="F535" s="23"/>
      <c r="G535" s="23"/>
    </row>
    <row r="536" spans="4:7" x14ac:dyDescent="0.25">
      <c r="D536" s="23"/>
      <c r="E536" s="23"/>
      <c r="F536" s="23"/>
      <c r="G536" s="23"/>
    </row>
    <row r="537" spans="4:7" x14ac:dyDescent="0.25">
      <c r="D537" s="23"/>
      <c r="E537" s="23"/>
      <c r="F537" s="23"/>
      <c r="G537" s="23"/>
    </row>
    <row r="538" spans="4:7" x14ac:dyDescent="0.25">
      <c r="D538" s="23"/>
      <c r="E538" s="23"/>
      <c r="F538" s="23"/>
      <c r="G538" s="23"/>
    </row>
    <row r="539" spans="4:7" x14ac:dyDescent="0.25">
      <c r="D539" s="23"/>
      <c r="E539" s="23"/>
      <c r="F539" s="23"/>
      <c r="G539" s="23"/>
    </row>
    <row r="540" spans="4:7" x14ac:dyDescent="0.25">
      <c r="D540" s="23"/>
      <c r="E540" s="23"/>
      <c r="F540" s="23"/>
      <c r="G540" s="23"/>
    </row>
    <row r="541" spans="4:7" x14ac:dyDescent="0.25">
      <c r="D541" s="23"/>
      <c r="E541" s="23"/>
      <c r="F541" s="23"/>
      <c r="G541" s="23"/>
    </row>
    <row r="542" spans="4:7" x14ac:dyDescent="0.25">
      <c r="D542" s="23"/>
      <c r="E542" s="23"/>
      <c r="F542" s="23"/>
      <c r="G542" s="23"/>
    </row>
    <row r="543" spans="4:7" x14ac:dyDescent="0.25">
      <c r="D543" s="23"/>
      <c r="E543" s="23"/>
      <c r="F543" s="23"/>
      <c r="G543" s="23"/>
    </row>
    <row r="544" spans="4:7" x14ac:dyDescent="0.25">
      <c r="D544" s="23"/>
      <c r="E544" s="23"/>
      <c r="F544" s="23"/>
      <c r="G544" s="23"/>
    </row>
    <row r="545" spans="4:7" x14ac:dyDescent="0.25">
      <c r="D545" s="23"/>
      <c r="E545" s="23"/>
      <c r="F545" s="23"/>
      <c r="G545" s="23"/>
    </row>
    <row r="546" spans="4:7" x14ac:dyDescent="0.25">
      <c r="D546" s="23"/>
      <c r="E546" s="23"/>
      <c r="F546" s="23"/>
      <c r="G546" s="23"/>
    </row>
    <row r="547" spans="4:7" x14ac:dyDescent="0.25">
      <c r="D547" s="23"/>
      <c r="E547" s="23"/>
      <c r="F547" s="23"/>
      <c r="G547" s="23"/>
    </row>
    <row r="548" spans="4:7" x14ac:dyDescent="0.25">
      <c r="D548" s="23"/>
      <c r="E548" s="23"/>
      <c r="F548" s="23"/>
      <c r="G548" s="23"/>
    </row>
    <row r="549" spans="4:7" x14ac:dyDescent="0.25">
      <c r="D549" s="23"/>
      <c r="E549" s="23"/>
      <c r="F549" s="23"/>
      <c r="G549" s="23"/>
    </row>
    <row r="550" spans="4:7" x14ac:dyDescent="0.25">
      <c r="D550" s="23"/>
      <c r="E550" s="23"/>
      <c r="F550" s="23"/>
      <c r="G550" s="23"/>
    </row>
    <row r="551" spans="4:7" x14ac:dyDescent="0.25">
      <c r="D551" s="23"/>
      <c r="E551" s="23"/>
      <c r="F551" s="23"/>
      <c r="G551" s="23"/>
    </row>
    <row r="552" spans="4:7" x14ac:dyDescent="0.25">
      <c r="D552" s="23"/>
      <c r="E552" s="23"/>
      <c r="F552" s="23"/>
      <c r="G552" s="23"/>
    </row>
    <row r="553" spans="4:7" x14ac:dyDescent="0.25">
      <c r="D553" s="23"/>
      <c r="E553" s="23"/>
      <c r="F553" s="23"/>
      <c r="G553" s="23"/>
    </row>
    <row r="554" spans="4:7" x14ac:dyDescent="0.25">
      <c r="D554" s="23"/>
      <c r="E554" s="23"/>
      <c r="F554" s="23"/>
      <c r="G554" s="23"/>
    </row>
    <row r="555" spans="4:7" x14ac:dyDescent="0.25">
      <c r="D555" s="23"/>
      <c r="E555" s="23"/>
      <c r="F555" s="23"/>
      <c r="G555" s="23"/>
    </row>
    <row r="556" spans="4:7" x14ac:dyDescent="0.25">
      <c r="D556" s="23"/>
      <c r="E556" s="23"/>
      <c r="F556" s="23"/>
      <c r="G556" s="23"/>
    </row>
    <row r="557" spans="4:7" x14ac:dyDescent="0.25">
      <c r="D557" s="23"/>
      <c r="E557" s="23"/>
      <c r="F557" s="23"/>
      <c r="G557" s="23"/>
    </row>
    <row r="558" spans="4:7" x14ac:dyDescent="0.25">
      <c r="D558" s="23"/>
      <c r="E558" s="23"/>
      <c r="F558" s="23"/>
      <c r="G558" s="23"/>
    </row>
    <row r="559" spans="4:7" x14ac:dyDescent="0.25">
      <c r="D559" s="23"/>
      <c r="E559" s="23"/>
      <c r="F559" s="23"/>
      <c r="G559" s="23"/>
    </row>
    <row r="560" spans="4:7" x14ac:dyDescent="0.25">
      <c r="D560" s="23"/>
      <c r="E560" s="23"/>
      <c r="F560" s="23"/>
      <c r="G560" s="23"/>
    </row>
    <row r="561" spans="4:7" x14ac:dyDescent="0.25">
      <c r="D561" s="23"/>
      <c r="E561" s="23"/>
      <c r="F561" s="23"/>
      <c r="G561" s="23"/>
    </row>
    <row r="562" spans="4:7" x14ac:dyDescent="0.25">
      <c r="D562" s="23"/>
      <c r="E562" s="23"/>
      <c r="F562" s="23"/>
      <c r="G562" s="23"/>
    </row>
    <row r="563" spans="4:7" x14ac:dyDescent="0.25">
      <c r="D563" s="23"/>
      <c r="E563" s="23"/>
      <c r="F563" s="23"/>
      <c r="G563" s="23"/>
    </row>
    <row r="564" spans="4:7" x14ac:dyDescent="0.25">
      <c r="D564" s="23"/>
      <c r="E564" s="23"/>
      <c r="F564" s="23"/>
      <c r="G564" s="23"/>
    </row>
    <row r="565" spans="4:7" x14ac:dyDescent="0.25">
      <c r="D565" s="23"/>
      <c r="E565" s="23"/>
      <c r="F565" s="23"/>
      <c r="G565" s="23"/>
    </row>
    <row r="566" spans="4:7" x14ac:dyDescent="0.25">
      <c r="D566" s="23"/>
      <c r="E566" s="23"/>
      <c r="F566" s="23"/>
      <c r="G566" s="23"/>
    </row>
    <row r="567" spans="4:7" x14ac:dyDescent="0.25">
      <c r="D567" s="23"/>
      <c r="E567" s="23"/>
      <c r="F567" s="23"/>
      <c r="G567" s="23"/>
    </row>
    <row r="568" spans="4:7" x14ac:dyDescent="0.25">
      <c r="D568" s="23"/>
      <c r="E568" s="23"/>
      <c r="F568" s="23"/>
      <c r="G568" s="23"/>
    </row>
    <row r="569" spans="4:7" x14ac:dyDescent="0.25">
      <c r="D569" s="23"/>
      <c r="E569" s="23"/>
      <c r="F569" s="23"/>
      <c r="G569" s="23"/>
    </row>
    <row r="570" spans="4:7" x14ac:dyDescent="0.25">
      <c r="D570" s="23"/>
      <c r="E570" s="23"/>
      <c r="F570" s="23"/>
      <c r="G570" s="23"/>
    </row>
    <row r="571" spans="4:7" x14ac:dyDescent="0.25">
      <c r="D571" s="23"/>
      <c r="E571" s="23"/>
      <c r="F571" s="23"/>
      <c r="G571" s="23"/>
    </row>
    <row r="572" spans="4:7" x14ac:dyDescent="0.25">
      <c r="D572" s="23"/>
      <c r="E572" s="23"/>
      <c r="F572" s="23"/>
      <c r="G572" s="23"/>
    </row>
    <row r="573" spans="4:7" x14ac:dyDescent="0.25">
      <c r="D573" s="23"/>
      <c r="E573" s="23"/>
      <c r="F573" s="23"/>
      <c r="G573" s="23"/>
    </row>
    <row r="574" spans="4:7" x14ac:dyDescent="0.25">
      <c r="D574" s="23"/>
      <c r="E574" s="23"/>
      <c r="F574" s="23"/>
      <c r="G574" s="23"/>
    </row>
    <row r="575" spans="4:7" x14ac:dyDescent="0.25">
      <c r="D575" s="23"/>
      <c r="E575" s="23"/>
      <c r="F575" s="23"/>
      <c r="G575" s="23"/>
    </row>
    <row r="576" spans="4:7" x14ac:dyDescent="0.25">
      <c r="D576" s="23"/>
      <c r="E576" s="23"/>
      <c r="F576" s="23"/>
      <c r="G576" s="23"/>
    </row>
    <row r="577" spans="4:7" x14ac:dyDescent="0.25">
      <c r="D577" s="23"/>
      <c r="E577" s="23"/>
      <c r="F577" s="23"/>
      <c r="G577" s="23"/>
    </row>
    <row r="578" spans="4:7" x14ac:dyDescent="0.25">
      <c r="D578" s="23"/>
      <c r="E578" s="23"/>
      <c r="F578" s="23"/>
      <c r="G578" s="23"/>
    </row>
    <row r="579" spans="4:7" x14ac:dyDescent="0.25">
      <c r="D579" s="23"/>
      <c r="E579" s="23"/>
      <c r="F579" s="23"/>
      <c r="G579" s="23"/>
    </row>
    <row r="580" spans="4:7" x14ac:dyDescent="0.25">
      <c r="D580" s="23"/>
      <c r="E580" s="23"/>
      <c r="F580" s="23"/>
      <c r="G580" s="23"/>
    </row>
    <row r="581" spans="4:7" x14ac:dyDescent="0.25">
      <c r="D581" s="23"/>
      <c r="E581" s="23"/>
      <c r="F581" s="23"/>
      <c r="G581" s="23"/>
    </row>
    <row r="582" spans="4:7" x14ac:dyDescent="0.25">
      <c r="D582" s="23"/>
      <c r="E582" s="23"/>
      <c r="F582" s="23"/>
      <c r="G582" s="23"/>
    </row>
    <row r="583" spans="4:7" x14ac:dyDescent="0.25">
      <c r="D583" s="23"/>
      <c r="E583" s="23"/>
      <c r="F583" s="23"/>
      <c r="G583" s="23"/>
    </row>
    <row r="584" spans="4:7" x14ac:dyDescent="0.25">
      <c r="D584" s="23"/>
      <c r="E584" s="23"/>
      <c r="F584" s="23"/>
      <c r="G584" s="23"/>
    </row>
    <row r="585" spans="4:7" x14ac:dyDescent="0.25">
      <c r="D585" s="23"/>
      <c r="E585" s="23"/>
      <c r="F585" s="23"/>
      <c r="G585" s="23"/>
    </row>
    <row r="586" spans="4:7" x14ac:dyDescent="0.25">
      <c r="D586" s="23"/>
      <c r="E586" s="23"/>
      <c r="F586" s="23"/>
      <c r="G586" s="23"/>
    </row>
    <row r="587" spans="4:7" x14ac:dyDescent="0.25">
      <c r="D587" s="23"/>
      <c r="E587" s="23"/>
      <c r="F587" s="23"/>
      <c r="G587" s="23"/>
    </row>
    <row r="588" spans="4:7" x14ac:dyDescent="0.25">
      <c r="D588" s="23"/>
      <c r="E588" s="23"/>
      <c r="F588" s="23"/>
      <c r="G588" s="23"/>
    </row>
    <row r="589" spans="4:7" x14ac:dyDescent="0.25">
      <c r="D589" s="23"/>
      <c r="E589" s="23"/>
      <c r="F589" s="23"/>
      <c r="G589" s="23"/>
    </row>
    <row r="590" spans="4:7" x14ac:dyDescent="0.25">
      <c r="D590" s="23"/>
      <c r="E590" s="23"/>
      <c r="F590" s="23"/>
      <c r="G590" s="23"/>
    </row>
    <row r="591" spans="4:7" x14ac:dyDescent="0.25">
      <c r="D591" s="23"/>
      <c r="E591" s="23"/>
      <c r="F591" s="23"/>
      <c r="G591" s="23"/>
    </row>
    <row r="592" spans="4:7" x14ac:dyDescent="0.25">
      <c r="D592" s="23"/>
      <c r="E592" s="23"/>
      <c r="F592" s="23"/>
      <c r="G592" s="23"/>
    </row>
    <row r="593" spans="4:7" x14ac:dyDescent="0.25">
      <c r="D593" s="23"/>
      <c r="E593" s="23"/>
      <c r="F593" s="23"/>
      <c r="G593" s="23"/>
    </row>
    <row r="594" spans="4:7" x14ac:dyDescent="0.25">
      <c r="D594" s="23"/>
      <c r="E594" s="23"/>
      <c r="F594" s="23"/>
      <c r="G594" s="23"/>
    </row>
    <row r="595" spans="4:7" x14ac:dyDescent="0.25">
      <c r="D595" s="23"/>
      <c r="E595" s="23"/>
      <c r="F595" s="23"/>
      <c r="G595" s="23"/>
    </row>
    <row r="596" spans="4:7" x14ac:dyDescent="0.25">
      <c r="D596" s="23"/>
      <c r="E596" s="23"/>
      <c r="F596" s="23"/>
      <c r="G596" s="23"/>
    </row>
    <row r="597" spans="4:7" x14ac:dyDescent="0.25">
      <c r="D597" s="23"/>
      <c r="E597" s="23"/>
      <c r="F597" s="23"/>
      <c r="G597" s="23"/>
    </row>
    <row r="598" spans="4:7" x14ac:dyDescent="0.25">
      <c r="D598" s="23"/>
      <c r="E598" s="23"/>
      <c r="F598" s="23"/>
      <c r="G598" s="23"/>
    </row>
    <row r="599" spans="4:7" x14ac:dyDescent="0.25">
      <c r="D599" s="23"/>
      <c r="E599" s="23"/>
      <c r="F599" s="23"/>
      <c r="G599" s="23"/>
    </row>
    <row r="600" spans="4:7" x14ac:dyDescent="0.25">
      <c r="D600" s="23"/>
      <c r="E600" s="23"/>
      <c r="F600" s="23"/>
      <c r="G600" s="23"/>
    </row>
    <row r="601" spans="4:7" x14ac:dyDescent="0.25">
      <c r="D601" s="23"/>
      <c r="E601" s="23"/>
      <c r="F601" s="23"/>
      <c r="G601" s="23"/>
    </row>
    <row r="602" spans="4:7" x14ac:dyDescent="0.25">
      <c r="D602" s="23"/>
      <c r="E602" s="23"/>
      <c r="F602" s="23"/>
      <c r="G602" s="23"/>
    </row>
    <row r="603" spans="4:7" x14ac:dyDescent="0.25">
      <c r="D603" s="23"/>
      <c r="E603" s="23"/>
      <c r="F603" s="23"/>
      <c r="G603" s="23"/>
    </row>
    <row r="604" spans="4:7" x14ac:dyDescent="0.25">
      <c r="D604" s="23"/>
      <c r="E604" s="23"/>
      <c r="F604" s="23"/>
      <c r="G604" s="23"/>
    </row>
    <row r="605" spans="4:7" x14ac:dyDescent="0.25">
      <c r="D605" s="23"/>
      <c r="E605" s="23"/>
      <c r="F605" s="23"/>
      <c r="G605" s="23"/>
    </row>
    <row r="606" spans="4:7" x14ac:dyDescent="0.25">
      <c r="D606" s="23"/>
      <c r="E606" s="23"/>
      <c r="F606" s="23"/>
      <c r="G606" s="23"/>
    </row>
    <row r="607" spans="4:7" x14ac:dyDescent="0.25">
      <c r="D607" s="23"/>
      <c r="E607" s="23"/>
      <c r="F607" s="23"/>
      <c r="G607" s="23"/>
    </row>
    <row r="608" spans="4:7" x14ac:dyDescent="0.25">
      <c r="D608" s="23"/>
      <c r="E608" s="23"/>
      <c r="F608" s="23"/>
      <c r="G608" s="23"/>
    </row>
    <row r="609" spans="4:7" x14ac:dyDescent="0.25">
      <c r="D609" s="23"/>
      <c r="E609" s="23"/>
      <c r="F609" s="23"/>
      <c r="G609" s="23"/>
    </row>
    <row r="610" spans="4:7" x14ac:dyDescent="0.25">
      <c r="D610" s="23"/>
      <c r="E610" s="23"/>
      <c r="F610" s="23"/>
      <c r="G610" s="23"/>
    </row>
    <row r="611" spans="4:7" x14ac:dyDescent="0.25">
      <c r="D611" s="23"/>
      <c r="E611" s="23"/>
      <c r="F611" s="23"/>
      <c r="G611" s="23"/>
    </row>
    <row r="612" spans="4:7" x14ac:dyDescent="0.25">
      <c r="D612" s="23"/>
      <c r="E612" s="23"/>
      <c r="F612" s="23"/>
      <c r="G612" s="23"/>
    </row>
    <row r="613" spans="4:7" x14ac:dyDescent="0.25">
      <c r="D613" s="23"/>
      <c r="E613" s="23"/>
      <c r="F613" s="23"/>
      <c r="G613" s="23"/>
    </row>
    <row r="614" spans="4:7" x14ac:dyDescent="0.25">
      <c r="D614" s="23"/>
      <c r="E614" s="23"/>
      <c r="F614" s="23"/>
      <c r="G614" s="23"/>
    </row>
    <row r="615" spans="4:7" x14ac:dyDescent="0.25">
      <c r="D615" s="23"/>
      <c r="E615" s="23"/>
      <c r="F615" s="23"/>
      <c r="G615" s="23"/>
    </row>
    <row r="616" spans="4:7" x14ac:dyDescent="0.25">
      <c r="D616" s="23"/>
      <c r="E616" s="23"/>
      <c r="F616" s="23"/>
      <c r="G616" s="23"/>
    </row>
    <row r="617" spans="4:7" x14ac:dyDescent="0.25">
      <c r="D617" s="23"/>
      <c r="E617" s="23"/>
      <c r="F617" s="23"/>
      <c r="G617" s="23"/>
    </row>
    <row r="618" spans="4:7" x14ac:dyDescent="0.25">
      <c r="D618" s="23"/>
      <c r="E618" s="23"/>
      <c r="F618" s="23"/>
      <c r="G618" s="23"/>
    </row>
    <row r="619" spans="4:7" x14ac:dyDescent="0.25">
      <c r="D619" s="23"/>
      <c r="E619" s="23"/>
      <c r="F619" s="23"/>
      <c r="G619" s="23"/>
    </row>
    <row r="620" spans="4:7" x14ac:dyDescent="0.25">
      <c r="D620" s="23"/>
      <c r="E620" s="23"/>
      <c r="F620" s="23"/>
      <c r="G620" s="23"/>
    </row>
    <row r="621" spans="4:7" x14ac:dyDescent="0.25">
      <c r="D621" s="23"/>
      <c r="E621" s="23"/>
      <c r="F621" s="23"/>
      <c r="G621" s="23"/>
    </row>
    <row r="622" spans="4:7" x14ac:dyDescent="0.25">
      <c r="D622" s="23"/>
      <c r="E622" s="23"/>
      <c r="F622" s="23"/>
      <c r="G622" s="23"/>
    </row>
    <row r="623" spans="4:7" x14ac:dyDescent="0.25">
      <c r="D623" s="23"/>
      <c r="E623" s="23"/>
      <c r="F623" s="23"/>
      <c r="G623" s="23"/>
    </row>
    <row r="624" spans="4:7" x14ac:dyDescent="0.25">
      <c r="D624" s="23"/>
      <c r="E624" s="23"/>
      <c r="F624" s="23"/>
      <c r="G624" s="23"/>
    </row>
    <row r="625" spans="4:7" x14ac:dyDescent="0.25">
      <c r="D625" s="23"/>
      <c r="E625" s="23"/>
      <c r="F625" s="23"/>
      <c r="G625" s="23"/>
    </row>
    <row r="626" spans="4:7" x14ac:dyDescent="0.25">
      <c r="D626" s="23"/>
      <c r="E626" s="23"/>
      <c r="F626" s="23"/>
      <c r="G626" s="23"/>
    </row>
    <row r="627" spans="4:7" x14ac:dyDescent="0.25">
      <c r="D627" s="23"/>
      <c r="E627" s="23"/>
      <c r="F627" s="23"/>
      <c r="G627" s="23"/>
    </row>
    <row r="628" spans="4:7" x14ac:dyDescent="0.25">
      <c r="D628" s="23"/>
      <c r="E628" s="23"/>
      <c r="F628" s="23"/>
      <c r="G628" s="23"/>
    </row>
    <row r="629" spans="4:7" x14ac:dyDescent="0.25">
      <c r="D629" s="23"/>
      <c r="E629" s="23"/>
      <c r="F629" s="23"/>
      <c r="G629" s="23"/>
    </row>
    <row r="630" spans="4:7" x14ac:dyDescent="0.25">
      <c r="D630" s="23"/>
      <c r="E630" s="23"/>
      <c r="F630" s="23"/>
      <c r="G630" s="23"/>
    </row>
    <row r="631" spans="4:7" x14ac:dyDescent="0.25">
      <c r="D631" s="23"/>
      <c r="E631" s="23"/>
      <c r="F631" s="23"/>
      <c r="G631" s="23"/>
    </row>
    <row r="632" spans="4:7" x14ac:dyDescent="0.25">
      <c r="D632" s="23"/>
      <c r="E632" s="23"/>
      <c r="F632" s="23"/>
      <c r="G632" s="23"/>
    </row>
    <row r="633" spans="4:7" x14ac:dyDescent="0.25">
      <c r="D633" s="23"/>
      <c r="E633" s="23"/>
      <c r="F633" s="23"/>
      <c r="G633" s="23"/>
    </row>
    <row r="634" spans="4:7" x14ac:dyDescent="0.25">
      <c r="D634" s="23"/>
      <c r="E634" s="23"/>
      <c r="F634" s="23"/>
      <c r="G634" s="23"/>
    </row>
    <row r="635" spans="4:7" x14ac:dyDescent="0.25">
      <c r="D635" s="23"/>
      <c r="E635" s="23"/>
      <c r="F635" s="23"/>
      <c r="G635" s="23"/>
    </row>
    <row r="636" spans="4:7" x14ac:dyDescent="0.25">
      <c r="D636" s="23"/>
      <c r="E636" s="23"/>
      <c r="F636" s="23"/>
      <c r="G636" s="23"/>
    </row>
    <row r="637" spans="4:7" x14ac:dyDescent="0.25">
      <c r="D637" s="23"/>
      <c r="E637" s="23"/>
      <c r="F637" s="23"/>
      <c r="G637" s="23"/>
    </row>
    <row r="638" spans="4:7" x14ac:dyDescent="0.25">
      <c r="D638" s="23"/>
      <c r="E638" s="23"/>
      <c r="F638" s="23"/>
      <c r="G638" s="23"/>
    </row>
    <row r="639" spans="4:7" x14ac:dyDescent="0.25">
      <c r="D639" s="23"/>
      <c r="E639" s="23"/>
      <c r="F639" s="23"/>
      <c r="G639" s="23"/>
    </row>
    <row r="640" spans="4:7" x14ac:dyDescent="0.25">
      <c r="D640" s="23"/>
      <c r="E640" s="23"/>
      <c r="F640" s="23"/>
      <c r="G640" s="23"/>
    </row>
    <row r="641" spans="4:7" x14ac:dyDescent="0.25">
      <c r="D641" s="23"/>
      <c r="E641" s="23"/>
      <c r="F641" s="23"/>
      <c r="G641" s="23"/>
    </row>
    <row r="642" spans="4:7" x14ac:dyDescent="0.25">
      <c r="D642" s="23"/>
      <c r="E642" s="23"/>
      <c r="F642" s="23"/>
      <c r="G642" s="23"/>
    </row>
    <row r="643" spans="4:7" x14ac:dyDescent="0.25">
      <c r="D643" s="23"/>
      <c r="E643" s="23"/>
      <c r="F643" s="23"/>
      <c r="G643" s="23"/>
    </row>
    <row r="644" spans="4:7" x14ac:dyDescent="0.25">
      <c r="D644" s="23"/>
      <c r="E644" s="23"/>
      <c r="F644" s="23"/>
      <c r="G644" s="23"/>
    </row>
    <row r="645" spans="4:7" x14ac:dyDescent="0.25">
      <c r="D645" s="23"/>
      <c r="E645" s="23"/>
      <c r="F645" s="23"/>
      <c r="G645" s="23"/>
    </row>
    <row r="646" spans="4:7" x14ac:dyDescent="0.25">
      <c r="D646" s="23"/>
      <c r="E646" s="23"/>
      <c r="F646" s="23"/>
      <c r="G646" s="23"/>
    </row>
    <row r="647" spans="4:7" x14ac:dyDescent="0.25">
      <c r="D647" s="23"/>
      <c r="E647" s="23"/>
      <c r="F647" s="23"/>
      <c r="G647" s="23"/>
    </row>
    <row r="648" spans="4:7" x14ac:dyDescent="0.25">
      <c r="D648" s="23"/>
      <c r="E648" s="23"/>
      <c r="F648" s="23"/>
      <c r="G648" s="23"/>
    </row>
    <row r="649" spans="4:7" x14ac:dyDescent="0.25">
      <c r="D649" s="23"/>
      <c r="E649" s="23"/>
      <c r="F649" s="23"/>
      <c r="G649" s="23"/>
    </row>
    <row r="650" spans="4:7" x14ac:dyDescent="0.25">
      <c r="D650" s="23"/>
      <c r="E650" s="23"/>
      <c r="F650" s="23"/>
      <c r="G650" s="23"/>
    </row>
    <row r="651" spans="4:7" x14ac:dyDescent="0.25">
      <c r="D651" s="23"/>
      <c r="E651" s="23"/>
      <c r="F651" s="23"/>
      <c r="G651" s="23"/>
    </row>
    <row r="652" spans="4:7" x14ac:dyDescent="0.25">
      <c r="D652" s="23"/>
      <c r="E652" s="23"/>
      <c r="F652" s="23"/>
      <c r="G652" s="23"/>
    </row>
    <row r="653" spans="4:7" x14ac:dyDescent="0.25">
      <c r="D653" s="23"/>
      <c r="E653" s="23"/>
      <c r="F653" s="23"/>
      <c r="G653" s="23"/>
    </row>
    <row r="654" spans="4:7" x14ac:dyDescent="0.25">
      <c r="D654" s="23"/>
      <c r="E654" s="23"/>
      <c r="F654" s="23"/>
      <c r="G654" s="23"/>
    </row>
    <row r="655" spans="4:7" x14ac:dyDescent="0.25">
      <c r="D655" s="23"/>
      <c r="E655" s="23"/>
      <c r="F655" s="23"/>
      <c r="G655" s="23"/>
    </row>
    <row r="656" spans="4:7" x14ac:dyDescent="0.25">
      <c r="D656" s="23"/>
      <c r="E656" s="23"/>
      <c r="F656" s="23"/>
      <c r="G656" s="23"/>
    </row>
    <row r="657" spans="4:7" x14ac:dyDescent="0.25">
      <c r="D657" s="23"/>
      <c r="E657" s="23"/>
      <c r="F657" s="23"/>
      <c r="G657" s="23"/>
    </row>
    <row r="658" spans="4:7" x14ac:dyDescent="0.25">
      <c r="D658" s="23"/>
      <c r="E658" s="23"/>
      <c r="F658" s="23"/>
      <c r="G658" s="23"/>
    </row>
    <row r="659" spans="4:7" x14ac:dyDescent="0.25">
      <c r="D659" s="23"/>
      <c r="E659" s="23"/>
      <c r="F659" s="23"/>
      <c r="G659" s="23"/>
    </row>
    <row r="660" spans="4:7" x14ac:dyDescent="0.25">
      <c r="D660" s="23"/>
      <c r="E660" s="23"/>
      <c r="F660" s="23"/>
      <c r="G660" s="23"/>
    </row>
    <row r="661" spans="4:7" x14ac:dyDescent="0.25">
      <c r="D661" s="23"/>
      <c r="E661" s="23"/>
      <c r="F661" s="23"/>
      <c r="G661" s="23"/>
    </row>
    <row r="662" spans="4:7" x14ac:dyDescent="0.25">
      <c r="D662" s="23"/>
      <c r="E662" s="23"/>
      <c r="F662" s="23"/>
      <c r="G662" s="23"/>
    </row>
    <row r="663" spans="4:7" x14ac:dyDescent="0.25">
      <c r="D663" s="23"/>
      <c r="E663" s="23"/>
      <c r="F663" s="23"/>
      <c r="G663" s="23"/>
    </row>
    <row r="664" spans="4:7" x14ac:dyDescent="0.25">
      <c r="D664" s="23"/>
      <c r="E664" s="23"/>
      <c r="F664" s="23"/>
      <c r="G664" s="23"/>
    </row>
    <row r="665" spans="4:7" x14ac:dyDescent="0.25">
      <c r="D665" s="23"/>
      <c r="E665" s="23"/>
      <c r="F665" s="23"/>
      <c r="G665" s="23"/>
    </row>
    <row r="666" spans="4:7" x14ac:dyDescent="0.25">
      <c r="D666" s="23"/>
      <c r="E666" s="23"/>
      <c r="F666" s="23"/>
      <c r="G666" s="23"/>
    </row>
    <row r="667" spans="4:7" x14ac:dyDescent="0.25">
      <c r="D667" s="23"/>
      <c r="E667" s="23"/>
      <c r="F667" s="23"/>
      <c r="G667" s="23"/>
    </row>
    <row r="668" spans="4:7" x14ac:dyDescent="0.25">
      <c r="D668" s="23"/>
      <c r="E668" s="23"/>
      <c r="F668" s="23"/>
      <c r="G668" s="23"/>
    </row>
    <row r="669" spans="4:7" x14ac:dyDescent="0.25">
      <c r="D669" s="23"/>
      <c r="E669" s="23"/>
      <c r="F669" s="23"/>
      <c r="G669" s="23"/>
    </row>
    <row r="670" spans="4:7" x14ac:dyDescent="0.25">
      <c r="D670" s="23"/>
      <c r="E670" s="23"/>
      <c r="F670" s="23"/>
      <c r="G670" s="23"/>
    </row>
    <row r="671" spans="4:7" x14ac:dyDescent="0.25">
      <c r="D671" s="23"/>
      <c r="E671" s="23"/>
      <c r="F671" s="23"/>
      <c r="G671" s="23"/>
    </row>
    <row r="672" spans="4:7" x14ac:dyDescent="0.25">
      <c r="D672" s="23"/>
      <c r="E672" s="23"/>
      <c r="F672" s="23"/>
      <c r="G672" s="23"/>
    </row>
    <row r="673" spans="4:7" x14ac:dyDescent="0.25">
      <c r="D673" s="23"/>
      <c r="E673" s="23"/>
      <c r="F673" s="23"/>
      <c r="G673" s="23"/>
    </row>
    <row r="674" spans="4:7" x14ac:dyDescent="0.25">
      <c r="D674" s="23"/>
      <c r="E674" s="23"/>
      <c r="F674" s="23"/>
      <c r="G674" s="23"/>
    </row>
    <row r="675" spans="4:7" x14ac:dyDescent="0.25">
      <c r="D675" s="23"/>
      <c r="E675" s="23"/>
      <c r="F675" s="23"/>
      <c r="G675" s="23"/>
    </row>
    <row r="676" spans="4:7" x14ac:dyDescent="0.25">
      <c r="D676" s="23"/>
      <c r="E676" s="23"/>
      <c r="F676" s="23"/>
      <c r="G676" s="23"/>
    </row>
    <row r="677" spans="4:7" x14ac:dyDescent="0.25">
      <c r="D677" s="23"/>
      <c r="E677" s="23"/>
      <c r="F677" s="23"/>
      <c r="G677" s="23"/>
    </row>
    <row r="678" spans="4:7" x14ac:dyDescent="0.25">
      <c r="D678" s="23"/>
      <c r="E678" s="23"/>
      <c r="F678" s="23"/>
      <c r="G678" s="23"/>
    </row>
    <row r="679" spans="4:7" x14ac:dyDescent="0.25">
      <c r="D679" s="23"/>
      <c r="E679" s="23"/>
      <c r="F679" s="23"/>
      <c r="G679" s="23"/>
    </row>
    <row r="680" spans="4:7" x14ac:dyDescent="0.25">
      <c r="D680" s="24"/>
      <c r="E680" s="51"/>
      <c r="F680" s="24"/>
      <c r="G680" s="51"/>
    </row>
    <row r="681" spans="4:7" x14ac:dyDescent="0.25">
      <c r="D681" s="24"/>
      <c r="E681" s="42"/>
      <c r="F681" s="24"/>
      <c r="G681" s="42"/>
    </row>
    <row r="682" spans="4:7" x14ac:dyDescent="0.25">
      <c r="D682" s="24"/>
      <c r="E682" s="42"/>
      <c r="F682" s="24"/>
      <c r="G682" s="42"/>
    </row>
    <row r="683" spans="4:7" x14ac:dyDescent="0.25">
      <c r="D683" s="24"/>
      <c r="E683" s="42"/>
      <c r="F683" s="24"/>
      <c r="G683" s="42"/>
    </row>
    <row r="684" spans="4:7" x14ac:dyDescent="0.25">
      <c r="D684" s="24"/>
      <c r="E684" s="42"/>
      <c r="F684" s="24"/>
      <c r="G684" s="42"/>
    </row>
    <row r="685" spans="4:7" x14ac:dyDescent="0.25">
      <c r="D685" s="24"/>
      <c r="E685" s="42"/>
      <c r="F685" s="24"/>
      <c r="G685" s="42"/>
    </row>
    <row r="686" spans="4:7" x14ac:dyDescent="0.25">
      <c r="D686" s="24"/>
      <c r="E686" s="42"/>
      <c r="F686" s="24"/>
      <c r="G686" s="42"/>
    </row>
    <row r="687" spans="4:7" x14ac:dyDescent="0.25">
      <c r="D687" s="24"/>
      <c r="E687" s="42"/>
      <c r="F687" s="24"/>
      <c r="G687" s="42"/>
    </row>
    <row r="688" spans="4:7" x14ac:dyDescent="0.25">
      <c r="D688" s="24"/>
      <c r="E688" s="42"/>
      <c r="F688" s="24"/>
      <c r="G688" s="42"/>
    </row>
    <row r="689" spans="4:7" x14ac:dyDescent="0.25">
      <c r="D689" s="24"/>
      <c r="E689" s="42"/>
      <c r="F689" s="24"/>
      <c r="G689" s="42"/>
    </row>
  </sheetData>
  <phoneticPr fontId="17" type="noConversion"/>
  <conditionalFormatting sqref="I20:AL20">
    <cfRule type="expression" dxfId="14" priority="15">
      <formula>I20&lt;0</formula>
    </cfRule>
    <cfRule type="expression" dxfId="13" priority="16">
      <formula>I20&lt;I$35</formula>
    </cfRule>
  </conditionalFormatting>
  <conditionalFormatting sqref="I56:AL56">
    <cfRule type="expression" dxfId="12" priority="5">
      <formula>I56&lt;0</formula>
    </cfRule>
    <cfRule type="expression" dxfId="11" priority="6">
      <formula>I56&lt;I$35</formula>
    </cfRule>
  </conditionalFormatting>
  <conditionalFormatting sqref="I34:AL34">
    <cfRule type="expression" dxfId="10" priority="3">
      <formula>I34&lt;0</formula>
    </cfRule>
    <cfRule type="expression" dxfId="9" priority="4">
      <formula>I34&lt;I$35</formula>
    </cfRule>
  </conditionalFormatting>
  <conditionalFormatting sqref="I46:AL46">
    <cfRule type="expression" dxfId="8" priority="1">
      <formula>I46&lt;0</formula>
    </cfRule>
    <cfRule type="expression" dxfId="7" priority="2">
      <formula>I46&lt;I$35</formula>
    </cfRule>
  </conditionalFormatting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Feuil9"/>
  <dimension ref="A1:ZF38"/>
  <sheetViews>
    <sheetView topLeftCell="G22" zoomScale="78" zoomScaleNormal="78" workbookViewId="0">
      <selection activeCell="L13" sqref="L13"/>
    </sheetView>
  </sheetViews>
  <sheetFormatPr baseColWidth="10" defaultColWidth="11.42578125" defaultRowHeight="15" x14ac:dyDescent="0.25"/>
  <cols>
    <col min="1" max="7" width="11" style="24" customWidth="1"/>
    <col min="8" max="8" width="27.140625" style="25" customWidth="1"/>
    <col min="9" max="9" width="6.7109375" style="24" customWidth="1"/>
    <col min="10" max="10" width="8.28515625" style="24" customWidth="1"/>
    <col min="11" max="34" width="7.42578125" style="24" customWidth="1"/>
    <col min="35" max="37" width="7.42578125" style="23" customWidth="1"/>
    <col min="38" max="681" width="11.42578125" style="23"/>
    <col min="682" max="16384" width="11.42578125" style="24"/>
  </cols>
  <sheetData>
    <row r="1" spans="1:682" ht="15.75" thickBot="1" x14ac:dyDescent="0.3"/>
    <row r="2" spans="1:682" ht="21.75" thickBot="1" x14ac:dyDescent="0.4">
      <c r="A2" s="120" t="s">
        <v>103</v>
      </c>
      <c r="B2" s="1" t="str">
        <f>J4</f>
        <v>W2/20</v>
      </c>
      <c r="C2" s="24" t="s">
        <v>75</v>
      </c>
      <c r="G2" s="41"/>
      <c r="J2" s="297"/>
      <c r="Q2" s="297"/>
      <c r="AL2" s="55" t="s">
        <v>38</v>
      </c>
    </row>
    <row r="3" spans="1:682" x14ac:dyDescent="0.25">
      <c r="J3" s="297"/>
      <c r="AL3" s="55" t="s">
        <v>39</v>
      </c>
    </row>
    <row r="4" spans="1:682" customFormat="1" ht="15.75" thickBot="1" x14ac:dyDescent="0.3">
      <c r="A4" s="68" t="s">
        <v>121</v>
      </c>
      <c r="B4" s="68" t="s">
        <v>122</v>
      </c>
      <c r="C4" s="68" t="s">
        <v>105</v>
      </c>
      <c r="D4" s="68" t="s">
        <v>123</v>
      </c>
      <c r="E4" s="68" t="s">
        <v>101</v>
      </c>
      <c r="F4" s="68" t="s">
        <v>124</v>
      </c>
      <c r="G4" s="130" t="s">
        <v>126</v>
      </c>
      <c r="H4" s="146" t="s">
        <v>102</v>
      </c>
      <c r="I4" s="220" t="s">
        <v>76</v>
      </c>
      <c r="J4" s="220" t="s">
        <v>77</v>
      </c>
      <c r="K4" s="220" t="s">
        <v>78</v>
      </c>
      <c r="L4" s="220" t="s">
        <v>79</v>
      </c>
      <c r="M4" s="220" t="s">
        <v>80</v>
      </c>
      <c r="N4" s="220" t="s">
        <v>81</v>
      </c>
      <c r="O4" s="220" t="s">
        <v>82</v>
      </c>
      <c r="P4" s="220" t="s">
        <v>83</v>
      </c>
      <c r="Q4" s="220" t="s">
        <v>84</v>
      </c>
      <c r="R4" s="220" t="s">
        <v>85</v>
      </c>
      <c r="S4" s="220" t="s">
        <v>86</v>
      </c>
      <c r="T4" s="220" t="s">
        <v>87</v>
      </c>
      <c r="U4" s="220" t="s">
        <v>88</v>
      </c>
      <c r="V4" s="220" t="s">
        <v>89</v>
      </c>
      <c r="W4" s="220" t="s">
        <v>90</v>
      </c>
      <c r="X4" s="220" t="s">
        <v>91</v>
      </c>
      <c r="Y4" s="220" t="s">
        <v>92</v>
      </c>
      <c r="Z4" s="220" t="s">
        <v>93</v>
      </c>
      <c r="AA4" s="220" t="s">
        <v>94</v>
      </c>
      <c r="AB4" s="220" t="s">
        <v>95</v>
      </c>
      <c r="AC4" s="220" t="s">
        <v>96</v>
      </c>
      <c r="AD4" s="220" t="s">
        <v>97</v>
      </c>
      <c r="AE4" s="220" t="s">
        <v>98</v>
      </c>
      <c r="AF4" s="221" t="s">
        <v>99</v>
      </c>
      <c r="AG4" s="220" t="s">
        <v>100</v>
      </c>
      <c r="AH4" s="220"/>
      <c r="AI4" s="220"/>
      <c r="AJ4" s="220"/>
      <c r="AK4" s="220"/>
      <c r="AL4" s="23"/>
      <c r="AM4" s="23"/>
      <c r="AN4" s="23"/>
      <c r="AO4" s="23"/>
      <c r="AP4" s="23"/>
      <c r="AQ4" s="23"/>
      <c r="AR4" s="23"/>
      <c r="AS4" s="23"/>
      <c r="AT4" s="23"/>
      <c r="AU4" s="23"/>
      <c r="AV4" s="23"/>
      <c r="AW4" s="23"/>
      <c r="AX4" s="23"/>
      <c r="AY4" s="23"/>
      <c r="AZ4" s="23"/>
      <c r="BA4" s="23"/>
      <c r="BB4" s="23"/>
      <c r="BC4" s="23"/>
      <c r="BD4" s="23"/>
      <c r="BE4" s="23"/>
      <c r="BF4" s="23"/>
      <c r="BG4" s="23"/>
      <c r="BH4" s="23"/>
      <c r="BI4" s="23"/>
      <c r="BJ4" s="23"/>
      <c r="BK4" s="23"/>
      <c r="BL4" s="23"/>
      <c r="BM4" s="23"/>
      <c r="BN4" s="23"/>
      <c r="BO4" s="23"/>
      <c r="BP4" s="23"/>
      <c r="BQ4" s="23"/>
      <c r="BR4" s="23"/>
      <c r="BS4" s="23"/>
      <c r="BT4" s="23"/>
      <c r="BU4" s="23"/>
      <c r="BV4" s="23"/>
      <c r="BW4" s="23"/>
      <c r="BX4" s="23"/>
      <c r="BY4" s="23"/>
      <c r="BZ4" s="23"/>
      <c r="CA4" s="23"/>
      <c r="CB4" s="23"/>
      <c r="CC4" s="23"/>
      <c r="CD4" s="23"/>
      <c r="CE4" s="23"/>
      <c r="CF4" s="23"/>
      <c r="CG4" s="23"/>
      <c r="CH4" s="23"/>
      <c r="CI4" s="23"/>
      <c r="CJ4" s="23"/>
      <c r="CK4" s="23"/>
      <c r="CL4" s="23"/>
      <c r="CM4" s="23"/>
      <c r="CN4" s="23"/>
      <c r="CO4" s="23"/>
      <c r="CP4" s="23"/>
      <c r="CQ4" s="23"/>
      <c r="CR4" s="23"/>
      <c r="CS4" s="23"/>
      <c r="CT4" s="23"/>
      <c r="CU4" s="23"/>
      <c r="CV4" s="23"/>
      <c r="CW4" s="23"/>
      <c r="CX4" s="23"/>
      <c r="CY4" s="23"/>
      <c r="CZ4" s="23"/>
      <c r="DA4" s="23"/>
      <c r="DB4" s="23"/>
      <c r="DC4" s="23"/>
      <c r="DD4" s="23"/>
      <c r="DE4" s="23"/>
      <c r="DF4" s="23"/>
      <c r="DG4" s="23"/>
      <c r="DH4" s="23"/>
      <c r="DI4" s="23"/>
      <c r="DJ4" s="23"/>
      <c r="DK4" s="23"/>
      <c r="DL4" s="23"/>
      <c r="DM4" s="23"/>
      <c r="DN4" s="23"/>
      <c r="DO4" s="23"/>
      <c r="DP4" s="23"/>
      <c r="DQ4" s="23"/>
      <c r="DR4" s="23"/>
      <c r="DS4" s="23"/>
      <c r="DT4" s="23"/>
      <c r="DU4" s="23"/>
      <c r="DV4" s="23"/>
      <c r="DW4" s="23"/>
      <c r="DX4" s="23"/>
      <c r="DY4" s="23"/>
      <c r="DZ4" s="23"/>
      <c r="EA4" s="23"/>
      <c r="EB4" s="23"/>
      <c r="EC4" s="23"/>
      <c r="ED4" s="23"/>
      <c r="EE4" s="23"/>
      <c r="EF4" s="23"/>
      <c r="EG4" s="23"/>
      <c r="EH4" s="23"/>
      <c r="EI4" s="23"/>
      <c r="EJ4" s="23"/>
      <c r="EK4" s="23"/>
      <c r="EL4" s="23"/>
      <c r="EM4" s="23"/>
      <c r="EN4" s="23"/>
      <c r="EO4" s="23"/>
      <c r="EP4" s="23"/>
      <c r="EQ4" s="23"/>
      <c r="ER4" s="23"/>
      <c r="ES4" s="23"/>
      <c r="ET4" s="23"/>
      <c r="EU4" s="23"/>
      <c r="EV4" s="23"/>
      <c r="EW4" s="23"/>
      <c r="EX4" s="23"/>
      <c r="EY4" s="23"/>
      <c r="EZ4" s="23"/>
      <c r="FA4" s="23"/>
      <c r="FB4" s="23"/>
      <c r="FC4" s="23"/>
      <c r="FD4" s="23"/>
      <c r="FE4" s="23"/>
      <c r="FF4" s="23"/>
      <c r="FG4" s="23"/>
      <c r="FH4" s="23"/>
      <c r="FI4" s="23"/>
      <c r="FJ4" s="23"/>
      <c r="FK4" s="23"/>
      <c r="FL4" s="23"/>
      <c r="FM4" s="23"/>
      <c r="FN4" s="23"/>
      <c r="FO4" s="23"/>
      <c r="FP4" s="23"/>
      <c r="FQ4" s="23"/>
      <c r="FR4" s="23"/>
      <c r="FS4" s="23"/>
      <c r="FT4" s="23"/>
      <c r="FU4" s="23"/>
      <c r="FV4" s="23"/>
      <c r="FW4" s="23"/>
      <c r="FX4" s="23"/>
      <c r="FY4" s="23"/>
      <c r="FZ4" s="23"/>
      <c r="GA4" s="23"/>
      <c r="GB4" s="23"/>
      <c r="GC4" s="23"/>
      <c r="GD4" s="23"/>
      <c r="GE4" s="23"/>
      <c r="GF4" s="23"/>
      <c r="GG4" s="23"/>
      <c r="GH4" s="23"/>
      <c r="GI4" s="23"/>
      <c r="GJ4" s="23"/>
      <c r="GK4" s="23"/>
      <c r="GL4" s="23"/>
      <c r="GM4" s="23"/>
      <c r="GN4" s="23"/>
      <c r="GO4" s="23"/>
      <c r="GP4" s="23"/>
      <c r="GQ4" s="23"/>
      <c r="GR4" s="23"/>
      <c r="GS4" s="23"/>
      <c r="GT4" s="23"/>
      <c r="GU4" s="23"/>
      <c r="GV4" s="23"/>
      <c r="GW4" s="23"/>
      <c r="GX4" s="23"/>
      <c r="GY4" s="23"/>
      <c r="GZ4" s="23"/>
      <c r="HA4" s="23"/>
      <c r="HB4" s="23"/>
      <c r="HC4" s="23"/>
      <c r="HD4" s="23"/>
      <c r="HE4" s="23"/>
      <c r="HF4" s="23"/>
      <c r="HG4" s="23"/>
      <c r="HH4" s="23"/>
      <c r="HI4" s="23"/>
      <c r="HJ4" s="23"/>
      <c r="HK4" s="23"/>
      <c r="HL4" s="23"/>
      <c r="HM4" s="23"/>
      <c r="HN4" s="23"/>
      <c r="HO4" s="23"/>
      <c r="HP4" s="23"/>
      <c r="HQ4" s="23"/>
      <c r="HR4" s="23"/>
      <c r="HS4" s="23"/>
      <c r="HT4" s="23"/>
      <c r="HU4" s="23"/>
      <c r="HV4" s="23"/>
      <c r="HW4" s="23"/>
      <c r="HX4" s="23"/>
      <c r="HY4" s="23"/>
      <c r="HZ4" s="23"/>
      <c r="IA4" s="23"/>
      <c r="IB4" s="23"/>
      <c r="IC4" s="23"/>
      <c r="ID4" s="23"/>
      <c r="IE4" s="23"/>
      <c r="IF4" s="23"/>
      <c r="IG4" s="23"/>
      <c r="IH4" s="23"/>
      <c r="II4" s="23"/>
      <c r="IJ4" s="23"/>
      <c r="IK4" s="23"/>
      <c r="IL4" s="23"/>
      <c r="IM4" s="23"/>
      <c r="IN4" s="23"/>
      <c r="IO4" s="23"/>
      <c r="IP4" s="23"/>
      <c r="IQ4" s="23"/>
      <c r="IR4" s="23"/>
      <c r="IS4" s="23"/>
      <c r="IT4" s="23"/>
      <c r="IU4" s="23"/>
      <c r="IV4" s="23"/>
      <c r="IW4" s="23"/>
      <c r="IX4" s="23"/>
      <c r="IY4" s="23"/>
      <c r="IZ4" s="23"/>
      <c r="JA4" s="23"/>
      <c r="JB4" s="23"/>
      <c r="JC4" s="23"/>
      <c r="JD4" s="23"/>
      <c r="JE4" s="23"/>
      <c r="JF4" s="23"/>
      <c r="JG4" s="23"/>
      <c r="JH4" s="23"/>
      <c r="JI4" s="23"/>
      <c r="JJ4" s="23"/>
      <c r="JK4" s="23"/>
      <c r="JL4" s="23"/>
      <c r="JM4" s="23"/>
      <c r="JN4" s="23"/>
      <c r="JO4" s="23"/>
      <c r="JP4" s="23"/>
      <c r="JQ4" s="23"/>
      <c r="JR4" s="23"/>
      <c r="JS4" s="23"/>
      <c r="JT4" s="23"/>
      <c r="JU4" s="23"/>
      <c r="JV4" s="23"/>
      <c r="JW4" s="23"/>
      <c r="JX4" s="23"/>
      <c r="JY4" s="23"/>
      <c r="JZ4" s="23"/>
      <c r="KA4" s="23"/>
      <c r="KB4" s="23"/>
      <c r="KC4" s="23"/>
      <c r="KD4" s="23"/>
      <c r="KE4" s="23"/>
      <c r="KF4" s="23"/>
      <c r="KG4" s="23"/>
      <c r="KH4" s="23"/>
      <c r="KI4" s="23"/>
      <c r="KJ4" s="23"/>
      <c r="KK4" s="23"/>
      <c r="KL4" s="23"/>
      <c r="KM4" s="23"/>
      <c r="KN4" s="23"/>
      <c r="KO4" s="23"/>
      <c r="KP4" s="23"/>
      <c r="KQ4" s="23"/>
      <c r="KR4" s="23"/>
      <c r="KS4" s="23"/>
      <c r="KT4" s="23"/>
      <c r="KU4" s="23"/>
      <c r="KV4" s="23"/>
      <c r="KW4" s="23"/>
      <c r="KX4" s="23"/>
      <c r="KY4" s="23"/>
      <c r="KZ4" s="23"/>
      <c r="LA4" s="23"/>
      <c r="LB4" s="23"/>
      <c r="LC4" s="23"/>
      <c r="LD4" s="23"/>
      <c r="LE4" s="23"/>
      <c r="LF4" s="23"/>
      <c r="LG4" s="23"/>
      <c r="LH4" s="23"/>
      <c r="LI4" s="23"/>
      <c r="LJ4" s="23"/>
      <c r="LK4" s="23"/>
      <c r="LL4" s="23"/>
      <c r="LM4" s="23"/>
      <c r="LN4" s="23"/>
      <c r="LO4" s="23"/>
      <c r="LP4" s="23"/>
      <c r="LQ4" s="23"/>
      <c r="LR4" s="23"/>
      <c r="LS4" s="23"/>
      <c r="LT4" s="23"/>
      <c r="LU4" s="23"/>
      <c r="LV4" s="23"/>
      <c r="LW4" s="23"/>
      <c r="LX4" s="23"/>
      <c r="LY4" s="23"/>
      <c r="LZ4" s="23"/>
      <c r="MA4" s="23"/>
      <c r="MB4" s="23"/>
      <c r="MC4" s="23"/>
      <c r="MD4" s="23"/>
      <c r="ME4" s="23"/>
      <c r="MF4" s="23"/>
      <c r="MG4" s="23"/>
      <c r="MH4" s="23"/>
      <c r="MI4" s="23"/>
      <c r="MJ4" s="23"/>
      <c r="MK4" s="23"/>
      <c r="ML4" s="23"/>
      <c r="MM4" s="23"/>
      <c r="MN4" s="23"/>
      <c r="MO4" s="23"/>
      <c r="MP4" s="23"/>
      <c r="MQ4" s="23"/>
      <c r="MR4" s="23"/>
      <c r="MS4" s="23"/>
      <c r="MT4" s="23"/>
      <c r="MU4" s="23"/>
      <c r="MV4" s="23"/>
      <c r="MW4" s="23"/>
      <c r="MX4" s="23"/>
      <c r="MY4" s="23"/>
      <c r="MZ4" s="23"/>
      <c r="NA4" s="23"/>
      <c r="NB4" s="23"/>
      <c r="NC4" s="23"/>
      <c r="ND4" s="23"/>
      <c r="NE4" s="23"/>
      <c r="NF4" s="23"/>
      <c r="NG4" s="23"/>
      <c r="NH4" s="23"/>
      <c r="NI4" s="23"/>
      <c r="NJ4" s="23"/>
      <c r="NK4" s="23"/>
      <c r="NL4" s="23"/>
      <c r="NM4" s="23"/>
      <c r="NN4" s="23"/>
      <c r="NO4" s="23"/>
      <c r="NP4" s="23"/>
      <c r="NQ4" s="23"/>
      <c r="NR4" s="23"/>
      <c r="NS4" s="23"/>
      <c r="NT4" s="23"/>
      <c r="NU4" s="23"/>
      <c r="NV4" s="23"/>
      <c r="NW4" s="23"/>
      <c r="NX4" s="23"/>
      <c r="NY4" s="23"/>
      <c r="NZ4" s="23"/>
      <c r="OA4" s="23"/>
      <c r="OB4" s="23"/>
      <c r="OC4" s="23"/>
      <c r="OD4" s="23"/>
      <c r="OE4" s="23"/>
      <c r="OF4" s="23"/>
      <c r="OG4" s="23"/>
      <c r="OH4" s="23"/>
      <c r="OI4" s="23"/>
      <c r="OJ4" s="23"/>
      <c r="OK4" s="23"/>
      <c r="OL4" s="23"/>
      <c r="OM4" s="23"/>
      <c r="ON4" s="23"/>
      <c r="OO4" s="23"/>
      <c r="OP4" s="23"/>
      <c r="OQ4" s="23"/>
      <c r="OR4" s="23"/>
      <c r="OS4" s="23"/>
      <c r="OT4" s="23"/>
      <c r="OU4" s="23"/>
      <c r="OV4" s="23"/>
      <c r="OW4" s="23"/>
      <c r="OX4" s="23"/>
      <c r="OY4" s="23"/>
      <c r="OZ4" s="23"/>
      <c r="PA4" s="23"/>
      <c r="PB4" s="23"/>
      <c r="PC4" s="23"/>
      <c r="PD4" s="23"/>
      <c r="PE4" s="23"/>
      <c r="PF4" s="23"/>
      <c r="PG4" s="23"/>
      <c r="PH4" s="23"/>
      <c r="PI4" s="23"/>
      <c r="PJ4" s="23"/>
      <c r="PK4" s="23"/>
      <c r="PL4" s="23"/>
      <c r="PM4" s="23"/>
      <c r="PN4" s="23"/>
      <c r="PO4" s="23"/>
      <c r="PP4" s="23"/>
      <c r="PQ4" s="23"/>
      <c r="PR4" s="23"/>
      <c r="PS4" s="23"/>
      <c r="PT4" s="23"/>
      <c r="PU4" s="23"/>
      <c r="PV4" s="23"/>
      <c r="PW4" s="23"/>
      <c r="PX4" s="23"/>
      <c r="PY4" s="23"/>
      <c r="PZ4" s="23"/>
      <c r="QA4" s="23"/>
      <c r="QB4" s="23"/>
      <c r="QC4" s="23"/>
      <c r="QD4" s="23"/>
      <c r="QE4" s="23"/>
      <c r="QF4" s="23"/>
      <c r="QG4" s="23"/>
      <c r="QH4" s="23"/>
      <c r="QI4" s="23"/>
      <c r="QJ4" s="23"/>
      <c r="QK4" s="23"/>
      <c r="QL4" s="23"/>
      <c r="QM4" s="23"/>
      <c r="QN4" s="23"/>
      <c r="QO4" s="23"/>
      <c r="QP4" s="23"/>
      <c r="QQ4" s="23"/>
      <c r="QR4" s="23"/>
      <c r="QS4" s="23"/>
      <c r="QT4" s="23"/>
      <c r="QU4" s="23"/>
      <c r="QV4" s="23"/>
      <c r="QW4" s="23"/>
      <c r="QX4" s="23"/>
      <c r="QY4" s="23"/>
      <c r="QZ4" s="23"/>
      <c r="RA4" s="23"/>
      <c r="RB4" s="23"/>
      <c r="RC4" s="23"/>
      <c r="RD4" s="23"/>
      <c r="RE4" s="23"/>
      <c r="RF4" s="23"/>
      <c r="RG4" s="23"/>
      <c r="RH4" s="23"/>
      <c r="RI4" s="23"/>
      <c r="RJ4" s="23"/>
      <c r="RK4" s="23"/>
      <c r="RL4" s="23"/>
      <c r="RM4" s="23"/>
      <c r="RN4" s="23"/>
      <c r="RO4" s="23"/>
      <c r="RP4" s="23"/>
      <c r="RQ4" s="23"/>
      <c r="RR4" s="23"/>
      <c r="RS4" s="23"/>
      <c r="RT4" s="23"/>
      <c r="RU4" s="23"/>
      <c r="RV4" s="23"/>
      <c r="RW4" s="23"/>
      <c r="RX4" s="23"/>
      <c r="RY4" s="23"/>
      <c r="RZ4" s="23"/>
      <c r="SA4" s="23"/>
      <c r="SB4" s="23"/>
      <c r="SC4" s="23"/>
      <c r="SD4" s="23"/>
      <c r="SE4" s="23"/>
      <c r="SF4" s="23"/>
      <c r="SG4" s="23"/>
      <c r="SH4" s="23"/>
      <c r="SI4" s="23"/>
      <c r="SJ4" s="23"/>
      <c r="SK4" s="23"/>
      <c r="SL4" s="23"/>
      <c r="SM4" s="23"/>
      <c r="SN4" s="23"/>
      <c r="SO4" s="23"/>
      <c r="SP4" s="23"/>
      <c r="SQ4" s="23"/>
      <c r="SR4" s="23"/>
      <c r="SS4" s="23"/>
      <c r="ST4" s="23"/>
      <c r="SU4" s="23"/>
      <c r="SV4" s="23"/>
      <c r="SW4" s="23"/>
      <c r="SX4" s="23"/>
      <c r="SY4" s="23"/>
      <c r="SZ4" s="23"/>
      <c r="TA4" s="23"/>
      <c r="TB4" s="23"/>
      <c r="TC4" s="23"/>
      <c r="TD4" s="23"/>
      <c r="TE4" s="23"/>
      <c r="TF4" s="23"/>
      <c r="TG4" s="23"/>
      <c r="TH4" s="23"/>
      <c r="TI4" s="23"/>
      <c r="TJ4" s="23"/>
      <c r="TK4" s="23"/>
      <c r="TL4" s="23"/>
      <c r="TM4" s="23"/>
      <c r="TN4" s="23"/>
      <c r="TO4" s="23"/>
      <c r="TP4" s="23"/>
      <c r="TQ4" s="23"/>
      <c r="TR4" s="23"/>
      <c r="TS4" s="23"/>
      <c r="TT4" s="23"/>
      <c r="TU4" s="23"/>
      <c r="TV4" s="23"/>
      <c r="TW4" s="23"/>
      <c r="TX4" s="23"/>
      <c r="TY4" s="23"/>
      <c r="TZ4" s="23"/>
      <c r="UA4" s="23"/>
      <c r="UB4" s="23"/>
      <c r="UC4" s="23"/>
      <c r="UD4" s="23"/>
      <c r="UE4" s="23"/>
      <c r="UF4" s="23"/>
      <c r="UG4" s="23"/>
      <c r="UH4" s="23"/>
      <c r="UI4" s="23"/>
      <c r="UJ4" s="23"/>
      <c r="UK4" s="23"/>
      <c r="UL4" s="23"/>
      <c r="UM4" s="23"/>
      <c r="UN4" s="23"/>
      <c r="UO4" s="23"/>
      <c r="UP4" s="23"/>
      <c r="UQ4" s="23"/>
      <c r="UR4" s="23"/>
      <c r="US4" s="23"/>
      <c r="UT4" s="23"/>
      <c r="UU4" s="23"/>
      <c r="UV4" s="23"/>
      <c r="UW4" s="23"/>
      <c r="UX4" s="23"/>
      <c r="UY4" s="23"/>
      <c r="UZ4" s="23"/>
      <c r="VA4" s="23"/>
      <c r="VB4" s="23"/>
      <c r="VC4" s="23"/>
      <c r="VD4" s="23"/>
      <c r="VE4" s="23"/>
      <c r="VF4" s="23"/>
      <c r="VG4" s="23"/>
      <c r="VH4" s="23"/>
      <c r="VI4" s="23"/>
      <c r="VJ4" s="23"/>
      <c r="VK4" s="23"/>
      <c r="VL4" s="23"/>
      <c r="VM4" s="23"/>
      <c r="VN4" s="23"/>
      <c r="VO4" s="23"/>
      <c r="VP4" s="23"/>
      <c r="VQ4" s="23"/>
      <c r="VR4" s="23"/>
      <c r="VS4" s="23"/>
      <c r="VT4" s="23"/>
      <c r="VU4" s="23"/>
      <c r="VV4" s="23"/>
      <c r="VW4" s="23"/>
      <c r="VX4" s="23"/>
      <c r="VY4" s="23"/>
      <c r="VZ4" s="23"/>
      <c r="WA4" s="23"/>
      <c r="WB4" s="23"/>
      <c r="WC4" s="23"/>
      <c r="WD4" s="23"/>
      <c r="WE4" s="23"/>
      <c r="WF4" s="23"/>
      <c r="WG4" s="23"/>
      <c r="WH4" s="23"/>
      <c r="WI4" s="23"/>
      <c r="WJ4" s="23"/>
      <c r="WK4" s="23"/>
      <c r="WL4" s="23"/>
      <c r="WM4" s="23"/>
      <c r="WN4" s="23"/>
      <c r="WO4" s="23"/>
      <c r="WP4" s="23"/>
      <c r="WQ4" s="23"/>
      <c r="WR4" s="23"/>
      <c r="WS4" s="23"/>
      <c r="WT4" s="23"/>
      <c r="WU4" s="23"/>
      <c r="WV4" s="23"/>
      <c r="WW4" s="23"/>
      <c r="WX4" s="23"/>
      <c r="WY4" s="23"/>
      <c r="WZ4" s="23"/>
      <c r="XA4" s="23"/>
      <c r="XB4" s="23"/>
      <c r="XC4" s="23"/>
      <c r="XD4" s="23"/>
      <c r="XE4" s="23"/>
      <c r="XF4" s="23"/>
      <c r="XG4" s="23"/>
      <c r="XH4" s="23"/>
      <c r="XI4" s="23"/>
      <c r="XJ4" s="23"/>
      <c r="XK4" s="23"/>
      <c r="XL4" s="23"/>
      <c r="XM4" s="23"/>
      <c r="XN4" s="23"/>
      <c r="XO4" s="23"/>
      <c r="XP4" s="23"/>
      <c r="XQ4" s="23"/>
      <c r="XR4" s="23"/>
      <c r="XS4" s="23"/>
      <c r="XT4" s="23"/>
      <c r="XU4" s="23"/>
      <c r="XV4" s="23"/>
      <c r="XW4" s="23"/>
      <c r="XX4" s="23"/>
      <c r="XY4" s="23"/>
      <c r="XZ4" s="23"/>
      <c r="YA4" s="23"/>
      <c r="YB4" s="23"/>
      <c r="YC4" s="23"/>
      <c r="YD4" s="23"/>
      <c r="YE4" s="23"/>
      <c r="YF4" s="23"/>
      <c r="YG4" s="23"/>
      <c r="YH4" s="23"/>
      <c r="YI4" s="23"/>
      <c r="YJ4" s="23"/>
      <c r="YK4" s="23"/>
      <c r="YL4" s="23"/>
      <c r="YM4" s="23"/>
      <c r="YN4" s="23"/>
      <c r="YO4" s="23"/>
      <c r="YP4" s="23"/>
      <c r="YQ4" s="23"/>
      <c r="YR4" s="23"/>
      <c r="YS4" s="23"/>
      <c r="YT4" s="23"/>
      <c r="YU4" s="23"/>
      <c r="YV4" s="23"/>
      <c r="YW4" s="23"/>
      <c r="YX4" s="23"/>
      <c r="YY4" s="23"/>
      <c r="YZ4" s="23"/>
      <c r="ZA4" s="23"/>
      <c r="ZB4" s="23"/>
      <c r="ZC4" s="23"/>
      <c r="ZD4" s="23"/>
    </row>
    <row r="5" spans="1:682" customFormat="1" ht="15.75" thickBot="1" x14ac:dyDescent="0.3">
      <c r="A5" s="145"/>
      <c r="B5" s="56"/>
      <c r="C5" s="103" t="s">
        <v>66</v>
      </c>
      <c r="D5" s="5" t="s">
        <v>65</v>
      </c>
      <c r="E5" s="103" t="s">
        <v>66</v>
      </c>
      <c r="F5" s="5" t="s">
        <v>65</v>
      </c>
      <c r="G5" s="56">
        <v>2</v>
      </c>
      <c r="H5" s="137" t="s">
        <v>28</v>
      </c>
      <c r="I5" s="43"/>
      <c r="J5" s="44">
        <f>MJ_Initialisation!C56</f>
        <v>1700</v>
      </c>
      <c r="K5" s="44">
        <f>MJ_Initialisation!D56</f>
        <v>1700</v>
      </c>
      <c r="L5" s="44">
        <f>MJ_Initialisation!E56</f>
        <v>1700</v>
      </c>
      <c r="M5" s="44">
        <f>MJ_Initialisation!F56</f>
        <v>1700</v>
      </c>
      <c r="N5" s="44">
        <f>MJ_Initialisation!G56</f>
        <v>1700</v>
      </c>
      <c r="O5" s="44">
        <f>MJ_Initialisation!H56</f>
        <v>1700</v>
      </c>
      <c r="P5" s="44">
        <f>MJ_Initialisation!I56</f>
        <v>1700</v>
      </c>
      <c r="Q5" s="44">
        <f>MJ_Initialisation!J56</f>
        <v>1700</v>
      </c>
      <c r="R5" s="44">
        <f>MJ_Initialisation!K56</f>
        <v>1700</v>
      </c>
      <c r="S5" s="44">
        <f>MJ_Initialisation!L56</f>
        <v>1700</v>
      </c>
      <c r="T5" s="44">
        <f>MJ_Initialisation!M56</f>
        <v>1700</v>
      </c>
      <c r="U5" s="44">
        <f>MJ_Initialisation!N56</f>
        <v>1700</v>
      </c>
      <c r="V5" s="44">
        <f>MJ_Initialisation!O56</f>
        <v>1700</v>
      </c>
      <c r="W5" s="44">
        <f>MJ_Initialisation!P56</f>
        <v>1700</v>
      </c>
      <c r="X5" s="44">
        <f>MJ_Initialisation!Q56</f>
        <v>1700</v>
      </c>
      <c r="Y5" s="44">
        <f>MJ_Initialisation!R56</f>
        <v>1700</v>
      </c>
      <c r="Z5" s="44">
        <f>MJ_Initialisation!S56</f>
        <v>1700</v>
      </c>
      <c r="AA5" s="44">
        <f>MJ_Initialisation!T56</f>
        <v>1700</v>
      </c>
      <c r="AB5" s="44">
        <f>MJ_Initialisation!U56</f>
        <v>1700</v>
      </c>
      <c r="AC5" s="44">
        <f>MJ_Initialisation!V56</f>
        <v>1700</v>
      </c>
      <c r="AD5" s="44">
        <f>MJ_Initialisation!W56</f>
        <v>1700</v>
      </c>
      <c r="AE5" s="44">
        <f>MJ_Initialisation!X56</f>
        <v>1700</v>
      </c>
      <c r="AF5" s="44">
        <f>MJ_Initialisation!Y56</f>
        <v>1700</v>
      </c>
      <c r="AG5" s="44">
        <f>MJ_Initialisation!Z56</f>
        <v>1700</v>
      </c>
      <c r="AH5" s="240"/>
      <c r="AI5" s="240"/>
      <c r="AJ5" s="240"/>
      <c r="AK5" s="240"/>
      <c r="AL5" s="23"/>
      <c r="AM5" s="23"/>
      <c r="AN5" s="23"/>
      <c r="AO5" s="23"/>
      <c r="AP5" s="23"/>
      <c r="AQ5" s="23"/>
      <c r="AR5" s="23"/>
      <c r="AS5" s="23"/>
      <c r="AT5" s="23"/>
      <c r="AU5" s="23"/>
      <c r="AV5" s="23"/>
      <c r="AW5" s="23"/>
      <c r="AX5" s="23"/>
      <c r="AY5" s="23"/>
      <c r="AZ5" s="23"/>
      <c r="BA5" s="23"/>
      <c r="BB5" s="23"/>
      <c r="BC5" s="23"/>
      <c r="BD5" s="23"/>
      <c r="BE5" s="23"/>
      <c r="BF5" s="23"/>
      <c r="BG5" s="23"/>
      <c r="BH5" s="23"/>
      <c r="BI5" s="23"/>
      <c r="BJ5" s="23"/>
      <c r="BK5" s="23"/>
      <c r="BL5" s="23"/>
      <c r="BM5" s="23"/>
      <c r="BN5" s="23"/>
      <c r="BO5" s="23"/>
      <c r="BP5" s="23"/>
      <c r="BQ5" s="23"/>
      <c r="BR5" s="23"/>
      <c r="BS5" s="23"/>
      <c r="BT5" s="23"/>
      <c r="BU5" s="23"/>
      <c r="BV5" s="23"/>
      <c r="BW5" s="23"/>
      <c r="BX5" s="23"/>
      <c r="BY5" s="23"/>
      <c r="BZ5" s="23"/>
      <c r="CA5" s="23"/>
      <c r="CB5" s="23"/>
      <c r="CC5" s="23"/>
      <c r="CD5" s="23"/>
      <c r="CE5" s="23"/>
      <c r="CF5" s="23"/>
      <c r="CG5" s="23"/>
      <c r="CH5" s="23"/>
      <c r="CI5" s="23"/>
      <c r="CJ5" s="23"/>
      <c r="CK5" s="23"/>
      <c r="CL5" s="23"/>
      <c r="CM5" s="23"/>
      <c r="CN5" s="23"/>
      <c r="CO5" s="23"/>
      <c r="CP5" s="23"/>
      <c r="CQ5" s="23"/>
      <c r="CR5" s="23"/>
      <c r="CS5" s="23"/>
      <c r="CT5" s="23"/>
      <c r="CU5" s="23"/>
      <c r="CV5" s="23"/>
      <c r="CW5" s="23"/>
      <c r="CX5" s="23"/>
      <c r="CY5" s="23"/>
      <c r="CZ5" s="23"/>
      <c r="DA5" s="23"/>
      <c r="DB5" s="23"/>
      <c r="DC5" s="23"/>
      <c r="DD5" s="23"/>
      <c r="DE5" s="23"/>
      <c r="DF5" s="23"/>
      <c r="DG5" s="23"/>
      <c r="DH5" s="23"/>
      <c r="DI5" s="23"/>
      <c r="DJ5" s="23"/>
      <c r="DK5" s="23"/>
      <c r="DL5" s="23"/>
      <c r="DM5" s="23"/>
      <c r="DN5" s="23"/>
      <c r="DO5" s="23"/>
      <c r="DP5" s="23"/>
      <c r="DQ5" s="23"/>
      <c r="DR5" s="23"/>
      <c r="DS5" s="23"/>
      <c r="DT5" s="23"/>
      <c r="DU5" s="23"/>
      <c r="DV5" s="23"/>
      <c r="DW5" s="23"/>
      <c r="DX5" s="23"/>
      <c r="DY5" s="23"/>
      <c r="DZ5" s="23"/>
      <c r="EA5" s="23"/>
      <c r="EB5" s="23"/>
      <c r="EC5" s="23"/>
      <c r="ED5" s="23"/>
      <c r="EE5" s="23"/>
      <c r="EF5" s="23"/>
      <c r="EG5" s="23"/>
      <c r="EH5" s="23"/>
      <c r="EI5" s="23"/>
      <c r="EJ5" s="23"/>
      <c r="EK5" s="23"/>
      <c r="EL5" s="23"/>
      <c r="EM5" s="23"/>
      <c r="EN5" s="23"/>
      <c r="EO5" s="23"/>
      <c r="EP5" s="23"/>
      <c r="EQ5" s="23"/>
      <c r="ER5" s="23"/>
      <c r="ES5" s="23"/>
      <c r="ET5" s="23"/>
      <c r="EU5" s="23"/>
      <c r="EV5" s="23"/>
      <c r="EW5" s="23"/>
      <c r="EX5" s="23"/>
      <c r="EY5" s="23"/>
      <c r="EZ5" s="23"/>
      <c r="FA5" s="23"/>
      <c r="FB5" s="23"/>
      <c r="FC5" s="23"/>
      <c r="FD5" s="23"/>
      <c r="FE5" s="23"/>
      <c r="FF5" s="23"/>
      <c r="FG5" s="23"/>
      <c r="FH5" s="23"/>
      <c r="FI5" s="23"/>
      <c r="FJ5" s="23"/>
      <c r="FK5" s="23"/>
      <c r="FL5" s="23"/>
      <c r="FM5" s="23"/>
      <c r="FN5" s="23"/>
      <c r="FO5" s="23"/>
      <c r="FP5" s="23"/>
      <c r="FQ5" s="23"/>
      <c r="FR5" s="23"/>
      <c r="FS5" s="23"/>
      <c r="FT5" s="23"/>
      <c r="FU5" s="23"/>
      <c r="FV5" s="23"/>
      <c r="FW5" s="23"/>
      <c r="FX5" s="23"/>
      <c r="FY5" s="23"/>
      <c r="FZ5" s="23"/>
      <c r="GA5" s="23"/>
      <c r="GB5" s="23"/>
      <c r="GC5" s="23"/>
      <c r="GD5" s="23"/>
      <c r="GE5" s="23"/>
      <c r="GF5" s="23"/>
      <c r="GG5" s="23"/>
      <c r="GH5" s="23"/>
      <c r="GI5" s="23"/>
      <c r="GJ5" s="23"/>
      <c r="GK5" s="23"/>
      <c r="GL5" s="23"/>
      <c r="GM5" s="23"/>
      <c r="GN5" s="23"/>
      <c r="GO5" s="23"/>
      <c r="GP5" s="23"/>
      <c r="GQ5" s="23"/>
      <c r="GR5" s="23"/>
      <c r="GS5" s="23"/>
      <c r="GT5" s="23"/>
      <c r="GU5" s="23"/>
      <c r="GV5" s="23"/>
      <c r="GW5" s="23"/>
      <c r="GX5" s="23"/>
      <c r="GY5" s="23"/>
      <c r="GZ5" s="23"/>
      <c r="HA5" s="23"/>
      <c r="HB5" s="23"/>
      <c r="HC5" s="23"/>
      <c r="HD5" s="23"/>
      <c r="HE5" s="23"/>
      <c r="HF5" s="23"/>
      <c r="HG5" s="23"/>
      <c r="HH5" s="23"/>
      <c r="HI5" s="23"/>
      <c r="HJ5" s="23"/>
      <c r="HK5" s="23"/>
      <c r="HL5" s="23"/>
      <c r="HM5" s="23"/>
      <c r="HN5" s="23"/>
      <c r="HO5" s="23"/>
      <c r="HP5" s="23"/>
      <c r="HQ5" s="23"/>
      <c r="HR5" s="23"/>
      <c r="HS5" s="23"/>
      <c r="HT5" s="23"/>
      <c r="HU5" s="23"/>
      <c r="HV5" s="23"/>
      <c r="HW5" s="23"/>
      <c r="HX5" s="23"/>
      <c r="HY5" s="23"/>
      <c r="HZ5" s="23"/>
      <c r="IA5" s="23"/>
      <c r="IB5" s="23"/>
      <c r="IC5" s="23"/>
      <c r="ID5" s="23"/>
      <c r="IE5" s="23"/>
      <c r="IF5" s="23"/>
      <c r="IG5" s="23"/>
      <c r="IH5" s="23"/>
      <c r="II5" s="23"/>
      <c r="IJ5" s="23"/>
      <c r="IK5" s="23"/>
      <c r="IL5" s="23"/>
      <c r="IM5" s="23"/>
      <c r="IN5" s="23"/>
      <c r="IO5" s="23"/>
      <c r="IP5" s="23"/>
      <c r="IQ5" s="23"/>
      <c r="IR5" s="23"/>
      <c r="IS5" s="23"/>
      <c r="IT5" s="23"/>
      <c r="IU5" s="23"/>
      <c r="IV5" s="23"/>
      <c r="IW5" s="23"/>
      <c r="IX5" s="23"/>
      <c r="IY5" s="23"/>
      <c r="IZ5" s="23"/>
      <c r="JA5" s="23"/>
      <c r="JB5" s="23"/>
      <c r="JC5" s="23"/>
      <c r="JD5" s="23"/>
      <c r="JE5" s="23"/>
      <c r="JF5" s="23"/>
      <c r="JG5" s="23"/>
      <c r="JH5" s="23"/>
      <c r="JI5" s="23"/>
      <c r="JJ5" s="23"/>
      <c r="JK5" s="23"/>
      <c r="JL5" s="23"/>
      <c r="JM5" s="23"/>
      <c r="JN5" s="23"/>
      <c r="JO5" s="23"/>
      <c r="JP5" s="23"/>
      <c r="JQ5" s="23"/>
      <c r="JR5" s="23"/>
      <c r="JS5" s="23"/>
      <c r="JT5" s="23"/>
      <c r="JU5" s="23"/>
      <c r="JV5" s="23"/>
      <c r="JW5" s="23"/>
      <c r="JX5" s="23"/>
      <c r="JY5" s="23"/>
      <c r="JZ5" s="23"/>
      <c r="KA5" s="23"/>
      <c r="KB5" s="23"/>
      <c r="KC5" s="23"/>
      <c r="KD5" s="23"/>
      <c r="KE5" s="23"/>
      <c r="KF5" s="23"/>
      <c r="KG5" s="23"/>
      <c r="KH5" s="23"/>
      <c r="KI5" s="23"/>
      <c r="KJ5" s="23"/>
      <c r="KK5" s="23"/>
      <c r="KL5" s="23"/>
      <c r="KM5" s="23"/>
      <c r="KN5" s="23"/>
      <c r="KO5" s="23"/>
      <c r="KP5" s="23"/>
      <c r="KQ5" s="23"/>
      <c r="KR5" s="23"/>
      <c r="KS5" s="23"/>
      <c r="KT5" s="23"/>
      <c r="KU5" s="23"/>
      <c r="KV5" s="23"/>
      <c r="KW5" s="23"/>
      <c r="KX5" s="23"/>
      <c r="KY5" s="23"/>
      <c r="KZ5" s="23"/>
      <c r="LA5" s="23"/>
      <c r="LB5" s="23"/>
      <c r="LC5" s="23"/>
      <c r="LD5" s="23"/>
      <c r="LE5" s="23"/>
      <c r="LF5" s="23"/>
      <c r="LG5" s="23"/>
      <c r="LH5" s="23"/>
      <c r="LI5" s="23"/>
      <c r="LJ5" s="23"/>
      <c r="LK5" s="23"/>
      <c r="LL5" s="23"/>
      <c r="LM5" s="23"/>
      <c r="LN5" s="23"/>
      <c r="LO5" s="23"/>
      <c r="LP5" s="23"/>
      <c r="LQ5" s="23"/>
      <c r="LR5" s="23"/>
      <c r="LS5" s="23"/>
      <c r="LT5" s="23"/>
      <c r="LU5" s="23"/>
      <c r="LV5" s="23"/>
      <c r="LW5" s="23"/>
      <c r="LX5" s="23"/>
      <c r="LY5" s="23"/>
      <c r="LZ5" s="23"/>
      <c r="MA5" s="23"/>
      <c r="MB5" s="23"/>
      <c r="MC5" s="23"/>
      <c r="MD5" s="23"/>
      <c r="ME5" s="23"/>
      <c r="MF5" s="23"/>
      <c r="MG5" s="23"/>
      <c r="MH5" s="23"/>
      <c r="MI5" s="23"/>
      <c r="MJ5" s="23"/>
      <c r="MK5" s="23"/>
      <c r="ML5" s="23"/>
      <c r="MM5" s="23"/>
      <c r="MN5" s="23"/>
      <c r="MO5" s="23"/>
      <c r="MP5" s="23"/>
      <c r="MQ5" s="23"/>
      <c r="MR5" s="23"/>
      <c r="MS5" s="23"/>
      <c r="MT5" s="23"/>
      <c r="MU5" s="23"/>
      <c r="MV5" s="23"/>
      <c r="MW5" s="23"/>
      <c r="MX5" s="23"/>
      <c r="MY5" s="23"/>
      <c r="MZ5" s="23"/>
      <c r="NA5" s="23"/>
      <c r="NB5" s="23"/>
      <c r="NC5" s="23"/>
      <c r="ND5" s="23"/>
      <c r="NE5" s="23"/>
      <c r="NF5" s="23"/>
      <c r="NG5" s="23"/>
      <c r="NH5" s="23"/>
      <c r="NI5" s="23"/>
      <c r="NJ5" s="23"/>
      <c r="NK5" s="23"/>
      <c r="NL5" s="23"/>
      <c r="NM5" s="23"/>
      <c r="NN5" s="23"/>
      <c r="NO5" s="23"/>
      <c r="NP5" s="23"/>
      <c r="NQ5" s="23"/>
      <c r="NR5" s="23"/>
      <c r="NS5" s="23"/>
      <c r="NT5" s="23"/>
      <c r="NU5" s="23"/>
      <c r="NV5" s="23"/>
      <c r="NW5" s="23"/>
      <c r="NX5" s="23"/>
      <c r="NY5" s="23"/>
      <c r="NZ5" s="23"/>
      <c r="OA5" s="23"/>
      <c r="OB5" s="23"/>
      <c r="OC5" s="23"/>
      <c r="OD5" s="23"/>
      <c r="OE5" s="23"/>
      <c r="OF5" s="23"/>
      <c r="OG5" s="23"/>
      <c r="OH5" s="23"/>
      <c r="OI5" s="23"/>
      <c r="OJ5" s="23"/>
      <c r="OK5" s="23"/>
      <c r="OL5" s="23"/>
      <c r="OM5" s="23"/>
      <c r="ON5" s="23"/>
      <c r="OO5" s="23"/>
      <c r="OP5" s="23"/>
      <c r="OQ5" s="23"/>
      <c r="OR5" s="23"/>
      <c r="OS5" s="23"/>
      <c r="OT5" s="23"/>
      <c r="OU5" s="23"/>
      <c r="OV5" s="23"/>
      <c r="OW5" s="23"/>
      <c r="OX5" s="23"/>
      <c r="OY5" s="23"/>
      <c r="OZ5" s="23"/>
      <c r="PA5" s="23"/>
      <c r="PB5" s="23"/>
      <c r="PC5" s="23"/>
      <c r="PD5" s="23"/>
      <c r="PE5" s="23"/>
      <c r="PF5" s="23"/>
      <c r="PG5" s="23"/>
      <c r="PH5" s="23"/>
      <c r="PI5" s="23"/>
      <c r="PJ5" s="23"/>
      <c r="PK5" s="23"/>
      <c r="PL5" s="23"/>
      <c r="PM5" s="23"/>
      <c r="PN5" s="23"/>
      <c r="PO5" s="23"/>
      <c r="PP5" s="23"/>
      <c r="PQ5" s="23"/>
      <c r="PR5" s="23"/>
      <c r="PS5" s="23"/>
      <c r="PT5" s="23"/>
      <c r="PU5" s="23"/>
      <c r="PV5" s="23"/>
      <c r="PW5" s="23"/>
      <c r="PX5" s="23"/>
      <c r="PY5" s="23"/>
      <c r="PZ5" s="23"/>
      <c r="QA5" s="23"/>
      <c r="QB5" s="23"/>
      <c r="QC5" s="23"/>
      <c r="QD5" s="23"/>
      <c r="QE5" s="23"/>
      <c r="QF5" s="23"/>
      <c r="QG5" s="23"/>
      <c r="QH5" s="23"/>
      <c r="QI5" s="23"/>
      <c r="QJ5" s="23"/>
      <c r="QK5" s="23"/>
      <c r="QL5" s="23"/>
      <c r="QM5" s="23"/>
      <c r="QN5" s="23"/>
      <c r="QO5" s="23"/>
      <c r="QP5" s="23"/>
      <c r="QQ5" s="23"/>
      <c r="QR5" s="23"/>
      <c r="QS5" s="23"/>
      <c r="QT5" s="23"/>
      <c r="QU5" s="23"/>
      <c r="QV5" s="23"/>
      <c r="QW5" s="23"/>
      <c r="QX5" s="23"/>
      <c r="QY5" s="23"/>
      <c r="QZ5" s="23"/>
      <c r="RA5" s="23"/>
      <c r="RB5" s="23"/>
      <c r="RC5" s="23"/>
      <c r="RD5" s="23"/>
      <c r="RE5" s="23"/>
      <c r="RF5" s="23"/>
      <c r="RG5" s="23"/>
      <c r="RH5" s="23"/>
      <c r="RI5" s="23"/>
      <c r="RJ5" s="23"/>
      <c r="RK5" s="23"/>
      <c r="RL5" s="23"/>
      <c r="RM5" s="23"/>
      <c r="RN5" s="23"/>
      <c r="RO5" s="23"/>
      <c r="RP5" s="23"/>
      <c r="RQ5" s="23"/>
      <c r="RR5" s="23"/>
      <c r="RS5" s="23"/>
      <c r="RT5" s="23"/>
      <c r="RU5" s="23"/>
      <c r="RV5" s="23"/>
      <c r="RW5" s="23"/>
      <c r="RX5" s="23"/>
      <c r="RY5" s="23"/>
      <c r="RZ5" s="23"/>
      <c r="SA5" s="23"/>
      <c r="SB5" s="23"/>
      <c r="SC5" s="23"/>
      <c r="SD5" s="23"/>
      <c r="SE5" s="23"/>
      <c r="SF5" s="23"/>
      <c r="SG5" s="23"/>
      <c r="SH5" s="23"/>
      <c r="SI5" s="23"/>
      <c r="SJ5" s="23"/>
      <c r="SK5" s="23"/>
      <c r="SL5" s="23"/>
      <c r="SM5" s="23"/>
      <c r="SN5" s="23"/>
      <c r="SO5" s="23"/>
      <c r="SP5" s="23"/>
      <c r="SQ5" s="23"/>
      <c r="SR5" s="23"/>
      <c r="SS5" s="23"/>
      <c r="ST5" s="23"/>
      <c r="SU5" s="23"/>
      <c r="SV5" s="23"/>
      <c r="SW5" s="23"/>
      <c r="SX5" s="23"/>
      <c r="SY5" s="23"/>
      <c r="SZ5" s="23"/>
      <c r="TA5" s="23"/>
      <c r="TB5" s="23"/>
      <c r="TC5" s="23"/>
      <c r="TD5" s="23"/>
      <c r="TE5" s="23"/>
      <c r="TF5" s="23"/>
      <c r="TG5" s="23"/>
      <c r="TH5" s="23"/>
      <c r="TI5" s="23"/>
      <c r="TJ5" s="23"/>
      <c r="TK5" s="23"/>
      <c r="TL5" s="23"/>
      <c r="TM5" s="23"/>
      <c r="TN5" s="23"/>
      <c r="TO5" s="23"/>
      <c r="TP5" s="23"/>
      <c r="TQ5" s="23"/>
      <c r="TR5" s="23"/>
      <c r="TS5" s="23"/>
      <c r="TT5" s="23"/>
      <c r="TU5" s="23"/>
      <c r="TV5" s="23"/>
      <c r="TW5" s="23"/>
      <c r="TX5" s="23"/>
      <c r="TY5" s="23"/>
      <c r="TZ5" s="23"/>
      <c r="UA5" s="23"/>
      <c r="UB5" s="23"/>
      <c r="UC5" s="23"/>
      <c r="UD5" s="23"/>
      <c r="UE5" s="23"/>
      <c r="UF5" s="23"/>
      <c r="UG5" s="23"/>
      <c r="UH5" s="23"/>
      <c r="UI5" s="23"/>
      <c r="UJ5" s="23"/>
      <c r="UK5" s="23"/>
      <c r="UL5" s="23"/>
      <c r="UM5" s="23"/>
      <c r="UN5" s="23"/>
      <c r="UO5" s="23"/>
      <c r="UP5" s="23"/>
      <c r="UQ5" s="23"/>
      <c r="UR5" s="23"/>
      <c r="US5" s="23"/>
      <c r="UT5" s="23"/>
      <c r="UU5" s="23"/>
      <c r="UV5" s="23"/>
      <c r="UW5" s="23"/>
      <c r="UX5" s="23"/>
      <c r="UY5" s="23"/>
      <c r="UZ5" s="23"/>
      <c r="VA5" s="23"/>
      <c r="VB5" s="23"/>
      <c r="VC5" s="23"/>
      <c r="VD5" s="23"/>
      <c r="VE5" s="23"/>
      <c r="VF5" s="23"/>
      <c r="VG5" s="23"/>
      <c r="VH5" s="23"/>
      <c r="VI5" s="23"/>
      <c r="VJ5" s="23"/>
      <c r="VK5" s="23"/>
      <c r="VL5" s="23"/>
      <c r="VM5" s="23"/>
      <c r="VN5" s="23"/>
      <c r="VO5" s="23"/>
      <c r="VP5" s="23"/>
      <c r="VQ5" s="23"/>
      <c r="VR5" s="23"/>
      <c r="VS5" s="23"/>
      <c r="VT5" s="23"/>
      <c r="VU5" s="23"/>
      <c r="VV5" s="23"/>
      <c r="VW5" s="23"/>
      <c r="VX5" s="23"/>
      <c r="VY5" s="23"/>
      <c r="VZ5" s="23"/>
      <c r="WA5" s="23"/>
      <c r="WB5" s="23"/>
      <c r="WC5" s="23"/>
      <c r="WD5" s="23"/>
      <c r="WE5" s="23"/>
      <c r="WF5" s="23"/>
      <c r="WG5" s="23"/>
      <c r="WH5" s="23"/>
      <c r="WI5" s="23"/>
      <c r="WJ5" s="23"/>
      <c r="WK5" s="23"/>
      <c r="WL5" s="23"/>
      <c r="WM5" s="23"/>
      <c r="WN5" s="23"/>
      <c r="WO5" s="23"/>
      <c r="WP5" s="23"/>
      <c r="WQ5" s="23"/>
      <c r="WR5" s="23"/>
      <c r="WS5" s="23"/>
      <c r="WT5" s="23"/>
      <c r="WU5" s="23"/>
      <c r="WV5" s="23"/>
      <c r="WW5" s="23"/>
      <c r="WX5" s="23"/>
      <c r="WY5" s="23"/>
      <c r="WZ5" s="23"/>
      <c r="XA5" s="23"/>
      <c r="XB5" s="23"/>
      <c r="XC5" s="23"/>
      <c r="XD5" s="23"/>
      <c r="XE5" s="23"/>
      <c r="XF5" s="23"/>
      <c r="XG5" s="23"/>
      <c r="XH5" s="23"/>
      <c r="XI5" s="23"/>
      <c r="XJ5" s="23"/>
      <c r="XK5" s="23"/>
      <c r="XL5" s="23"/>
      <c r="XM5" s="23"/>
      <c r="XN5" s="23"/>
      <c r="XO5" s="23"/>
      <c r="XP5" s="23"/>
      <c r="XQ5" s="23"/>
      <c r="XR5" s="23"/>
      <c r="XS5" s="23"/>
      <c r="XT5" s="23"/>
      <c r="XU5" s="23"/>
      <c r="XV5" s="23"/>
      <c r="XW5" s="23"/>
      <c r="XX5" s="23"/>
      <c r="XY5" s="23"/>
      <c r="XZ5" s="23"/>
      <c r="YA5" s="23"/>
      <c r="YB5" s="23"/>
      <c r="YC5" s="23"/>
      <c r="YD5" s="23"/>
      <c r="YE5" s="23"/>
      <c r="YF5" s="23"/>
      <c r="YG5" s="23"/>
      <c r="YH5" s="23"/>
      <c r="YI5" s="23"/>
      <c r="YJ5" s="23"/>
      <c r="YK5" s="23"/>
      <c r="YL5" s="23"/>
      <c r="YM5" s="23"/>
      <c r="YN5" s="23"/>
      <c r="YO5" s="23"/>
      <c r="YP5" s="23"/>
      <c r="YQ5" s="23"/>
      <c r="YR5" s="23"/>
      <c r="YS5" s="23"/>
      <c r="YT5" s="23"/>
      <c r="YU5" s="23"/>
      <c r="YV5" s="23"/>
      <c r="YW5" s="23"/>
      <c r="YX5" s="23"/>
      <c r="YY5" s="23"/>
      <c r="YZ5" s="23"/>
      <c r="ZA5" s="23"/>
      <c r="ZB5" s="23"/>
      <c r="ZC5" s="23"/>
      <c r="ZD5" s="23"/>
    </row>
    <row r="6" spans="1:682" customFormat="1" x14ac:dyDescent="0.25">
      <c r="A6" s="145"/>
      <c r="B6" s="56"/>
      <c r="C6" s="103" t="s">
        <v>66</v>
      </c>
      <c r="D6" s="5" t="s">
        <v>65</v>
      </c>
      <c r="E6" s="103" t="s">
        <v>66</v>
      </c>
      <c r="F6" s="5" t="s">
        <v>65</v>
      </c>
      <c r="G6" s="56">
        <v>2</v>
      </c>
      <c r="H6" s="138" t="s">
        <v>69</v>
      </c>
      <c r="I6" s="96"/>
      <c r="J6" s="292">
        <f ca="1">J13+J21+J29+J37</f>
        <v>1330</v>
      </c>
      <c r="K6" s="86">
        <f t="shared" ref="K6:AG6" ca="1" si="0">K13+K21+K29+K37</f>
        <v>805</v>
      </c>
      <c r="L6" s="86">
        <f ca="1">L13+L21+L29+L37</f>
        <v>1068</v>
      </c>
      <c r="M6" s="86">
        <f t="shared" ca="1" si="0"/>
        <v>1213</v>
      </c>
      <c r="N6" s="86">
        <f t="shared" ca="1" si="0"/>
        <v>1696</v>
      </c>
      <c r="O6" s="86">
        <f t="shared" ca="1" si="0"/>
        <v>1067</v>
      </c>
      <c r="P6" s="86">
        <f t="shared" ca="1" si="0"/>
        <v>1453</v>
      </c>
      <c r="Q6" s="86">
        <f t="shared" ca="1" si="0"/>
        <v>1347</v>
      </c>
      <c r="R6" s="86">
        <f t="shared" ca="1" si="0"/>
        <v>1175</v>
      </c>
      <c r="S6" s="86">
        <f t="shared" ca="1" si="0"/>
        <v>1618</v>
      </c>
      <c r="T6" s="86">
        <f t="shared" ca="1" si="0"/>
        <v>937</v>
      </c>
      <c r="U6" s="86">
        <f t="shared" ca="1" si="0"/>
        <v>1104</v>
      </c>
      <c r="V6" s="86">
        <f t="shared" ca="1" si="0"/>
        <v>1115</v>
      </c>
      <c r="W6" s="86">
        <f t="shared" ca="1" si="0"/>
        <v>1531</v>
      </c>
      <c r="X6" s="86">
        <f t="shared" ca="1" si="0"/>
        <v>1341</v>
      </c>
      <c r="Y6" s="86">
        <f t="shared" ca="1" si="0"/>
        <v>1035</v>
      </c>
      <c r="Z6" s="86">
        <f t="shared" ca="1" si="0"/>
        <v>1683</v>
      </c>
      <c r="AA6" s="86">
        <f t="shared" ca="1" si="0"/>
        <v>1653</v>
      </c>
      <c r="AB6" s="86">
        <f t="shared" ca="1" si="0"/>
        <v>877</v>
      </c>
      <c r="AC6" s="86">
        <f t="shared" ca="1" si="0"/>
        <v>762</v>
      </c>
      <c r="AD6" s="86">
        <f t="shared" ca="1" si="0"/>
        <v>748</v>
      </c>
      <c r="AE6" s="86">
        <f t="shared" ca="1" si="0"/>
        <v>491</v>
      </c>
      <c r="AF6" s="86">
        <f t="shared" ca="1" si="0"/>
        <v>0</v>
      </c>
      <c r="AG6" s="86">
        <f t="shared" ca="1" si="0"/>
        <v>0</v>
      </c>
      <c r="AH6" s="245"/>
      <c r="AI6" s="245"/>
      <c r="AJ6" s="245"/>
      <c r="AK6" s="245"/>
      <c r="AL6" s="23"/>
      <c r="AM6" s="23"/>
      <c r="AN6" s="23"/>
      <c r="AO6" s="23"/>
      <c r="AP6" s="23"/>
      <c r="AQ6" s="23"/>
      <c r="AR6" s="23"/>
      <c r="AS6" s="23"/>
      <c r="AT6" s="23"/>
      <c r="AU6" s="23"/>
      <c r="AV6" s="23"/>
      <c r="AW6" s="23"/>
      <c r="AX6" s="23"/>
      <c r="AY6" s="23"/>
      <c r="AZ6" s="23"/>
      <c r="BA6" s="23"/>
      <c r="BB6" s="23"/>
      <c r="BC6" s="23"/>
      <c r="BD6" s="23"/>
      <c r="BE6" s="23"/>
      <c r="BF6" s="23"/>
      <c r="BG6" s="23"/>
      <c r="BH6" s="23"/>
      <c r="BI6" s="23"/>
      <c r="BJ6" s="23"/>
      <c r="BK6" s="23"/>
      <c r="BL6" s="23"/>
      <c r="BM6" s="23"/>
      <c r="BN6" s="23"/>
      <c r="BO6" s="23"/>
      <c r="BP6" s="23"/>
      <c r="BQ6" s="23"/>
      <c r="BR6" s="23"/>
      <c r="BS6" s="23"/>
      <c r="BT6" s="23"/>
      <c r="BU6" s="23"/>
      <c r="BV6" s="23"/>
      <c r="BW6" s="23"/>
      <c r="BX6" s="23"/>
      <c r="BY6" s="23"/>
      <c r="BZ6" s="23"/>
      <c r="CA6" s="23"/>
      <c r="CB6" s="23"/>
      <c r="CC6" s="23"/>
      <c r="CD6" s="23"/>
      <c r="CE6" s="23"/>
      <c r="CF6" s="23"/>
      <c r="CG6" s="23"/>
      <c r="CH6" s="23"/>
      <c r="CI6" s="23"/>
      <c r="CJ6" s="23"/>
      <c r="CK6" s="23"/>
      <c r="CL6" s="23"/>
      <c r="CM6" s="23"/>
      <c r="CN6" s="23"/>
      <c r="CO6" s="23"/>
      <c r="CP6" s="23"/>
      <c r="CQ6" s="23"/>
      <c r="CR6" s="23"/>
      <c r="CS6" s="23"/>
      <c r="CT6" s="23"/>
      <c r="CU6" s="23"/>
      <c r="CV6" s="23"/>
      <c r="CW6" s="23"/>
      <c r="CX6" s="23"/>
      <c r="CY6" s="23"/>
      <c r="CZ6" s="23"/>
      <c r="DA6" s="23"/>
      <c r="DB6" s="23"/>
      <c r="DC6" s="23"/>
      <c r="DD6" s="23"/>
      <c r="DE6" s="23"/>
      <c r="DF6" s="23"/>
      <c r="DG6" s="23"/>
      <c r="DH6" s="23"/>
      <c r="DI6" s="23"/>
      <c r="DJ6" s="23"/>
      <c r="DK6" s="23"/>
      <c r="DL6" s="23"/>
      <c r="DM6" s="23"/>
      <c r="DN6" s="23"/>
      <c r="DO6" s="23"/>
      <c r="DP6" s="23"/>
      <c r="DQ6" s="23"/>
      <c r="DR6" s="23"/>
      <c r="DS6" s="23"/>
      <c r="DT6" s="23"/>
      <c r="DU6" s="23"/>
      <c r="DV6" s="23"/>
      <c r="DW6" s="23"/>
      <c r="DX6" s="23"/>
      <c r="DY6" s="23"/>
      <c r="DZ6" s="23"/>
      <c r="EA6" s="23"/>
      <c r="EB6" s="23"/>
      <c r="EC6" s="23"/>
      <c r="ED6" s="23"/>
      <c r="EE6" s="23"/>
      <c r="EF6" s="23"/>
      <c r="EG6" s="23"/>
      <c r="EH6" s="23"/>
      <c r="EI6" s="23"/>
      <c r="EJ6" s="23"/>
      <c r="EK6" s="23"/>
      <c r="EL6" s="23"/>
      <c r="EM6" s="23"/>
      <c r="EN6" s="23"/>
      <c r="EO6" s="23"/>
      <c r="EP6" s="23"/>
      <c r="EQ6" s="23"/>
      <c r="ER6" s="23"/>
      <c r="ES6" s="23"/>
      <c r="ET6" s="23"/>
      <c r="EU6" s="23"/>
      <c r="EV6" s="23"/>
      <c r="EW6" s="23"/>
      <c r="EX6" s="23"/>
      <c r="EY6" s="23"/>
      <c r="EZ6" s="23"/>
      <c r="FA6" s="23"/>
      <c r="FB6" s="23"/>
      <c r="FC6" s="23"/>
      <c r="FD6" s="23"/>
      <c r="FE6" s="23"/>
      <c r="FF6" s="23"/>
      <c r="FG6" s="23"/>
      <c r="FH6" s="23"/>
      <c r="FI6" s="23"/>
      <c r="FJ6" s="23"/>
      <c r="FK6" s="23"/>
      <c r="FL6" s="23"/>
      <c r="FM6" s="23"/>
      <c r="FN6" s="23"/>
      <c r="FO6" s="23"/>
      <c r="FP6" s="23"/>
      <c r="FQ6" s="23"/>
      <c r="FR6" s="23"/>
      <c r="FS6" s="23"/>
      <c r="FT6" s="23"/>
      <c r="FU6" s="23"/>
      <c r="FV6" s="23"/>
      <c r="FW6" s="23"/>
      <c r="FX6" s="23"/>
      <c r="FY6" s="23"/>
      <c r="FZ6" s="23"/>
      <c r="GA6" s="23"/>
      <c r="GB6" s="23"/>
      <c r="GC6" s="23"/>
      <c r="GD6" s="23"/>
      <c r="GE6" s="23"/>
      <c r="GF6" s="23"/>
      <c r="GG6" s="23"/>
      <c r="GH6" s="23"/>
      <c r="GI6" s="23"/>
      <c r="GJ6" s="23"/>
      <c r="GK6" s="23"/>
      <c r="GL6" s="23"/>
      <c r="GM6" s="23"/>
      <c r="GN6" s="23"/>
      <c r="GO6" s="23"/>
      <c r="GP6" s="23"/>
      <c r="GQ6" s="23"/>
      <c r="GR6" s="23"/>
      <c r="GS6" s="23"/>
      <c r="GT6" s="23"/>
      <c r="GU6" s="23"/>
      <c r="GV6" s="23"/>
      <c r="GW6" s="23"/>
      <c r="GX6" s="23"/>
      <c r="GY6" s="23"/>
      <c r="GZ6" s="23"/>
      <c r="HA6" s="23"/>
      <c r="HB6" s="23"/>
      <c r="HC6" s="23"/>
      <c r="HD6" s="23"/>
      <c r="HE6" s="23"/>
      <c r="HF6" s="23"/>
      <c r="HG6" s="23"/>
      <c r="HH6" s="23"/>
      <c r="HI6" s="23"/>
      <c r="HJ6" s="23"/>
      <c r="HK6" s="23"/>
      <c r="HL6" s="23"/>
      <c r="HM6" s="23"/>
      <c r="HN6" s="23"/>
      <c r="HO6" s="23"/>
      <c r="HP6" s="23"/>
      <c r="HQ6" s="23"/>
      <c r="HR6" s="23"/>
      <c r="HS6" s="23"/>
      <c r="HT6" s="23"/>
      <c r="HU6" s="23"/>
      <c r="HV6" s="23"/>
      <c r="HW6" s="23"/>
      <c r="HX6" s="23"/>
      <c r="HY6" s="23"/>
      <c r="HZ6" s="23"/>
      <c r="IA6" s="23"/>
      <c r="IB6" s="23"/>
      <c r="IC6" s="23"/>
      <c r="ID6" s="23"/>
      <c r="IE6" s="23"/>
      <c r="IF6" s="23"/>
      <c r="IG6" s="23"/>
      <c r="IH6" s="23"/>
      <c r="II6" s="23"/>
      <c r="IJ6" s="23"/>
      <c r="IK6" s="23"/>
      <c r="IL6" s="23"/>
      <c r="IM6" s="23"/>
      <c r="IN6" s="23"/>
      <c r="IO6" s="23"/>
      <c r="IP6" s="23"/>
      <c r="IQ6" s="23"/>
      <c r="IR6" s="23"/>
      <c r="IS6" s="23"/>
      <c r="IT6" s="23"/>
      <c r="IU6" s="23"/>
      <c r="IV6" s="23"/>
      <c r="IW6" s="23"/>
      <c r="IX6" s="23"/>
      <c r="IY6" s="23"/>
      <c r="IZ6" s="23"/>
      <c r="JA6" s="23"/>
      <c r="JB6" s="23"/>
      <c r="JC6" s="23"/>
      <c r="JD6" s="23"/>
      <c r="JE6" s="23"/>
      <c r="JF6" s="23"/>
      <c r="JG6" s="23"/>
      <c r="JH6" s="23"/>
      <c r="JI6" s="23"/>
      <c r="JJ6" s="23"/>
      <c r="JK6" s="23"/>
      <c r="JL6" s="23"/>
      <c r="JM6" s="23"/>
      <c r="JN6" s="23"/>
      <c r="JO6" s="23"/>
      <c r="JP6" s="23"/>
      <c r="JQ6" s="23"/>
      <c r="JR6" s="23"/>
      <c r="JS6" s="23"/>
      <c r="JT6" s="23"/>
      <c r="JU6" s="23"/>
      <c r="JV6" s="23"/>
      <c r="JW6" s="23"/>
      <c r="JX6" s="23"/>
      <c r="JY6" s="23"/>
      <c r="JZ6" s="23"/>
      <c r="KA6" s="23"/>
      <c r="KB6" s="23"/>
      <c r="KC6" s="23"/>
      <c r="KD6" s="23"/>
      <c r="KE6" s="23"/>
      <c r="KF6" s="23"/>
      <c r="KG6" s="23"/>
      <c r="KH6" s="23"/>
      <c r="KI6" s="23"/>
      <c r="KJ6" s="23"/>
      <c r="KK6" s="23"/>
      <c r="KL6" s="23"/>
      <c r="KM6" s="23"/>
      <c r="KN6" s="23"/>
      <c r="KO6" s="23"/>
      <c r="KP6" s="23"/>
      <c r="KQ6" s="23"/>
      <c r="KR6" s="23"/>
      <c r="KS6" s="23"/>
      <c r="KT6" s="23"/>
      <c r="KU6" s="23"/>
      <c r="KV6" s="23"/>
      <c r="KW6" s="23"/>
      <c r="KX6" s="23"/>
      <c r="KY6" s="23"/>
      <c r="KZ6" s="23"/>
      <c r="LA6" s="23"/>
      <c r="LB6" s="23"/>
      <c r="LC6" s="23"/>
      <c r="LD6" s="23"/>
      <c r="LE6" s="23"/>
      <c r="LF6" s="23"/>
      <c r="LG6" s="23"/>
      <c r="LH6" s="23"/>
      <c r="LI6" s="23"/>
      <c r="LJ6" s="23"/>
      <c r="LK6" s="23"/>
      <c r="LL6" s="23"/>
      <c r="LM6" s="23"/>
      <c r="LN6" s="23"/>
      <c r="LO6" s="23"/>
      <c r="LP6" s="23"/>
      <c r="LQ6" s="23"/>
      <c r="LR6" s="23"/>
      <c r="LS6" s="23"/>
      <c r="LT6" s="23"/>
      <c r="LU6" s="23"/>
      <c r="LV6" s="23"/>
      <c r="LW6" s="23"/>
      <c r="LX6" s="23"/>
      <c r="LY6" s="23"/>
      <c r="LZ6" s="23"/>
      <c r="MA6" s="23"/>
      <c r="MB6" s="23"/>
      <c r="MC6" s="23"/>
      <c r="MD6" s="23"/>
      <c r="ME6" s="23"/>
      <c r="MF6" s="23"/>
      <c r="MG6" s="23"/>
      <c r="MH6" s="23"/>
      <c r="MI6" s="23"/>
      <c r="MJ6" s="23"/>
      <c r="MK6" s="23"/>
      <c r="ML6" s="23"/>
      <c r="MM6" s="23"/>
      <c r="MN6" s="23"/>
      <c r="MO6" s="23"/>
      <c r="MP6" s="23"/>
      <c r="MQ6" s="23"/>
      <c r="MR6" s="23"/>
      <c r="MS6" s="23"/>
      <c r="MT6" s="23"/>
      <c r="MU6" s="23"/>
      <c r="MV6" s="23"/>
      <c r="MW6" s="23"/>
      <c r="MX6" s="23"/>
      <c r="MY6" s="23"/>
      <c r="MZ6" s="23"/>
      <c r="NA6" s="23"/>
      <c r="NB6" s="23"/>
      <c r="NC6" s="23"/>
      <c r="ND6" s="23"/>
      <c r="NE6" s="23"/>
      <c r="NF6" s="23"/>
      <c r="NG6" s="23"/>
      <c r="NH6" s="23"/>
      <c r="NI6" s="23"/>
      <c r="NJ6" s="23"/>
      <c r="NK6" s="23"/>
      <c r="NL6" s="23"/>
      <c r="NM6" s="23"/>
      <c r="NN6" s="23"/>
      <c r="NO6" s="23"/>
      <c r="NP6" s="23"/>
      <c r="NQ6" s="23"/>
      <c r="NR6" s="23"/>
      <c r="NS6" s="23"/>
      <c r="NT6" s="23"/>
      <c r="NU6" s="23"/>
      <c r="NV6" s="23"/>
      <c r="NW6" s="23"/>
      <c r="NX6" s="23"/>
      <c r="NY6" s="23"/>
      <c r="NZ6" s="23"/>
      <c r="OA6" s="23"/>
      <c r="OB6" s="23"/>
      <c r="OC6" s="23"/>
      <c r="OD6" s="23"/>
      <c r="OE6" s="23"/>
      <c r="OF6" s="23"/>
      <c r="OG6" s="23"/>
      <c r="OH6" s="23"/>
      <c r="OI6" s="23"/>
      <c r="OJ6" s="23"/>
      <c r="OK6" s="23"/>
      <c r="OL6" s="23"/>
      <c r="OM6" s="23"/>
      <c r="ON6" s="23"/>
      <c r="OO6" s="23"/>
      <c r="OP6" s="23"/>
      <c r="OQ6" s="23"/>
      <c r="OR6" s="23"/>
      <c r="OS6" s="23"/>
      <c r="OT6" s="23"/>
      <c r="OU6" s="23"/>
      <c r="OV6" s="23"/>
      <c r="OW6" s="23"/>
      <c r="OX6" s="23"/>
      <c r="OY6" s="23"/>
      <c r="OZ6" s="23"/>
      <c r="PA6" s="23"/>
      <c r="PB6" s="23"/>
      <c r="PC6" s="23"/>
      <c r="PD6" s="23"/>
      <c r="PE6" s="23"/>
      <c r="PF6" s="23"/>
      <c r="PG6" s="23"/>
      <c r="PH6" s="23"/>
      <c r="PI6" s="23"/>
      <c r="PJ6" s="23"/>
      <c r="PK6" s="23"/>
      <c r="PL6" s="23"/>
      <c r="PM6" s="23"/>
      <c r="PN6" s="23"/>
      <c r="PO6" s="23"/>
      <c r="PP6" s="23"/>
      <c r="PQ6" s="23"/>
      <c r="PR6" s="23"/>
      <c r="PS6" s="23"/>
      <c r="PT6" s="23"/>
      <c r="PU6" s="23"/>
      <c r="PV6" s="23"/>
      <c r="PW6" s="23"/>
      <c r="PX6" s="23"/>
      <c r="PY6" s="23"/>
      <c r="PZ6" s="23"/>
      <c r="QA6" s="23"/>
      <c r="QB6" s="23"/>
      <c r="QC6" s="23"/>
      <c r="QD6" s="23"/>
      <c r="QE6" s="23"/>
      <c r="QF6" s="23"/>
      <c r="QG6" s="23"/>
      <c r="QH6" s="23"/>
      <c r="QI6" s="23"/>
      <c r="QJ6" s="23"/>
      <c r="QK6" s="23"/>
      <c r="QL6" s="23"/>
      <c r="QM6" s="23"/>
      <c r="QN6" s="23"/>
      <c r="QO6" s="23"/>
      <c r="QP6" s="23"/>
      <c r="QQ6" s="23"/>
      <c r="QR6" s="23"/>
      <c r="QS6" s="23"/>
      <c r="QT6" s="23"/>
      <c r="QU6" s="23"/>
      <c r="QV6" s="23"/>
      <c r="QW6" s="23"/>
      <c r="QX6" s="23"/>
      <c r="QY6" s="23"/>
      <c r="QZ6" s="23"/>
      <c r="RA6" s="23"/>
      <c r="RB6" s="23"/>
      <c r="RC6" s="23"/>
      <c r="RD6" s="23"/>
      <c r="RE6" s="23"/>
      <c r="RF6" s="23"/>
      <c r="RG6" s="23"/>
      <c r="RH6" s="23"/>
      <c r="RI6" s="23"/>
      <c r="RJ6" s="23"/>
      <c r="RK6" s="23"/>
      <c r="RL6" s="23"/>
      <c r="RM6" s="23"/>
      <c r="RN6" s="23"/>
      <c r="RO6" s="23"/>
      <c r="RP6" s="23"/>
      <c r="RQ6" s="23"/>
      <c r="RR6" s="23"/>
      <c r="RS6" s="23"/>
      <c r="RT6" s="23"/>
      <c r="RU6" s="23"/>
      <c r="RV6" s="23"/>
      <c r="RW6" s="23"/>
      <c r="RX6" s="23"/>
      <c r="RY6" s="23"/>
      <c r="RZ6" s="23"/>
      <c r="SA6" s="23"/>
      <c r="SB6" s="23"/>
      <c r="SC6" s="23"/>
      <c r="SD6" s="23"/>
      <c r="SE6" s="23"/>
      <c r="SF6" s="23"/>
      <c r="SG6" s="23"/>
      <c r="SH6" s="23"/>
      <c r="SI6" s="23"/>
      <c r="SJ6" s="23"/>
      <c r="SK6" s="23"/>
      <c r="SL6" s="23"/>
      <c r="SM6" s="23"/>
      <c r="SN6" s="23"/>
      <c r="SO6" s="23"/>
      <c r="SP6" s="23"/>
      <c r="SQ6" s="23"/>
      <c r="SR6" s="23"/>
      <c r="SS6" s="23"/>
      <c r="ST6" s="23"/>
      <c r="SU6" s="23"/>
      <c r="SV6" s="23"/>
      <c r="SW6" s="23"/>
      <c r="SX6" s="23"/>
      <c r="SY6" s="23"/>
      <c r="SZ6" s="23"/>
      <c r="TA6" s="23"/>
      <c r="TB6" s="23"/>
      <c r="TC6" s="23"/>
      <c r="TD6" s="23"/>
      <c r="TE6" s="23"/>
      <c r="TF6" s="23"/>
      <c r="TG6" s="23"/>
      <c r="TH6" s="23"/>
      <c r="TI6" s="23"/>
      <c r="TJ6" s="23"/>
      <c r="TK6" s="23"/>
      <c r="TL6" s="23"/>
      <c r="TM6" s="23"/>
      <c r="TN6" s="23"/>
      <c r="TO6" s="23"/>
      <c r="TP6" s="23"/>
      <c r="TQ6" s="23"/>
      <c r="TR6" s="23"/>
      <c r="TS6" s="23"/>
      <c r="TT6" s="23"/>
      <c r="TU6" s="23"/>
      <c r="TV6" s="23"/>
      <c r="TW6" s="23"/>
      <c r="TX6" s="23"/>
      <c r="TY6" s="23"/>
      <c r="TZ6" s="23"/>
      <c r="UA6" s="23"/>
      <c r="UB6" s="23"/>
      <c r="UC6" s="23"/>
      <c r="UD6" s="23"/>
      <c r="UE6" s="23"/>
      <c r="UF6" s="23"/>
      <c r="UG6" s="23"/>
      <c r="UH6" s="23"/>
      <c r="UI6" s="23"/>
      <c r="UJ6" s="23"/>
      <c r="UK6" s="23"/>
      <c r="UL6" s="23"/>
      <c r="UM6" s="23"/>
      <c r="UN6" s="23"/>
      <c r="UO6" s="23"/>
      <c r="UP6" s="23"/>
      <c r="UQ6" s="23"/>
      <c r="UR6" s="23"/>
      <c r="US6" s="23"/>
      <c r="UT6" s="23"/>
      <c r="UU6" s="23"/>
      <c r="UV6" s="23"/>
      <c r="UW6" s="23"/>
      <c r="UX6" s="23"/>
      <c r="UY6" s="23"/>
      <c r="UZ6" s="23"/>
      <c r="VA6" s="23"/>
      <c r="VB6" s="23"/>
      <c r="VC6" s="23"/>
      <c r="VD6" s="23"/>
      <c r="VE6" s="23"/>
      <c r="VF6" s="23"/>
      <c r="VG6" s="23"/>
      <c r="VH6" s="23"/>
      <c r="VI6" s="23"/>
      <c r="VJ6" s="23"/>
      <c r="VK6" s="23"/>
      <c r="VL6" s="23"/>
      <c r="VM6" s="23"/>
      <c r="VN6" s="23"/>
      <c r="VO6" s="23"/>
      <c r="VP6" s="23"/>
      <c r="VQ6" s="23"/>
      <c r="VR6" s="23"/>
      <c r="VS6" s="23"/>
      <c r="VT6" s="23"/>
      <c r="VU6" s="23"/>
      <c r="VV6" s="23"/>
      <c r="VW6" s="23"/>
      <c r="VX6" s="23"/>
      <c r="VY6" s="23"/>
      <c r="VZ6" s="23"/>
      <c r="WA6" s="23"/>
      <c r="WB6" s="23"/>
      <c r="WC6" s="23"/>
      <c r="WD6" s="23"/>
      <c r="WE6" s="23"/>
      <c r="WF6" s="23"/>
      <c r="WG6" s="23"/>
      <c r="WH6" s="23"/>
      <c r="WI6" s="23"/>
      <c r="WJ6" s="23"/>
      <c r="WK6" s="23"/>
      <c r="WL6" s="23"/>
      <c r="WM6" s="23"/>
      <c r="WN6" s="23"/>
      <c r="WO6" s="23"/>
      <c r="WP6" s="23"/>
      <c r="WQ6" s="23"/>
      <c r="WR6" s="23"/>
      <c r="WS6" s="23"/>
      <c r="WT6" s="23"/>
      <c r="WU6" s="23"/>
      <c r="WV6" s="23"/>
      <c r="WW6" s="23"/>
      <c r="WX6" s="23"/>
      <c r="WY6" s="23"/>
      <c r="WZ6" s="23"/>
      <c r="XA6" s="23"/>
      <c r="XB6" s="23"/>
      <c r="XC6" s="23"/>
      <c r="XD6" s="23"/>
      <c r="XE6" s="23"/>
      <c r="XF6" s="23"/>
      <c r="XG6" s="23"/>
      <c r="XH6" s="23"/>
      <c r="XI6" s="23"/>
      <c r="XJ6" s="23"/>
      <c r="XK6" s="23"/>
      <c r="XL6" s="23"/>
      <c r="XM6" s="23"/>
      <c r="XN6" s="23"/>
      <c r="XO6" s="23"/>
      <c r="XP6" s="23"/>
      <c r="XQ6" s="23"/>
      <c r="XR6" s="23"/>
      <c r="XS6" s="23"/>
      <c r="XT6" s="23"/>
      <c r="XU6" s="23"/>
      <c r="XV6" s="23"/>
      <c r="XW6" s="23"/>
      <c r="XX6" s="23"/>
      <c r="XY6" s="23"/>
      <c r="XZ6" s="23"/>
      <c r="YA6" s="23"/>
      <c r="YB6" s="23"/>
      <c r="YC6" s="23"/>
      <c r="YD6" s="23"/>
      <c r="YE6" s="23"/>
      <c r="YF6" s="23"/>
      <c r="YG6" s="23"/>
      <c r="YH6" s="23"/>
      <c r="YI6" s="23"/>
      <c r="YJ6" s="23"/>
      <c r="YK6" s="23"/>
      <c r="YL6" s="23"/>
      <c r="YM6" s="23"/>
      <c r="YN6" s="23"/>
      <c r="YO6" s="23"/>
      <c r="YP6" s="23"/>
      <c r="YQ6" s="23"/>
      <c r="YR6" s="23"/>
      <c r="YS6" s="23"/>
      <c r="YT6" s="23"/>
      <c r="YU6" s="23"/>
      <c r="YV6" s="23"/>
      <c r="YW6" s="23"/>
      <c r="YX6" s="23"/>
      <c r="YY6" s="23"/>
      <c r="YZ6" s="23"/>
      <c r="ZA6" s="23"/>
      <c r="ZB6" s="23"/>
      <c r="ZC6" s="23"/>
      <c r="ZD6" s="23"/>
    </row>
    <row r="7" spans="1:682" s="58" customFormat="1" ht="14.25" customHeight="1" x14ac:dyDescent="0.25">
      <c r="A7" s="77"/>
      <c r="B7" s="128"/>
      <c r="C7" s="77"/>
      <c r="D7" s="77"/>
      <c r="E7" s="77"/>
      <c r="F7" s="77"/>
      <c r="G7" s="132"/>
      <c r="H7" s="133"/>
      <c r="I7" s="134"/>
      <c r="J7" s="77"/>
      <c r="K7" s="77"/>
      <c r="L7" s="77"/>
      <c r="M7" s="135"/>
      <c r="N7" s="135"/>
      <c r="O7" s="135"/>
      <c r="P7" s="135"/>
      <c r="Q7" s="135"/>
      <c r="R7" s="135"/>
      <c r="S7" s="135"/>
      <c r="T7" s="135"/>
      <c r="U7" s="135"/>
      <c r="V7" s="135"/>
      <c r="W7" s="135"/>
      <c r="X7" s="135"/>
      <c r="Y7" s="135"/>
      <c r="Z7" s="135"/>
      <c r="AA7" s="135"/>
      <c r="AB7" s="135"/>
      <c r="AC7" s="135"/>
      <c r="AD7" s="135"/>
      <c r="AE7" s="135"/>
      <c r="AF7" s="135"/>
      <c r="AG7" s="135"/>
      <c r="AH7" s="253"/>
      <c r="AI7" s="253"/>
      <c r="AJ7" s="253"/>
      <c r="AK7" s="253"/>
      <c r="AL7" s="23"/>
      <c r="AM7" s="23"/>
      <c r="AN7" s="23"/>
      <c r="AO7" s="23"/>
      <c r="AP7" s="23"/>
      <c r="AQ7" s="23"/>
      <c r="AR7" s="23"/>
      <c r="AS7" s="23"/>
      <c r="AT7" s="23"/>
      <c r="AU7" s="23"/>
      <c r="AV7" s="23"/>
      <c r="AW7" s="23"/>
      <c r="AX7" s="23"/>
      <c r="AY7" s="23"/>
      <c r="AZ7" s="23"/>
      <c r="BA7" s="23"/>
      <c r="BB7" s="23"/>
      <c r="BC7" s="23"/>
      <c r="BD7" s="23"/>
      <c r="BE7" s="23"/>
      <c r="BF7" s="23"/>
      <c r="BG7" s="23"/>
      <c r="BH7" s="23"/>
      <c r="BI7" s="23"/>
      <c r="BJ7" s="23"/>
      <c r="BK7" s="23"/>
      <c r="BL7" s="23"/>
      <c r="BM7" s="23"/>
      <c r="BN7" s="23"/>
      <c r="BO7" s="23"/>
      <c r="BP7" s="23"/>
      <c r="BQ7" s="23"/>
      <c r="BR7" s="23"/>
      <c r="BS7" s="23"/>
      <c r="BT7" s="23"/>
      <c r="BU7" s="23"/>
      <c r="BV7" s="23"/>
      <c r="BW7" s="23"/>
      <c r="BX7" s="23"/>
      <c r="BY7" s="23"/>
      <c r="BZ7" s="23"/>
      <c r="CA7" s="23"/>
      <c r="CB7" s="23"/>
      <c r="CC7" s="23"/>
      <c r="CD7" s="23"/>
      <c r="CE7" s="23"/>
      <c r="CF7" s="23"/>
      <c r="CG7" s="23"/>
      <c r="CH7" s="23"/>
      <c r="CI7" s="23"/>
      <c r="CJ7" s="23"/>
      <c r="CK7" s="23"/>
      <c r="CL7" s="23"/>
      <c r="CM7" s="23"/>
      <c r="CN7" s="23"/>
      <c r="CO7" s="23"/>
      <c r="CP7" s="23"/>
      <c r="CQ7" s="23"/>
      <c r="CR7" s="23"/>
      <c r="CS7" s="23"/>
      <c r="CT7" s="23"/>
      <c r="CU7" s="23"/>
      <c r="CV7" s="23"/>
      <c r="CW7" s="23"/>
      <c r="CX7" s="23"/>
      <c r="CY7" s="23"/>
      <c r="CZ7" s="23"/>
      <c r="DA7" s="23"/>
      <c r="DB7" s="23"/>
      <c r="DC7" s="23"/>
      <c r="DD7" s="23"/>
      <c r="DE7" s="23"/>
      <c r="DF7" s="23"/>
      <c r="DG7" s="23"/>
      <c r="DH7" s="23"/>
      <c r="DI7" s="23"/>
      <c r="DJ7" s="23"/>
      <c r="DK7" s="23"/>
      <c r="DL7" s="23"/>
      <c r="DM7" s="23"/>
      <c r="DN7" s="23"/>
      <c r="DO7" s="23"/>
      <c r="DP7" s="23"/>
      <c r="DQ7" s="23"/>
      <c r="DR7" s="23"/>
      <c r="DS7" s="23"/>
      <c r="DT7" s="23"/>
      <c r="DU7" s="23"/>
      <c r="DV7" s="23"/>
      <c r="DW7" s="23"/>
      <c r="DX7" s="23"/>
      <c r="DY7" s="23"/>
      <c r="DZ7" s="23"/>
      <c r="EA7" s="23"/>
      <c r="EB7" s="23"/>
      <c r="EC7" s="23"/>
      <c r="ED7" s="23"/>
      <c r="EE7" s="23"/>
      <c r="EF7" s="23"/>
      <c r="EG7" s="23"/>
      <c r="EH7" s="23"/>
      <c r="EI7" s="23"/>
      <c r="EJ7" s="23"/>
      <c r="EK7" s="23"/>
      <c r="EL7" s="23"/>
      <c r="EM7" s="23"/>
      <c r="EN7" s="23"/>
      <c r="EO7" s="23"/>
      <c r="EP7" s="23"/>
      <c r="EQ7" s="23"/>
      <c r="ER7" s="23"/>
      <c r="ES7" s="23"/>
      <c r="ET7" s="23"/>
      <c r="EU7" s="23"/>
      <c r="EV7" s="23"/>
      <c r="EW7" s="23"/>
      <c r="EX7" s="23"/>
      <c r="EY7" s="23"/>
      <c r="EZ7" s="23"/>
      <c r="FA7" s="23"/>
      <c r="FB7" s="23"/>
      <c r="FC7" s="23"/>
      <c r="FD7" s="23"/>
      <c r="FE7" s="23"/>
      <c r="FF7" s="23"/>
      <c r="FG7" s="23"/>
      <c r="FH7" s="23"/>
      <c r="FI7" s="23"/>
      <c r="FJ7" s="23"/>
      <c r="FK7" s="23"/>
      <c r="FL7" s="23"/>
      <c r="FM7" s="23"/>
      <c r="FN7" s="23"/>
      <c r="FO7" s="23"/>
      <c r="FP7" s="23"/>
      <c r="FQ7" s="23"/>
      <c r="FR7" s="23"/>
      <c r="FS7" s="23"/>
      <c r="FT7" s="23"/>
      <c r="FU7" s="23"/>
      <c r="FV7" s="23"/>
      <c r="FW7" s="23"/>
      <c r="FX7" s="23"/>
      <c r="FY7" s="23"/>
      <c r="FZ7" s="23"/>
      <c r="GA7" s="23"/>
      <c r="GB7" s="23"/>
      <c r="GC7" s="23"/>
      <c r="GD7" s="23"/>
      <c r="GE7" s="23"/>
      <c r="GF7" s="23"/>
      <c r="GG7" s="23"/>
      <c r="GH7" s="23"/>
      <c r="GI7" s="23"/>
      <c r="GJ7" s="23"/>
      <c r="GK7" s="23"/>
      <c r="GL7" s="23"/>
      <c r="GM7" s="23"/>
      <c r="GN7" s="23"/>
      <c r="GO7" s="23"/>
      <c r="GP7" s="23"/>
      <c r="GQ7" s="23"/>
      <c r="GR7" s="23"/>
      <c r="GS7" s="23"/>
      <c r="GT7" s="23"/>
      <c r="GU7" s="23"/>
      <c r="GV7" s="23"/>
      <c r="GW7" s="23"/>
      <c r="GX7" s="23"/>
      <c r="GY7" s="23"/>
      <c r="GZ7" s="23"/>
      <c r="HA7" s="23"/>
      <c r="HB7" s="23"/>
      <c r="HC7" s="23"/>
      <c r="HD7" s="23"/>
      <c r="HE7" s="23"/>
      <c r="HF7" s="23"/>
      <c r="HG7" s="23"/>
      <c r="HH7" s="23"/>
      <c r="HI7" s="23"/>
      <c r="HJ7" s="23"/>
      <c r="HK7" s="23"/>
      <c r="HL7" s="23"/>
      <c r="HM7" s="23"/>
      <c r="HN7" s="23"/>
      <c r="HO7" s="23"/>
      <c r="HP7" s="23"/>
      <c r="HQ7" s="23"/>
      <c r="HR7" s="23"/>
      <c r="HS7" s="23"/>
      <c r="HT7" s="23"/>
      <c r="HU7" s="23"/>
      <c r="HV7" s="23"/>
      <c r="HW7" s="23"/>
      <c r="HX7" s="23"/>
      <c r="HY7" s="23"/>
      <c r="HZ7" s="23"/>
      <c r="IA7" s="23"/>
      <c r="IB7" s="61"/>
    </row>
    <row r="8" spans="1:682" s="50" customFormat="1" ht="15" customHeight="1" thickBot="1" x14ac:dyDescent="0.3">
      <c r="A8" s="30">
        <v>1000</v>
      </c>
      <c r="B8" s="102" t="s">
        <v>29</v>
      </c>
      <c r="C8" s="103" t="s">
        <v>66</v>
      </c>
      <c r="D8" s="5" t="s">
        <v>65</v>
      </c>
      <c r="E8" s="103" t="s">
        <v>49</v>
      </c>
      <c r="F8" s="5" t="s">
        <v>48</v>
      </c>
      <c r="G8" s="56">
        <v>2</v>
      </c>
      <c r="H8" s="172" t="s">
        <v>128</v>
      </c>
      <c r="I8" s="173"/>
      <c r="J8" s="265">
        <f ca="1">J9+J17+J25+J33</f>
        <v>1330</v>
      </c>
      <c r="K8" s="265">
        <f ca="1">K9+K17+K25+K33</f>
        <v>805</v>
      </c>
      <c r="L8" s="265">
        <f ca="1">L9+L17+L25+L33+I14+J14+K14+I22+J22+K22+I30+J30+K30+I38+J38+K38</f>
        <v>1068</v>
      </c>
      <c r="M8" s="265">
        <f ca="1">M9+M17+M25+M33+L14+L22+L30+L38</f>
        <v>1213</v>
      </c>
      <c r="N8" s="265">
        <f ca="1">N9+N17+N25+N33+M14+M22+M30+M38</f>
        <v>1696</v>
      </c>
      <c r="O8" s="265">
        <f t="shared" ref="O8:AG8" ca="1" si="1">O9+O17+O25+O33+N14+N22+N30+N38</f>
        <v>1067</v>
      </c>
      <c r="P8" s="265">
        <f t="shared" ca="1" si="1"/>
        <v>1453</v>
      </c>
      <c r="Q8" s="265">
        <f t="shared" ca="1" si="1"/>
        <v>1347</v>
      </c>
      <c r="R8" s="265">
        <f t="shared" ca="1" si="1"/>
        <v>1175</v>
      </c>
      <c r="S8" s="265">
        <f t="shared" ca="1" si="1"/>
        <v>1618</v>
      </c>
      <c r="T8" s="265">
        <f t="shared" ca="1" si="1"/>
        <v>937</v>
      </c>
      <c r="U8" s="265">
        <f t="shared" ca="1" si="1"/>
        <v>1104</v>
      </c>
      <c r="V8" s="265">
        <f t="shared" ca="1" si="1"/>
        <v>1115</v>
      </c>
      <c r="W8" s="265">
        <f t="shared" ca="1" si="1"/>
        <v>1531</v>
      </c>
      <c r="X8" s="265">
        <f t="shared" ca="1" si="1"/>
        <v>1341</v>
      </c>
      <c r="Y8" s="265">
        <f t="shared" ca="1" si="1"/>
        <v>1035</v>
      </c>
      <c r="Z8" s="265">
        <f t="shared" ca="1" si="1"/>
        <v>1683</v>
      </c>
      <c r="AA8" s="265">
        <f t="shared" ca="1" si="1"/>
        <v>1653</v>
      </c>
      <c r="AB8" s="265">
        <f t="shared" ca="1" si="1"/>
        <v>877</v>
      </c>
      <c r="AC8" s="265">
        <f t="shared" ca="1" si="1"/>
        <v>762</v>
      </c>
      <c r="AD8" s="265">
        <f t="shared" ca="1" si="1"/>
        <v>748</v>
      </c>
      <c r="AE8" s="265">
        <f t="shared" ca="1" si="1"/>
        <v>491</v>
      </c>
      <c r="AF8" s="265">
        <f t="shared" ca="1" si="1"/>
        <v>0</v>
      </c>
      <c r="AG8" s="265">
        <f t="shared" ca="1" si="1"/>
        <v>0</v>
      </c>
      <c r="AH8" s="265"/>
      <c r="AI8" s="265"/>
      <c r="AJ8" s="265"/>
      <c r="AK8" s="265"/>
      <c r="AL8" s="24"/>
      <c r="AM8" s="24"/>
      <c r="AN8" s="24"/>
      <c r="AO8" s="24"/>
      <c r="AP8" s="24"/>
      <c r="AQ8" s="24"/>
      <c r="AR8" s="24"/>
      <c r="AS8" s="24"/>
      <c r="AT8" s="24"/>
      <c r="AU8" s="24"/>
      <c r="AV8" s="24"/>
      <c r="AW8" s="24"/>
      <c r="AX8" s="24"/>
      <c r="AY8" s="24"/>
      <c r="AZ8" s="24"/>
      <c r="BA8" s="24"/>
      <c r="BB8" s="24"/>
      <c r="BC8" s="24"/>
      <c r="BD8" s="24"/>
      <c r="BE8" s="24"/>
      <c r="BF8" s="24"/>
      <c r="BG8" s="24"/>
      <c r="BH8" s="24"/>
      <c r="BI8" s="24"/>
      <c r="BJ8" s="24"/>
      <c r="BK8" s="24"/>
      <c r="BL8" s="24"/>
      <c r="BM8" s="24"/>
      <c r="BN8" s="24"/>
      <c r="BO8" s="24"/>
      <c r="BP8" s="24"/>
      <c r="BQ8" s="24"/>
      <c r="BR8" s="24"/>
      <c r="BS8" s="24"/>
      <c r="BT8" s="24"/>
      <c r="BU8" s="24"/>
      <c r="BV8" s="24"/>
      <c r="BW8" s="24"/>
      <c r="BX8" s="24"/>
      <c r="BY8" s="24"/>
      <c r="BZ8" s="24"/>
      <c r="CA8" s="24"/>
      <c r="CB8" s="24"/>
      <c r="CC8" s="24"/>
      <c r="CD8" s="24"/>
      <c r="CE8" s="24"/>
      <c r="CF8" s="24"/>
      <c r="CG8" s="24"/>
      <c r="CH8" s="24"/>
      <c r="CI8" s="24"/>
      <c r="CJ8" s="24"/>
      <c r="CK8" s="24"/>
      <c r="CL8" s="24"/>
      <c r="CM8" s="24"/>
      <c r="CN8" s="24"/>
      <c r="CO8" s="24"/>
      <c r="CP8" s="24"/>
      <c r="CQ8" s="24"/>
      <c r="CR8" s="24"/>
      <c r="CS8" s="24"/>
      <c r="CT8" s="24"/>
      <c r="CU8" s="24"/>
      <c r="CV8" s="24"/>
      <c r="CW8" s="24"/>
      <c r="CX8" s="24"/>
      <c r="CY8" s="24"/>
      <c r="CZ8" s="24"/>
      <c r="DA8" s="24"/>
      <c r="DB8" s="24"/>
      <c r="DC8" s="24"/>
      <c r="DD8" s="24"/>
      <c r="DE8" s="24"/>
      <c r="DF8" s="24"/>
      <c r="DG8" s="24"/>
      <c r="DH8" s="24"/>
      <c r="DI8" s="24"/>
      <c r="DJ8" s="24"/>
      <c r="DK8" s="24"/>
      <c r="DL8" s="24"/>
      <c r="DM8" s="24"/>
      <c r="DN8" s="24"/>
      <c r="DO8" s="24"/>
      <c r="DP8" s="24"/>
      <c r="DQ8" s="24"/>
      <c r="DR8" s="24"/>
      <c r="DS8" s="24"/>
      <c r="DT8" s="24"/>
      <c r="DU8" s="24"/>
      <c r="DV8" s="24"/>
      <c r="DW8" s="24"/>
      <c r="DX8" s="24"/>
      <c r="DY8" s="24"/>
      <c r="DZ8" s="24"/>
      <c r="EA8" s="24"/>
      <c r="EB8" s="24"/>
      <c r="EC8" s="24"/>
      <c r="ED8" s="24"/>
      <c r="EE8" s="24"/>
      <c r="EF8" s="24"/>
      <c r="EG8" s="24"/>
      <c r="EH8" s="24"/>
      <c r="EI8" s="24"/>
      <c r="EJ8" s="24"/>
      <c r="EK8" s="24"/>
      <c r="EL8" s="24"/>
      <c r="EM8" s="24"/>
      <c r="EN8" s="24"/>
      <c r="EO8" s="24"/>
      <c r="EP8" s="24"/>
      <c r="EQ8" s="24"/>
      <c r="ER8" s="24"/>
      <c r="ES8" s="24"/>
      <c r="ET8" s="24"/>
      <c r="EU8" s="24"/>
      <c r="EV8" s="24"/>
      <c r="EW8" s="24"/>
      <c r="EX8" s="24"/>
      <c r="EY8" s="24"/>
      <c r="EZ8" s="24"/>
      <c r="FA8" s="24"/>
      <c r="FB8" s="24"/>
      <c r="FC8" s="24"/>
      <c r="FD8" s="24"/>
      <c r="FE8" s="24"/>
      <c r="FF8" s="24"/>
      <c r="FG8" s="24"/>
      <c r="FH8" s="24"/>
      <c r="FI8" s="24"/>
      <c r="FJ8" s="24"/>
      <c r="FK8" s="24"/>
      <c r="FL8" s="24"/>
      <c r="FM8" s="24"/>
      <c r="FN8" s="24"/>
      <c r="FO8" s="24"/>
      <c r="FP8" s="24"/>
      <c r="FQ8" s="24"/>
      <c r="FR8" s="24"/>
      <c r="FS8" s="24"/>
      <c r="FT8" s="24"/>
      <c r="FU8" s="24"/>
      <c r="FV8" s="24"/>
      <c r="FW8" s="24"/>
      <c r="FX8" s="24"/>
      <c r="FY8" s="24"/>
      <c r="FZ8" s="24"/>
      <c r="GA8" s="24"/>
      <c r="GB8" s="24"/>
      <c r="GC8" s="24"/>
      <c r="GD8" s="24"/>
      <c r="GE8" s="24"/>
      <c r="GF8" s="24"/>
      <c r="GG8" s="24"/>
      <c r="GH8" s="24"/>
      <c r="GI8" s="24"/>
      <c r="GJ8" s="24"/>
      <c r="GK8" s="24"/>
      <c r="GL8" s="24"/>
      <c r="GM8" s="24"/>
      <c r="GN8" s="24"/>
      <c r="GO8" s="24"/>
      <c r="GP8" s="24"/>
      <c r="GQ8" s="24"/>
      <c r="GR8" s="24"/>
      <c r="GS8" s="24"/>
      <c r="GT8" s="24"/>
      <c r="GU8" s="24"/>
      <c r="GV8" s="24"/>
      <c r="GW8" s="24"/>
      <c r="GX8" s="24"/>
      <c r="GY8" s="24"/>
      <c r="GZ8" s="24"/>
      <c r="HA8" s="24"/>
      <c r="HB8" s="24"/>
      <c r="HC8" s="24"/>
      <c r="HD8" s="24"/>
      <c r="HE8" s="24"/>
      <c r="HF8" s="24"/>
      <c r="HG8" s="24"/>
      <c r="HH8" s="24"/>
      <c r="HI8" s="24"/>
      <c r="HJ8" s="24"/>
      <c r="HK8" s="24"/>
      <c r="HL8" s="24"/>
      <c r="HM8" s="24"/>
      <c r="HN8" s="24"/>
      <c r="HO8" s="24"/>
      <c r="HP8" s="24"/>
      <c r="HQ8" s="24"/>
      <c r="HR8" s="24"/>
      <c r="HS8" s="24"/>
      <c r="HT8" s="24"/>
      <c r="HU8" s="24"/>
      <c r="HV8" s="24"/>
      <c r="HW8" s="24"/>
      <c r="HX8" s="24"/>
      <c r="HY8" s="24"/>
      <c r="HZ8" s="24"/>
      <c r="IA8" s="24"/>
      <c r="IB8" s="24"/>
      <c r="IC8" s="24"/>
      <c r="ID8" s="24"/>
      <c r="IE8" s="24"/>
      <c r="IF8" s="24"/>
      <c r="IG8" s="24"/>
      <c r="IH8" s="24"/>
      <c r="II8" s="24"/>
      <c r="IJ8" s="24"/>
      <c r="IK8" s="24"/>
      <c r="IL8" s="24"/>
      <c r="IM8" s="24"/>
      <c r="IN8" s="24"/>
      <c r="IO8" s="24"/>
      <c r="IP8" s="24"/>
      <c r="IQ8" s="24"/>
      <c r="IR8" s="24"/>
      <c r="IS8" s="24"/>
      <c r="IT8" s="24"/>
      <c r="IU8" s="24"/>
      <c r="IV8" s="24"/>
      <c r="IW8" s="24"/>
      <c r="IX8" s="24"/>
      <c r="IY8" s="24"/>
      <c r="IZ8" s="24"/>
      <c r="JA8" s="24"/>
      <c r="JB8" s="24"/>
      <c r="JC8" s="24"/>
      <c r="JD8" s="24"/>
      <c r="JE8" s="24"/>
      <c r="JF8" s="24"/>
      <c r="JG8" s="24"/>
      <c r="JH8" s="24"/>
      <c r="JI8" s="24"/>
      <c r="JJ8" s="24"/>
      <c r="JK8" s="24"/>
      <c r="JL8" s="24"/>
      <c r="JM8" s="24"/>
      <c r="JN8" s="24"/>
      <c r="JO8" s="24"/>
      <c r="JP8" s="24"/>
      <c r="JQ8" s="24"/>
      <c r="JR8" s="24"/>
      <c r="JS8" s="24"/>
      <c r="JT8" s="24"/>
      <c r="JU8" s="24"/>
      <c r="JV8" s="24"/>
      <c r="JW8" s="24"/>
      <c r="JX8" s="24"/>
      <c r="JY8" s="24"/>
      <c r="JZ8" s="24"/>
      <c r="KA8" s="24"/>
      <c r="KB8" s="24"/>
      <c r="KC8" s="24"/>
      <c r="KD8" s="24"/>
      <c r="KE8" s="24"/>
      <c r="KF8" s="24"/>
      <c r="KG8" s="24"/>
      <c r="KH8" s="24"/>
      <c r="KI8" s="24"/>
      <c r="KJ8" s="24"/>
      <c r="KK8" s="24"/>
      <c r="KL8" s="24"/>
      <c r="KM8" s="24"/>
      <c r="KN8" s="24"/>
      <c r="KO8" s="24"/>
      <c r="KP8" s="24"/>
      <c r="KQ8" s="24"/>
      <c r="KR8" s="24"/>
      <c r="KS8" s="24"/>
      <c r="KT8" s="24"/>
      <c r="KU8" s="24"/>
      <c r="KV8" s="24"/>
      <c r="KW8" s="24"/>
      <c r="KX8" s="24"/>
      <c r="KY8" s="24"/>
      <c r="KZ8" s="24"/>
      <c r="LA8" s="24"/>
      <c r="LB8" s="24"/>
      <c r="LC8" s="24"/>
      <c r="LD8" s="24"/>
      <c r="LE8" s="24"/>
      <c r="LF8" s="24"/>
      <c r="LG8" s="24"/>
      <c r="LH8" s="24"/>
      <c r="LI8" s="24"/>
      <c r="LJ8" s="24"/>
      <c r="LK8" s="24"/>
      <c r="LL8" s="24"/>
      <c r="LM8" s="24"/>
      <c r="LN8" s="24"/>
      <c r="LO8" s="24"/>
      <c r="LP8" s="24"/>
      <c r="LQ8" s="24"/>
      <c r="LR8" s="24"/>
      <c r="LS8" s="24"/>
      <c r="LT8" s="24"/>
      <c r="LU8" s="24"/>
      <c r="LV8" s="24"/>
      <c r="LW8" s="24"/>
      <c r="LX8" s="24"/>
      <c r="LY8" s="24"/>
      <c r="LZ8" s="24"/>
      <c r="MA8" s="24"/>
      <c r="MB8" s="24"/>
      <c r="MC8" s="24"/>
      <c r="MD8" s="24"/>
      <c r="ME8" s="24"/>
      <c r="MF8" s="24"/>
      <c r="MG8" s="24"/>
      <c r="MH8" s="24"/>
      <c r="MI8" s="24"/>
      <c r="MJ8" s="24"/>
      <c r="MK8" s="24"/>
      <c r="ML8" s="24"/>
      <c r="MM8" s="24"/>
      <c r="MN8" s="24"/>
      <c r="MO8" s="24"/>
      <c r="MP8" s="24"/>
      <c r="MQ8" s="24"/>
      <c r="MR8" s="24"/>
      <c r="MS8" s="24"/>
      <c r="MT8" s="24"/>
      <c r="MU8" s="24"/>
      <c r="MV8" s="24"/>
      <c r="MW8" s="24"/>
      <c r="MX8" s="24"/>
      <c r="MY8" s="24"/>
      <c r="MZ8" s="24"/>
      <c r="NA8" s="24"/>
      <c r="NB8" s="24"/>
      <c r="NC8" s="24"/>
      <c r="ND8" s="24"/>
      <c r="NE8" s="24"/>
      <c r="NF8" s="24"/>
      <c r="NG8" s="24"/>
      <c r="NH8" s="24"/>
      <c r="NI8" s="24"/>
      <c r="NJ8" s="24"/>
      <c r="NK8" s="24"/>
      <c r="NL8" s="24"/>
      <c r="NM8" s="24"/>
      <c r="NN8" s="24"/>
      <c r="NO8" s="24"/>
      <c r="NP8" s="24"/>
      <c r="NQ8" s="24"/>
      <c r="NR8" s="24"/>
      <c r="NS8" s="24"/>
      <c r="NT8" s="24"/>
      <c r="NU8" s="24"/>
      <c r="NV8" s="24"/>
      <c r="NW8" s="24"/>
      <c r="NX8" s="24"/>
      <c r="NY8" s="24"/>
      <c r="NZ8" s="24"/>
      <c r="OA8" s="24"/>
      <c r="OB8" s="24"/>
      <c r="OC8" s="24"/>
      <c r="OD8" s="24"/>
      <c r="OE8" s="24"/>
      <c r="OF8" s="24"/>
      <c r="OG8" s="24"/>
      <c r="OH8" s="24"/>
      <c r="OI8" s="24"/>
      <c r="OJ8" s="24"/>
      <c r="OK8" s="24"/>
      <c r="OL8" s="24"/>
      <c r="OM8" s="24"/>
      <c r="ON8" s="24"/>
      <c r="OO8" s="24"/>
      <c r="OP8" s="24"/>
      <c r="OQ8" s="24"/>
      <c r="OR8" s="24"/>
      <c r="OS8" s="24"/>
      <c r="OT8" s="24"/>
      <c r="OU8" s="24"/>
      <c r="OV8" s="24"/>
      <c r="OW8" s="24"/>
      <c r="OX8" s="24"/>
      <c r="OY8" s="24"/>
      <c r="OZ8" s="24"/>
      <c r="PA8" s="24"/>
      <c r="PB8" s="24"/>
      <c r="PC8" s="24"/>
      <c r="PD8" s="24"/>
      <c r="PE8" s="24"/>
      <c r="PF8" s="24"/>
      <c r="PG8" s="24"/>
      <c r="PH8" s="24"/>
      <c r="PI8" s="24"/>
      <c r="PJ8" s="24"/>
      <c r="PK8" s="24"/>
      <c r="PL8" s="24"/>
      <c r="PM8" s="24"/>
      <c r="PN8" s="24"/>
      <c r="PO8" s="24"/>
      <c r="PP8" s="24"/>
      <c r="PQ8" s="24"/>
      <c r="PR8" s="24"/>
      <c r="PS8" s="24"/>
      <c r="PT8" s="24"/>
      <c r="PU8" s="24"/>
      <c r="PV8" s="24"/>
      <c r="PW8" s="24"/>
      <c r="PX8" s="24"/>
      <c r="PY8" s="24"/>
      <c r="PZ8" s="24"/>
      <c r="QA8" s="24"/>
      <c r="QB8" s="24"/>
      <c r="QC8" s="24"/>
      <c r="QD8" s="24"/>
      <c r="QE8" s="24"/>
      <c r="QF8" s="24"/>
      <c r="QG8" s="24"/>
      <c r="QH8" s="24"/>
      <c r="QI8" s="24"/>
      <c r="QJ8" s="24"/>
      <c r="QK8" s="24"/>
      <c r="QL8" s="24"/>
      <c r="QM8" s="24"/>
      <c r="QN8" s="24"/>
      <c r="QO8" s="24"/>
      <c r="QP8" s="24"/>
      <c r="QQ8" s="24"/>
      <c r="QR8" s="24"/>
      <c r="QS8" s="24"/>
      <c r="QT8" s="24"/>
      <c r="QU8" s="24"/>
      <c r="QV8" s="24"/>
      <c r="QW8" s="24"/>
      <c r="QX8" s="24"/>
      <c r="QY8" s="24"/>
      <c r="QZ8" s="24"/>
      <c r="RA8" s="24"/>
      <c r="RB8" s="24"/>
      <c r="RC8" s="24"/>
      <c r="RD8" s="24"/>
      <c r="RE8" s="24"/>
      <c r="RF8" s="24"/>
      <c r="RG8" s="24"/>
      <c r="RH8" s="24"/>
      <c r="RI8" s="24"/>
      <c r="RJ8" s="24"/>
      <c r="RK8" s="24"/>
      <c r="RL8" s="24"/>
      <c r="RM8" s="24"/>
      <c r="RN8" s="24"/>
      <c r="RO8" s="24"/>
      <c r="RP8" s="24"/>
      <c r="RQ8" s="24"/>
      <c r="RR8" s="24"/>
      <c r="RS8" s="24"/>
      <c r="RT8" s="24"/>
      <c r="RU8" s="24"/>
      <c r="RV8" s="24"/>
      <c r="RW8" s="24"/>
      <c r="RX8" s="24"/>
      <c r="RY8" s="24"/>
      <c r="RZ8" s="24"/>
      <c r="SA8" s="24"/>
      <c r="SB8" s="24"/>
      <c r="SC8" s="24"/>
      <c r="SD8" s="24"/>
      <c r="SE8" s="24"/>
      <c r="SF8" s="24"/>
      <c r="SG8" s="24"/>
      <c r="SH8" s="24"/>
      <c r="SI8" s="24"/>
      <c r="SJ8" s="24"/>
      <c r="SK8" s="24"/>
      <c r="SL8" s="24"/>
      <c r="SM8" s="24"/>
      <c r="SN8" s="24"/>
      <c r="SO8" s="24"/>
      <c r="SP8" s="24"/>
      <c r="SQ8" s="24"/>
      <c r="SR8" s="24"/>
      <c r="SS8" s="24"/>
      <c r="ST8" s="24"/>
      <c r="SU8" s="24"/>
      <c r="SV8" s="24"/>
      <c r="SW8" s="24"/>
      <c r="SX8" s="24"/>
      <c r="SY8" s="24"/>
      <c r="SZ8" s="24"/>
      <c r="TA8" s="24"/>
      <c r="TB8" s="24"/>
      <c r="TC8" s="24"/>
      <c r="TD8" s="24"/>
      <c r="TE8" s="24"/>
      <c r="TF8" s="24"/>
      <c r="TG8" s="24"/>
      <c r="TH8" s="24"/>
      <c r="TI8" s="24"/>
      <c r="TJ8" s="24"/>
      <c r="TK8" s="24"/>
      <c r="TL8" s="24"/>
      <c r="TM8" s="24"/>
      <c r="TN8" s="24"/>
      <c r="TO8" s="24"/>
      <c r="TP8" s="24"/>
      <c r="TQ8" s="24"/>
      <c r="TR8" s="24"/>
      <c r="TS8" s="24"/>
      <c r="TT8" s="24"/>
      <c r="TU8" s="24"/>
      <c r="TV8" s="24"/>
      <c r="TW8" s="24"/>
      <c r="TX8" s="24"/>
      <c r="TY8" s="24"/>
      <c r="TZ8" s="24"/>
      <c r="UA8" s="24"/>
      <c r="UB8" s="24"/>
      <c r="UC8" s="24"/>
      <c r="UD8" s="24"/>
      <c r="UE8" s="24"/>
      <c r="UF8" s="24"/>
      <c r="UG8" s="24"/>
      <c r="UH8" s="24"/>
      <c r="UI8" s="24"/>
      <c r="UJ8" s="24"/>
      <c r="UK8" s="24"/>
      <c r="UL8" s="24"/>
      <c r="UM8" s="24"/>
      <c r="UN8" s="24"/>
      <c r="UO8" s="24"/>
      <c r="UP8" s="24"/>
      <c r="UQ8" s="24"/>
      <c r="UR8" s="24"/>
      <c r="US8" s="24"/>
      <c r="UT8" s="24"/>
      <c r="UU8" s="24"/>
      <c r="UV8" s="24"/>
      <c r="UW8" s="24"/>
      <c r="UX8" s="24"/>
      <c r="UY8" s="24"/>
      <c r="UZ8" s="24"/>
      <c r="VA8" s="24"/>
      <c r="VB8" s="24"/>
      <c r="VC8" s="24"/>
      <c r="VD8" s="24"/>
      <c r="VE8" s="24"/>
      <c r="VF8" s="24"/>
      <c r="VG8" s="24"/>
      <c r="VH8" s="24"/>
      <c r="VI8" s="24"/>
      <c r="VJ8" s="24"/>
      <c r="VK8" s="24"/>
      <c r="VL8" s="24"/>
      <c r="VM8" s="24"/>
      <c r="VN8" s="24"/>
      <c r="VO8" s="24"/>
      <c r="VP8" s="24"/>
      <c r="VQ8" s="24"/>
      <c r="VR8" s="24"/>
      <c r="VS8" s="24"/>
      <c r="VT8" s="24"/>
      <c r="VU8" s="24"/>
      <c r="VV8" s="24"/>
      <c r="VW8" s="24"/>
      <c r="VX8" s="24"/>
      <c r="VY8" s="24"/>
      <c r="VZ8" s="24"/>
      <c r="WA8" s="24"/>
      <c r="WB8" s="24"/>
      <c r="WC8" s="24"/>
      <c r="WD8" s="24"/>
      <c r="WE8" s="24"/>
      <c r="WF8" s="24"/>
      <c r="WG8" s="24"/>
      <c r="WH8" s="24"/>
      <c r="WI8" s="24"/>
      <c r="WJ8" s="24"/>
      <c r="WK8" s="24"/>
      <c r="WL8" s="24"/>
      <c r="WM8" s="24"/>
      <c r="WN8" s="24"/>
      <c r="WO8" s="24"/>
      <c r="WP8" s="24"/>
      <c r="WQ8" s="24"/>
      <c r="WR8" s="24"/>
      <c r="WS8" s="24"/>
      <c r="WT8" s="24"/>
      <c r="WU8" s="24"/>
      <c r="WV8" s="24"/>
      <c r="WW8" s="24"/>
      <c r="WX8" s="24"/>
      <c r="WY8" s="24"/>
      <c r="WZ8" s="24"/>
      <c r="XA8" s="24"/>
      <c r="XB8" s="24"/>
      <c r="XC8" s="24"/>
      <c r="XD8" s="24"/>
      <c r="XE8" s="24"/>
      <c r="XF8" s="24"/>
      <c r="XG8" s="24"/>
      <c r="XH8" s="24"/>
      <c r="XI8" s="24"/>
      <c r="XJ8" s="24"/>
      <c r="XK8" s="24"/>
      <c r="XL8" s="24"/>
      <c r="XM8" s="24"/>
      <c r="XN8" s="24"/>
      <c r="XO8" s="24"/>
      <c r="XP8" s="24"/>
      <c r="XQ8" s="24"/>
      <c r="XR8" s="24"/>
      <c r="XS8" s="24"/>
      <c r="XT8" s="24"/>
      <c r="XU8" s="24"/>
      <c r="XV8" s="24"/>
      <c r="XW8" s="24"/>
      <c r="XX8" s="24"/>
      <c r="XY8" s="24"/>
      <c r="XZ8" s="24"/>
      <c r="YA8" s="24"/>
      <c r="YB8" s="24"/>
      <c r="YC8" s="24"/>
      <c r="YD8" s="24"/>
      <c r="YE8" s="24"/>
      <c r="YF8" s="24"/>
      <c r="YG8" s="24"/>
      <c r="YH8" s="24"/>
      <c r="YI8" s="24"/>
      <c r="YJ8" s="24"/>
      <c r="YK8" s="24"/>
      <c r="YL8" s="24"/>
      <c r="YM8" s="24"/>
      <c r="YN8" s="24"/>
      <c r="YO8" s="24"/>
      <c r="YP8" s="24"/>
      <c r="YQ8" s="24"/>
      <c r="YR8" s="24"/>
      <c r="YS8" s="24"/>
      <c r="YT8" s="24"/>
      <c r="YU8" s="24"/>
      <c r="YV8" s="24"/>
      <c r="YW8" s="24"/>
      <c r="YX8" s="24"/>
      <c r="YY8" s="24"/>
      <c r="YZ8" s="24"/>
      <c r="ZA8" s="24"/>
      <c r="ZB8" s="24"/>
      <c r="ZC8" s="24"/>
      <c r="ZD8" s="24"/>
      <c r="ZE8" s="24"/>
      <c r="ZF8" s="53"/>
    </row>
    <row r="9" spans="1:682" s="45" customFormat="1" ht="15" customHeight="1" x14ac:dyDescent="0.25">
      <c r="A9" s="30">
        <v>1000</v>
      </c>
      <c r="B9" s="102" t="s">
        <v>29</v>
      </c>
      <c r="C9" s="103" t="s">
        <v>49</v>
      </c>
      <c r="D9" s="5" t="s">
        <v>48</v>
      </c>
      <c r="E9" s="103" t="s">
        <v>66</v>
      </c>
      <c r="F9" s="5" t="s">
        <v>65</v>
      </c>
      <c r="G9" s="56">
        <v>2</v>
      </c>
      <c r="H9" s="46" t="s">
        <v>25</v>
      </c>
      <c r="I9" s="47"/>
      <c r="J9" s="48">
        <f ca="1">OFFSET(CBN_CDC!I19,0,2)</f>
        <v>460</v>
      </c>
      <c r="K9" s="48">
        <f ca="1">OFFSET(CBN_CDC!J19,0,2)</f>
        <v>327</v>
      </c>
      <c r="L9" s="48">
        <f ca="1">OFFSET(CBN_CDC!K19,0,2)</f>
        <v>290</v>
      </c>
      <c r="M9" s="48">
        <f ca="1">OFFSET(CBN_CDC!L19,0,2)</f>
        <v>483</v>
      </c>
      <c r="N9" s="48">
        <f ca="1">OFFSET(CBN_CDC!M19,0,2)</f>
        <v>680</v>
      </c>
      <c r="O9" s="48">
        <f ca="1">OFFSET(CBN_CDC!N19,0,2)</f>
        <v>448</v>
      </c>
      <c r="P9" s="48">
        <f ca="1">OFFSET(CBN_CDC!O19,0,2)</f>
        <v>762</v>
      </c>
      <c r="Q9" s="48">
        <f ca="1">OFFSET(CBN_CDC!P19,0,2)</f>
        <v>600</v>
      </c>
      <c r="R9" s="48">
        <f ca="1">OFFSET(CBN_CDC!Q19,0,2)</f>
        <v>530</v>
      </c>
      <c r="S9" s="48">
        <f ca="1">OFFSET(CBN_CDC!R19,0,2)</f>
        <v>860</v>
      </c>
      <c r="T9" s="48">
        <f ca="1">OFFSET(CBN_CDC!S19,0,2)</f>
        <v>390</v>
      </c>
      <c r="U9" s="48">
        <f ca="1">OFFSET(CBN_CDC!T19,0,2)</f>
        <v>620</v>
      </c>
      <c r="V9" s="48">
        <f ca="1">OFFSET(CBN_CDC!U19,0,2)</f>
        <v>434</v>
      </c>
      <c r="W9" s="48">
        <f ca="1">OFFSET(CBN_CDC!V19,0,2)</f>
        <v>686</v>
      </c>
      <c r="X9" s="48">
        <f ca="1">OFFSET(CBN_CDC!W19,0,2)</f>
        <v>550</v>
      </c>
      <c r="Y9" s="48">
        <f ca="1">OFFSET(CBN_CDC!X19,0,2)</f>
        <v>620</v>
      </c>
      <c r="Z9" s="48">
        <f ca="1">OFFSET(CBN_CDC!Y19,0,2)</f>
        <v>1000</v>
      </c>
      <c r="AA9" s="48">
        <f ca="1">OFFSET(CBN_CDC!Z19,0,2)</f>
        <v>710</v>
      </c>
      <c r="AB9" s="48">
        <f ca="1">OFFSET(CBN_CDC!AA19,0,2)</f>
        <v>450</v>
      </c>
      <c r="AC9" s="48">
        <f ca="1">OFFSET(CBN_CDC!AB19,0,2)</f>
        <v>237</v>
      </c>
      <c r="AD9" s="48">
        <f ca="1">OFFSET(CBN_CDC!AC19,0,2)</f>
        <v>256</v>
      </c>
      <c r="AE9" s="48">
        <f ca="1">OFFSET(CBN_CDC!AD19,0,2)</f>
        <v>132</v>
      </c>
      <c r="AF9" s="48">
        <f ca="1">OFFSET(CBN_CDC!AE19,0,2)</f>
        <v>0</v>
      </c>
      <c r="AG9" s="48">
        <f ca="1">OFFSET(CBN_CDC!AF19,0,2)</f>
        <v>0</v>
      </c>
      <c r="AH9" s="241"/>
      <c r="AI9" s="241"/>
      <c r="AJ9" s="241"/>
      <c r="AK9" s="241"/>
      <c r="AL9" s="23"/>
      <c r="AM9" s="23"/>
      <c r="AN9" s="23"/>
      <c r="AO9" s="23"/>
      <c r="AP9" s="23"/>
      <c r="AQ9" s="23"/>
      <c r="AR9" s="23"/>
      <c r="AS9" s="23"/>
      <c r="AT9" s="23"/>
      <c r="AU9" s="23"/>
      <c r="AV9" s="23"/>
      <c r="AW9" s="23"/>
      <c r="AX9" s="23"/>
      <c r="AY9" s="23"/>
      <c r="AZ9" s="23"/>
      <c r="BA9" s="23"/>
      <c r="BB9" s="23"/>
      <c r="BC9" s="23"/>
      <c r="BD9" s="23"/>
      <c r="BE9" s="23"/>
      <c r="BF9" s="23"/>
      <c r="BG9" s="23"/>
      <c r="BH9" s="23"/>
      <c r="BI9" s="23"/>
      <c r="BJ9" s="23"/>
      <c r="BK9" s="23"/>
      <c r="BL9" s="23"/>
      <c r="BM9" s="23"/>
      <c r="BN9" s="23"/>
      <c r="BO9" s="23"/>
      <c r="BP9" s="23"/>
      <c r="BQ9" s="23"/>
      <c r="BR9" s="23"/>
      <c r="BS9" s="23"/>
      <c r="BT9" s="23"/>
      <c r="BU9" s="23"/>
      <c r="BV9" s="23"/>
      <c r="BW9" s="23"/>
      <c r="BX9" s="23"/>
      <c r="BY9" s="23"/>
      <c r="BZ9" s="23"/>
      <c r="CA9" s="23"/>
      <c r="CB9" s="23"/>
      <c r="CC9" s="23"/>
      <c r="CD9" s="23"/>
      <c r="CE9" s="23"/>
      <c r="CF9" s="23"/>
      <c r="CG9" s="23"/>
      <c r="CH9" s="23"/>
      <c r="CI9" s="23"/>
      <c r="CJ9" s="23"/>
      <c r="CK9" s="23"/>
      <c r="CL9" s="23"/>
      <c r="CM9" s="23"/>
      <c r="CN9" s="23"/>
      <c r="CO9" s="23"/>
      <c r="CP9" s="23"/>
      <c r="CQ9" s="23"/>
      <c r="CR9" s="23"/>
      <c r="CS9" s="23"/>
      <c r="CT9" s="23"/>
      <c r="CU9" s="23"/>
      <c r="CV9" s="23"/>
      <c r="CW9" s="23"/>
      <c r="CX9" s="23"/>
      <c r="CY9" s="23"/>
      <c r="CZ9" s="23"/>
      <c r="DA9" s="23"/>
      <c r="DB9" s="23"/>
      <c r="DC9" s="23"/>
      <c r="DD9" s="23"/>
      <c r="DE9" s="23"/>
      <c r="DF9" s="23"/>
      <c r="DG9" s="23"/>
      <c r="DH9" s="23"/>
      <c r="DI9" s="23"/>
      <c r="DJ9" s="23"/>
      <c r="DK9" s="23"/>
      <c r="DL9" s="23"/>
      <c r="DM9" s="23"/>
      <c r="DN9" s="23"/>
      <c r="DO9" s="23"/>
      <c r="DP9" s="23"/>
      <c r="DQ9" s="23"/>
      <c r="DR9" s="23"/>
      <c r="DS9" s="23"/>
      <c r="DT9" s="23"/>
      <c r="DU9" s="23"/>
      <c r="DV9" s="23"/>
      <c r="DW9" s="23"/>
      <c r="DX9" s="23"/>
      <c r="DY9" s="23"/>
      <c r="DZ9" s="23"/>
      <c r="EA9" s="23"/>
      <c r="EB9" s="23"/>
      <c r="EC9" s="23"/>
      <c r="ED9" s="23"/>
      <c r="EE9" s="23"/>
      <c r="EF9" s="23"/>
      <c r="EG9" s="23"/>
      <c r="EH9" s="23"/>
      <c r="EI9" s="23"/>
      <c r="EJ9" s="23"/>
      <c r="EK9" s="23"/>
      <c r="EL9" s="23"/>
      <c r="EM9" s="23"/>
      <c r="EN9" s="23"/>
      <c r="EO9" s="23"/>
      <c r="EP9" s="23"/>
      <c r="EQ9" s="23"/>
      <c r="ER9" s="23"/>
      <c r="ES9" s="23"/>
      <c r="ET9" s="23"/>
      <c r="EU9" s="23"/>
      <c r="EV9" s="23"/>
      <c r="EW9" s="23"/>
      <c r="EX9" s="23"/>
      <c r="EY9" s="23"/>
      <c r="EZ9" s="23"/>
      <c r="FA9" s="23"/>
      <c r="FB9" s="23"/>
      <c r="FC9" s="23"/>
      <c r="FD9" s="23"/>
      <c r="FE9" s="23"/>
      <c r="FF9" s="23"/>
      <c r="FG9" s="23"/>
      <c r="FH9" s="23"/>
      <c r="FI9" s="23"/>
      <c r="FJ9" s="23"/>
      <c r="FK9" s="23"/>
      <c r="FL9" s="23"/>
      <c r="FM9" s="23"/>
      <c r="FN9" s="23"/>
      <c r="FO9" s="23"/>
      <c r="FP9" s="23"/>
      <c r="FQ9" s="23"/>
      <c r="FR9" s="23"/>
      <c r="FS9" s="23"/>
      <c r="FT9" s="23"/>
      <c r="FU9" s="23"/>
      <c r="FV9" s="23"/>
      <c r="FW9" s="23"/>
      <c r="FX9" s="23"/>
      <c r="FY9" s="23"/>
      <c r="FZ9" s="23"/>
      <c r="GA9" s="23"/>
      <c r="GB9" s="23"/>
      <c r="GC9" s="23"/>
      <c r="GD9" s="23"/>
      <c r="GE9" s="23"/>
      <c r="GF9" s="23"/>
      <c r="GG9" s="23"/>
      <c r="GH9" s="23"/>
      <c r="GI9" s="23"/>
      <c r="GJ9" s="23"/>
      <c r="GK9" s="23"/>
      <c r="GL9" s="23"/>
      <c r="GM9" s="23"/>
      <c r="GN9" s="23"/>
      <c r="GO9" s="23"/>
      <c r="GP9" s="23"/>
      <c r="GQ9" s="23"/>
      <c r="GR9" s="23"/>
      <c r="GS9" s="23"/>
      <c r="GT9" s="23"/>
      <c r="GU9" s="23"/>
      <c r="GV9" s="23"/>
      <c r="GW9" s="23"/>
      <c r="GX9" s="23"/>
      <c r="GY9" s="23"/>
      <c r="GZ9" s="23"/>
      <c r="HA9" s="23"/>
      <c r="HB9" s="23"/>
      <c r="HC9" s="23"/>
      <c r="HD9" s="23"/>
      <c r="HE9" s="23"/>
      <c r="HF9" s="23"/>
      <c r="HG9" s="23"/>
      <c r="HH9" s="23"/>
      <c r="HI9" s="23"/>
      <c r="HJ9" s="23"/>
      <c r="HK9" s="23"/>
      <c r="HL9" s="23"/>
      <c r="HM9" s="23"/>
      <c r="HN9" s="23"/>
      <c r="HO9" s="23"/>
      <c r="HP9" s="23"/>
      <c r="HQ9" s="23"/>
      <c r="HR9" s="23"/>
      <c r="HS9" s="23"/>
      <c r="HT9" s="23"/>
      <c r="HU9" s="23"/>
      <c r="HV9" s="23"/>
      <c r="HW9" s="23"/>
      <c r="HX9" s="23"/>
      <c r="HY9" s="23"/>
      <c r="HZ9" s="23"/>
      <c r="IA9" s="23"/>
      <c r="IB9" s="23"/>
      <c r="IC9" s="23"/>
      <c r="ID9" s="23"/>
      <c r="IE9" s="23"/>
      <c r="IF9" s="23"/>
      <c r="IG9" s="23"/>
      <c r="IH9" s="23"/>
      <c r="II9" s="23"/>
      <c r="IJ9" s="23"/>
      <c r="IK9" s="23"/>
      <c r="IL9" s="23"/>
      <c r="IM9" s="23"/>
      <c r="IN9" s="23"/>
      <c r="IO9" s="23"/>
      <c r="IP9" s="23"/>
      <c r="IQ9" s="23"/>
      <c r="IR9" s="23"/>
      <c r="IS9" s="23"/>
      <c r="IT9" s="23"/>
      <c r="IU9" s="23"/>
      <c r="IV9" s="23"/>
      <c r="IW9" s="23"/>
      <c r="IX9" s="23"/>
      <c r="IY9" s="23"/>
      <c r="IZ9" s="23"/>
      <c r="JA9" s="23"/>
      <c r="JB9" s="23"/>
      <c r="JC9" s="23"/>
      <c r="JD9" s="23"/>
      <c r="JE9" s="23"/>
      <c r="JF9" s="23"/>
      <c r="JG9" s="23"/>
      <c r="JH9" s="23"/>
      <c r="JI9" s="23"/>
      <c r="JJ9" s="23"/>
      <c r="JK9" s="23"/>
      <c r="JL9" s="23"/>
      <c r="JM9" s="23"/>
      <c r="JN9" s="23"/>
      <c r="JO9" s="23"/>
      <c r="JP9" s="23"/>
      <c r="JQ9" s="23"/>
      <c r="JR9" s="23"/>
      <c r="JS9" s="23"/>
      <c r="JT9" s="23"/>
      <c r="JU9" s="23"/>
      <c r="JV9" s="23"/>
      <c r="JW9" s="23"/>
      <c r="JX9" s="23"/>
      <c r="JY9" s="23"/>
      <c r="JZ9" s="23"/>
      <c r="KA9" s="23"/>
      <c r="KB9" s="23"/>
      <c r="KC9" s="23"/>
      <c r="KD9" s="23"/>
      <c r="KE9" s="23"/>
      <c r="KF9" s="23"/>
      <c r="KG9" s="23"/>
      <c r="KH9" s="23"/>
      <c r="KI9" s="23"/>
      <c r="KJ9" s="23"/>
      <c r="KK9" s="23"/>
      <c r="KL9" s="23"/>
      <c r="KM9" s="23"/>
      <c r="KN9" s="23"/>
      <c r="KO9" s="23"/>
      <c r="KP9" s="23"/>
      <c r="KQ9" s="23"/>
      <c r="KR9" s="23"/>
      <c r="KS9" s="23"/>
      <c r="KT9" s="23"/>
      <c r="KU9" s="23"/>
      <c r="KV9" s="23"/>
      <c r="KW9" s="23"/>
      <c r="KX9" s="23"/>
      <c r="KY9" s="23"/>
      <c r="KZ9" s="23"/>
      <c r="LA9" s="23"/>
      <c r="LB9" s="23"/>
      <c r="LC9" s="23"/>
      <c r="LD9" s="23"/>
      <c r="LE9" s="23"/>
      <c r="LF9" s="23"/>
      <c r="LG9" s="23"/>
      <c r="LH9" s="23"/>
      <c r="LI9" s="23"/>
      <c r="LJ9" s="23"/>
      <c r="LK9" s="23"/>
      <c r="LL9" s="23"/>
      <c r="LM9" s="23"/>
      <c r="LN9" s="23"/>
      <c r="LO9" s="23"/>
      <c r="LP9" s="23"/>
      <c r="LQ9" s="23"/>
      <c r="LR9" s="23"/>
      <c r="LS9" s="23"/>
      <c r="LT9" s="23"/>
      <c r="LU9" s="23"/>
      <c r="LV9" s="23"/>
      <c r="LW9" s="23"/>
      <c r="LX9" s="23"/>
      <c r="LY9" s="23"/>
      <c r="LZ9" s="23"/>
      <c r="MA9" s="23"/>
      <c r="MB9" s="23"/>
      <c r="MC9" s="23"/>
      <c r="MD9" s="23"/>
      <c r="ME9" s="23"/>
      <c r="MF9" s="23"/>
      <c r="MG9" s="23"/>
      <c r="MH9" s="23"/>
      <c r="MI9" s="23"/>
      <c r="MJ9" s="23"/>
      <c r="MK9" s="23"/>
      <c r="ML9" s="23"/>
      <c r="MM9" s="23"/>
      <c r="MN9" s="23"/>
      <c r="MO9" s="23"/>
      <c r="MP9" s="23"/>
      <c r="MQ9" s="23"/>
      <c r="MR9" s="23"/>
      <c r="MS9" s="23"/>
      <c r="MT9" s="23"/>
      <c r="MU9" s="23"/>
      <c r="MV9" s="23"/>
      <c r="MW9" s="23"/>
      <c r="MX9" s="23"/>
      <c r="MY9" s="23"/>
      <c r="MZ9" s="23"/>
      <c r="NA9" s="23"/>
      <c r="NB9" s="23"/>
      <c r="NC9" s="23"/>
      <c r="ND9" s="23"/>
      <c r="NE9" s="23"/>
      <c r="NF9" s="23"/>
      <c r="NG9" s="23"/>
      <c r="NH9" s="23"/>
      <c r="NI9" s="23"/>
      <c r="NJ9" s="23"/>
      <c r="NK9" s="23"/>
      <c r="NL9" s="23"/>
      <c r="NM9" s="23"/>
      <c r="NN9" s="23"/>
      <c r="NO9" s="23"/>
      <c r="NP9" s="23"/>
      <c r="NQ9" s="23"/>
      <c r="NR9" s="23"/>
      <c r="NS9" s="23"/>
      <c r="NT9" s="23"/>
      <c r="NU9" s="23"/>
      <c r="NV9" s="23"/>
      <c r="NW9" s="23"/>
      <c r="NX9" s="23"/>
      <c r="NY9" s="23"/>
      <c r="NZ9" s="23"/>
      <c r="OA9" s="23"/>
      <c r="OB9" s="23"/>
      <c r="OC9" s="23"/>
      <c r="OD9" s="23"/>
      <c r="OE9" s="23"/>
      <c r="OF9" s="23"/>
      <c r="OG9" s="23"/>
      <c r="OH9" s="23"/>
      <c r="OI9" s="23"/>
      <c r="OJ9" s="23"/>
      <c r="OK9" s="23"/>
      <c r="OL9" s="23"/>
      <c r="OM9" s="23"/>
      <c r="ON9" s="23"/>
      <c r="OO9" s="23"/>
      <c r="OP9" s="23"/>
      <c r="OQ9" s="23"/>
      <c r="OR9" s="23"/>
      <c r="OS9" s="23"/>
      <c r="OT9" s="23"/>
      <c r="OU9" s="23"/>
      <c r="OV9" s="23"/>
      <c r="OW9" s="23"/>
      <c r="OX9" s="23"/>
      <c r="OY9" s="23"/>
      <c r="OZ9" s="23"/>
      <c r="PA9" s="23"/>
      <c r="PB9" s="23"/>
      <c r="PC9" s="23"/>
      <c r="PD9" s="23"/>
      <c r="PE9" s="23"/>
      <c r="PF9" s="23"/>
      <c r="PG9" s="23"/>
      <c r="PH9" s="23"/>
      <c r="PI9" s="23"/>
      <c r="PJ9" s="23"/>
      <c r="PK9" s="23"/>
      <c r="PL9" s="23"/>
      <c r="PM9" s="23"/>
      <c r="PN9" s="23"/>
      <c r="PO9" s="23"/>
      <c r="PP9" s="23"/>
      <c r="PQ9" s="23"/>
      <c r="PR9" s="23"/>
      <c r="PS9" s="23"/>
      <c r="PT9" s="23"/>
      <c r="PU9" s="23"/>
      <c r="PV9" s="23"/>
      <c r="PW9" s="23"/>
      <c r="PX9" s="23"/>
      <c r="PY9" s="23"/>
      <c r="PZ9" s="23"/>
      <c r="QA9" s="23"/>
      <c r="QB9" s="23"/>
      <c r="QC9" s="23"/>
      <c r="QD9" s="23"/>
      <c r="QE9" s="23"/>
      <c r="QF9" s="23"/>
      <c r="QG9" s="23"/>
      <c r="QH9" s="23"/>
      <c r="QI9" s="23"/>
      <c r="QJ9" s="23"/>
      <c r="QK9" s="23"/>
      <c r="QL9" s="23"/>
      <c r="QM9" s="23"/>
      <c r="QN9" s="23"/>
      <c r="QO9" s="23"/>
      <c r="QP9" s="23"/>
      <c r="QQ9" s="23"/>
      <c r="QR9" s="23"/>
      <c r="QS9" s="23"/>
      <c r="QT9" s="23"/>
      <c r="QU9" s="23"/>
      <c r="QV9" s="23"/>
      <c r="QW9" s="23"/>
      <c r="QX9" s="23"/>
      <c r="QY9" s="23"/>
      <c r="QZ9" s="23"/>
      <c r="RA9" s="23"/>
      <c r="RB9" s="23"/>
      <c r="RC9" s="23"/>
      <c r="RD9" s="23"/>
      <c r="RE9" s="23"/>
      <c r="RF9" s="23"/>
      <c r="RG9" s="23"/>
      <c r="RH9" s="23"/>
      <c r="RI9" s="23"/>
      <c r="RJ9" s="23"/>
      <c r="RK9" s="23"/>
      <c r="RL9" s="23"/>
      <c r="RM9" s="23"/>
      <c r="RN9" s="23"/>
      <c r="RO9" s="23"/>
      <c r="RP9" s="23"/>
      <c r="RQ9" s="23"/>
      <c r="RR9" s="23"/>
      <c r="RS9" s="23"/>
      <c r="RT9" s="23"/>
      <c r="RU9" s="23"/>
      <c r="RV9" s="23"/>
      <c r="RW9" s="23"/>
      <c r="RX9" s="23"/>
      <c r="RY9" s="23"/>
      <c r="RZ9" s="23"/>
      <c r="SA9" s="23"/>
      <c r="SB9" s="23"/>
      <c r="SC9" s="23"/>
      <c r="SD9" s="23"/>
      <c r="SE9" s="23"/>
      <c r="SF9" s="23"/>
      <c r="SG9" s="23"/>
      <c r="SH9" s="23"/>
      <c r="SI9" s="23"/>
      <c r="SJ9" s="23"/>
      <c r="SK9" s="23"/>
      <c r="SL9" s="23"/>
      <c r="SM9" s="23"/>
      <c r="SN9" s="23"/>
      <c r="SO9" s="23"/>
      <c r="SP9" s="23"/>
      <c r="SQ9" s="23"/>
      <c r="SR9" s="23"/>
      <c r="SS9" s="23"/>
      <c r="ST9" s="23"/>
      <c r="SU9" s="23"/>
      <c r="SV9" s="23"/>
      <c r="SW9" s="23"/>
      <c r="SX9" s="23"/>
      <c r="SY9" s="23"/>
      <c r="SZ9" s="23"/>
      <c r="TA9" s="23"/>
      <c r="TB9" s="23"/>
      <c r="TC9" s="23"/>
      <c r="TD9" s="23"/>
      <c r="TE9" s="23"/>
      <c r="TF9" s="23"/>
      <c r="TG9" s="23"/>
      <c r="TH9" s="23"/>
      <c r="TI9" s="23"/>
      <c r="TJ9" s="23"/>
      <c r="TK9" s="23"/>
      <c r="TL9" s="23"/>
      <c r="TM9" s="23"/>
      <c r="TN9" s="23"/>
      <c r="TO9" s="23"/>
      <c r="TP9" s="23"/>
      <c r="TQ9" s="23"/>
      <c r="TR9" s="23"/>
      <c r="TS9" s="23"/>
      <c r="TT9" s="23"/>
      <c r="TU9" s="23"/>
      <c r="TV9" s="23"/>
      <c r="TW9" s="23"/>
      <c r="TX9" s="23"/>
      <c r="TY9" s="23"/>
      <c r="TZ9" s="23"/>
      <c r="UA9" s="23"/>
      <c r="UB9" s="23"/>
      <c r="UC9" s="23"/>
      <c r="UD9" s="23"/>
      <c r="UE9" s="23"/>
      <c r="UF9" s="23"/>
      <c r="UG9" s="23"/>
      <c r="UH9" s="23"/>
      <c r="UI9" s="23"/>
      <c r="UJ9" s="23"/>
      <c r="UK9" s="23"/>
      <c r="UL9" s="23"/>
      <c r="UM9" s="23"/>
      <c r="UN9" s="23"/>
      <c r="UO9" s="23"/>
      <c r="UP9" s="23"/>
      <c r="UQ9" s="23"/>
      <c r="UR9" s="23"/>
      <c r="US9" s="23"/>
      <c r="UT9" s="23"/>
      <c r="UU9" s="23"/>
      <c r="UV9" s="23"/>
      <c r="UW9" s="23"/>
      <c r="UX9" s="23"/>
      <c r="UY9" s="23"/>
      <c r="UZ9" s="23"/>
      <c r="VA9" s="23"/>
      <c r="VB9" s="23"/>
      <c r="VC9" s="23"/>
      <c r="VD9" s="23"/>
      <c r="VE9" s="23"/>
      <c r="VF9" s="23"/>
      <c r="VG9" s="23"/>
      <c r="VH9" s="23"/>
      <c r="VI9" s="23"/>
      <c r="VJ9" s="23"/>
      <c r="VK9" s="23"/>
      <c r="VL9" s="23"/>
      <c r="VM9" s="23"/>
      <c r="VN9" s="23"/>
      <c r="VO9" s="23"/>
      <c r="VP9" s="23"/>
      <c r="VQ9" s="23"/>
      <c r="VR9" s="23"/>
      <c r="VS9" s="23"/>
      <c r="VT9" s="23"/>
      <c r="VU9" s="23"/>
      <c r="VV9" s="23"/>
      <c r="VW9" s="23"/>
      <c r="VX9" s="23"/>
      <c r="VY9" s="23"/>
      <c r="VZ9" s="23"/>
      <c r="WA9" s="23"/>
      <c r="WB9" s="23"/>
      <c r="WC9" s="23"/>
      <c r="WD9" s="23"/>
      <c r="WE9" s="23"/>
      <c r="WF9" s="23"/>
      <c r="WG9" s="23"/>
      <c r="WH9" s="23"/>
      <c r="WI9" s="23"/>
      <c r="WJ9" s="23"/>
      <c r="WK9" s="23"/>
      <c r="WL9" s="23"/>
      <c r="WM9" s="23"/>
      <c r="WN9" s="23"/>
      <c r="WO9" s="23"/>
      <c r="WP9" s="23"/>
      <c r="WQ9" s="23"/>
      <c r="WR9" s="23"/>
      <c r="WS9" s="23"/>
      <c r="WT9" s="23"/>
      <c r="WU9" s="23"/>
      <c r="WV9" s="23"/>
      <c r="WW9" s="23"/>
      <c r="WX9" s="23"/>
      <c r="WY9" s="23"/>
      <c r="WZ9" s="23"/>
      <c r="XA9" s="23"/>
      <c r="XB9" s="23"/>
      <c r="XC9" s="23"/>
      <c r="XD9" s="23"/>
      <c r="XE9" s="23"/>
      <c r="XF9" s="23"/>
      <c r="XG9" s="23"/>
      <c r="XH9" s="23"/>
      <c r="XI9" s="23"/>
      <c r="XJ9" s="23"/>
      <c r="XK9" s="23"/>
      <c r="XL9" s="23"/>
      <c r="XM9" s="23"/>
      <c r="XN9" s="23"/>
      <c r="XO9" s="23"/>
      <c r="XP9" s="23"/>
      <c r="XQ9" s="23"/>
      <c r="XR9" s="23"/>
      <c r="XS9" s="23"/>
      <c r="XT9" s="23"/>
      <c r="XU9" s="23"/>
      <c r="XV9" s="23"/>
      <c r="XW9" s="23"/>
      <c r="XX9" s="23"/>
      <c r="XY9" s="23"/>
      <c r="XZ9" s="23"/>
      <c r="YA9" s="23"/>
      <c r="YB9" s="23"/>
      <c r="YC9" s="23"/>
      <c r="YD9" s="23"/>
      <c r="YE9" s="23"/>
      <c r="YF9" s="23"/>
      <c r="YG9" s="23"/>
      <c r="YH9" s="23"/>
      <c r="YI9" s="23"/>
      <c r="YJ9" s="23"/>
      <c r="YK9" s="23"/>
      <c r="YL9" s="23"/>
      <c r="YM9" s="23"/>
      <c r="YN9" s="23"/>
      <c r="YO9" s="23"/>
      <c r="YP9" s="23"/>
      <c r="YQ9" s="23"/>
      <c r="YR9" s="23"/>
      <c r="YS9" s="23"/>
      <c r="YT9" s="23"/>
      <c r="YU9" s="23"/>
      <c r="YV9" s="23"/>
      <c r="YW9" s="23"/>
      <c r="YX9" s="23"/>
      <c r="YY9" s="23"/>
      <c r="YZ9" s="23"/>
      <c r="ZA9" s="23"/>
      <c r="ZB9" s="23"/>
      <c r="ZC9" s="23"/>
      <c r="ZD9" s="23"/>
      <c r="ZE9" s="52"/>
    </row>
    <row r="10" spans="1:682" s="50" customFormat="1" ht="15" customHeight="1" x14ac:dyDescent="0.25">
      <c r="A10" s="30">
        <v>1000</v>
      </c>
      <c r="B10" s="102" t="s">
        <v>29</v>
      </c>
      <c r="C10" s="103" t="s">
        <v>66</v>
      </c>
      <c r="D10" s="5" t="s">
        <v>65</v>
      </c>
      <c r="E10" s="103" t="s">
        <v>49</v>
      </c>
      <c r="F10" s="5" t="s">
        <v>48</v>
      </c>
      <c r="G10" s="56">
        <v>2</v>
      </c>
      <c r="H10" s="46" t="s">
        <v>42</v>
      </c>
      <c r="I10" s="47"/>
      <c r="J10" s="48">
        <f ca="1">OFFSET(MJ_Initialisation!D44,0,2)</f>
        <v>460</v>
      </c>
      <c r="K10" s="48">
        <f ca="1">OFFSET(MJ_Initialisation!E44,0,2)</f>
        <v>327</v>
      </c>
      <c r="L10" s="48">
        <f ca="1">OFFSET(MJ_Initialisation!F44,0,2)</f>
        <v>290</v>
      </c>
      <c r="M10" s="48">
        <f ca="1">OFFSET(MJ_Initialisation!G44,0,2)</f>
        <v>483</v>
      </c>
      <c r="N10" s="48">
        <f ca="1">OFFSET(MJ_Initialisation!H44,0,2)</f>
        <v>680</v>
      </c>
      <c r="O10" s="48">
        <f ca="1">OFFSET(MJ_Initialisation!I44,0,2)</f>
        <v>448</v>
      </c>
      <c r="P10" s="48">
        <f ca="1">OFFSET(MJ_Initialisation!J44,0,2)</f>
        <v>762</v>
      </c>
      <c r="Q10" s="48">
        <f ca="1">OFFSET(MJ_Initialisation!K44,0,2)</f>
        <v>600</v>
      </c>
      <c r="R10" s="48">
        <f ca="1">OFFSET(MJ_Initialisation!L44,0,2)</f>
        <v>530</v>
      </c>
      <c r="S10" s="48">
        <f ca="1">OFFSET(MJ_Initialisation!M44,0,2)</f>
        <v>860</v>
      </c>
      <c r="T10" s="48">
        <f ca="1">OFFSET(MJ_Initialisation!N44,0,2)</f>
        <v>390</v>
      </c>
      <c r="U10" s="48">
        <f ca="1">OFFSET(MJ_Initialisation!O44,0,2)</f>
        <v>620</v>
      </c>
      <c r="V10" s="48">
        <f ca="1">OFFSET(MJ_Initialisation!P44,0,2)</f>
        <v>434</v>
      </c>
      <c r="W10" s="48">
        <f ca="1">OFFSET(MJ_Initialisation!Q44,0,2)</f>
        <v>686</v>
      </c>
      <c r="X10" s="48">
        <f ca="1">OFFSET(MJ_Initialisation!R44,0,2)</f>
        <v>550</v>
      </c>
      <c r="Y10" s="48">
        <f ca="1">OFFSET(MJ_Initialisation!S44,0,2)</f>
        <v>620</v>
      </c>
      <c r="Z10" s="48">
        <f ca="1">OFFSET(MJ_Initialisation!T44,0,2)</f>
        <v>1000</v>
      </c>
      <c r="AA10" s="48">
        <f ca="1">OFFSET(MJ_Initialisation!U44,0,2)</f>
        <v>710</v>
      </c>
      <c r="AB10" s="48">
        <f ca="1">OFFSET(MJ_Initialisation!V44,0,2)</f>
        <v>450</v>
      </c>
      <c r="AC10" s="48">
        <f ca="1">OFFSET(MJ_Initialisation!W44,0,2)</f>
        <v>237</v>
      </c>
      <c r="AD10" s="48">
        <f ca="1">OFFSET(MJ_Initialisation!X44,0,2)</f>
        <v>256</v>
      </c>
      <c r="AE10" s="48">
        <f ca="1">OFFSET(MJ_Initialisation!Y44,0,2)</f>
        <v>132</v>
      </c>
      <c r="AF10" s="48">
        <f ca="1">OFFSET(MJ_Initialisation!Z44,0,2)</f>
        <v>0</v>
      </c>
      <c r="AG10" s="48">
        <f ca="1">OFFSET(MJ_Initialisation!AA44,0,2)</f>
        <v>0</v>
      </c>
      <c r="AH10" s="241"/>
      <c r="AI10" s="241"/>
      <c r="AJ10" s="241"/>
      <c r="AK10" s="241"/>
      <c r="AL10" s="23"/>
      <c r="AM10" s="23"/>
      <c r="AN10" s="23"/>
      <c r="AO10" s="23"/>
      <c r="AP10" s="23"/>
      <c r="AQ10" s="23"/>
      <c r="AR10" s="23"/>
      <c r="AS10" s="23"/>
      <c r="AT10" s="23"/>
      <c r="AU10" s="23"/>
      <c r="AV10" s="23"/>
      <c r="AW10" s="23"/>
      <c r="AX10" s="23"/>
      <c r="AY10" s="23"/>
      <c r="AZ10" s="23"/>
      <c r="BA10" s="23"/>
      <c r="BB10" s="23"/>
      <c r="BC10" s="23"/>
      <c r="BD10" s="23"/>
      <c r="BE10" s="23"/>
      <c r="BF10" s="23"/>
      <c r="BG10" s="23"/>
      <c r="BH10" s="23"/>
      <c r="BI10" s="23"/>
      <c r="BJ10" s="23"/>
      <c r="BK10" s="23"/>
      <c r="BL10" s="23"/>
      <c r="BM10" s="23"/>
      <c r="BN10" s="23"/>
      <c r="BO10" s="23"/>
      <c r="BP10" s="23"/>
      <c r="BQ10" s="23"/>
      <c r="BR10" s="23"/>
      <c r="BS10" s="23"/>
      <c r="BT10" s="23"/>
      <c r="BU10" s="23"/>
      <c r="BV10" s="23"/>
      <c r="BW10" s="23"/>
      <c r="BX10" s="23"/>
      <c r="BY10" s="23"/>
      <c r="BZ10" s="23"/>
      <c r="CA10" s="23"/>
      <c r="CB10" s="23"/>
      <c r="CC10" s="23"/>
      <c r="CD10" s="23"/>
      <c r="CE10" s="23"/>
      <c r="CF10" s="23"/>
      <c r="CG10" s="23"/>
      <c r="CH10" s="23"/>
      <c r="CI10" s="23"/>
      <c r="CJ10" s="23"/>
      <c r="CK10" s="23"/>
      <c r="CL10" s="23"/>
      <c r="CM10" s="23"/>
      <c r="CN10" s="23"/>
      <c r="CO10" s="23"/>
      <c r="CP10" s="23"/>
      <c r="CQ10" s="23"/>
      <c r="CR10" s="23"/>
      <c r="CS10" s="23"/>
      <c r="CT10" s="23"/>
      <c r="CU10" s="23"/>
      <c r="CV10" s="23"/>
      <c r="CW10" s="23"/>
      <c r="CX10" s="23"/>
      <c r="CY10" s="23"/>
      <c r="CZ10" s="23"/>
      <c r="DA10" s="23"/>
      <c r="DB10" s="23"/>
      <c r="DC10" s="23"/>
      <c r="DD10" s="23"/>
      <c r="DE10" s="23"/>
      <c r="DF10" s="23"/>
      <c r="DG10" s="23"/>
      <c r="DH10" s="23"/>
      <c r="DI10" s="23"/>
      <c r="DJ10" s="23"/>
      <c r="DK10" s="23"/>
      <c r="DL10" s="23"/>
      <c r="DM10" s="23"/>
      <c r="DN10" s="23"/>
      <c r="DO10" s="23"/>
      <c r="DP10" s="23"/>
      <c r="DQ10" s="23"/>
      <c r="DR10" s="23"/>
      <c r="DS10" s="23"/>
      <c r="DT10" s="23"/>
      <c r="DU10" s="23"/>
      <c r="DV10" s="23"/>
      <c r="DW10" s="23"/>
      <c r="DX10" s="23"/>
      <c r="DY10" s="23"/>
      <c r="DZ10" s="23"/>
      <c r="EA10" s="23"/>
      <c r="EB10" s="23"/>
      <c r="EC10" s="23"/>
      <c r="ED10" s="23"/>
      <c r="EE10" s="23"/>
      <c r="EF10" s="23"/>
      <c r="EG10" s="23"/>
      <c r="EH10" s="23"/>
      <c r="EI10" s="23"/>
      <c r="EJ10" s="23"/>
      <c r="EK10" s="23"/>
      <c r="EL10" s="23"/>
      <c r="EM10" s="23"/>
      <c r="EN10" s="23"/>
      <c r="EO10" s="23"/>
      <c r="EP10" s="23"/>
      <c r="EQ10" s="23"/>
      <c r="ER10" s="23"/>
      <c r="ES10" s="23"/>
      <c r="ET10" s="23"/>
      <c r="EU10" s="23"/>
      <c r="EV10" s="23"/>
      <c r="EW10" s="23"/>
      <c r="EX10" s="23"/>
      <c r="EY10" s="23"/>
      <c r="EZ10" s="23"/>
      <c r="FA10" s="23"/>
      <c r="FB10" s="23"/>
      <c r="FC10" s="23"/>
      <c r="FD10" s="23"/>
      <c r="FE10" s="23"/>
      <c r="FF10" s="23"/>
      <c r="FG10" s="23"/>
      <c r="FH10" s="23"/>
      <c r="FI10" s="23"/>
      <c r="FJ10" s="23"/>
      <c r="FK10" s="23"/>
      <c r="FL10" s="23"/>
      <c r="FM10" s="23"/>
      <c r="FN10" s="23"/>
      <c r="FO10" s="23"/>
      <c r="FP10" s="23"/>
      <c r="FQ10" s="23"/>
      <c r="FR10" s="23"/>
      <c r="FS10" s="23"/>
      <c r="FT10" s="23"/>
      <c r="FU10" s="23"/>
      <c r="FV10" s="23"/>
      <c r="FW10" s="23"/>
      <c r="FX10" s="23"/>
      <c r="FY10" s="23"/>
      <c r="FZ10" s="23"/>
      <c r="GA10" s="23"/>
      <c r="GB10" s="23"/>
      <c r="GC10" s="23"/>
      <c r="GD10" s="23"/>
      <c r="GE10" s="23"/>
      <c r="GF10" s="23"/>
      <c r="GG10" s="23"/>
      <c r="GH10" s="23"/>
      <c r="GI10" s="23"/>
      <c r="GJ10" s="23"/>
      <c r="GK10" s="23"/>
      <c r="GL10" s="23"/>
      <c r="GM10" s="23"/>
      <c r="GN10" s="23"/>
      <c r="GO10" s="23"/>
      <c r="GP10" s="23"/>
      <c r="GQ10" s="23"/>
      <c r="GR10" s="23"/>
      <c r="GS10" s="23"/>
      <c r="GT10" s="23"/>
      <c r="GU10" s="23"/>
      <c r="GV10" s="23"/>
      <c r="GW10" s="23"/>
      <c r="GX10" s="23"/>
      <c r="GY10" s="23"/>
      <c r="GZ10" s="23"/>
      <c r="HA10" s="23"/>
      <c r="HB10" s="23"/>
      <c r="HC10" s="23"/>
      <c r="HD10" s="23"/>
      <c r="HE10" s="23"/>
      <c r="HF10" s="23"/>
      <c r="HG10" s="23"/>
      <c r="HH10" s="23"/>
      <c r="HI10" s="23"/>
      <c r="HJ10" s="23"/>
      <c r="HK10" s="23"/>
      <c r="HL10" s="23"/>
      <c r="HM10" s="23"/>
      <c r="HN10" s="23"/>
      <c r="HO10" s="23"/>
      <c r="HP10" s="23"/>
      <c r="HQ10" s="23"/>
      <c r="HR10" s="23"/>
      <c r="HS10" s="23"/>
      <c r="HT10" s="23"/>
      <c r="HU10" s="23"/>
      <c r="HV10" s="23"/>
      <c r="HW10" s="23"/>
      <c r="HX10" s="23"/>
      <c r="HY10" s="23"/>
      <c r="HZ10" s="23"/>
      <c r="IA10" s="23"/>
      <c r="IB10" s="23"/>
      <c r="IC10" s="23"/>
      <c r="ID10" s="23"/>
      <c r="IE10" s="23"/>
      <c r="IF10" s="23"/>
      <c r="IG10" s="23"/>
      <c r="IH10" s="23"/>
      <c r="II10" s="23"/>
      <c r="IJ10" s="23"/>
      <c r="IK10" s="23"/>
      <c r="IL10" s="23"/>
      <c r="IM10" s="23"/>
      <c r="IN10" s="23"/>
      <c r="IO10" s="23"/>
      <c r="IP10" s="23"/>
      <c r="IQ10" s="23"/>
      <c r="IR10" s="23"/>
      <c r="IS10" s="23"/>
      <c r="IT10" s="23"/>
      <c r="IU10" s="23"/>
      <c r="IV10" s="23"/>
      <c r="IW10" s="23"/>
      <c r="IX10" s="23"/>
      <c r="IY10" s="23"/>
      <c r="IZ10" s="23"/>
      <c r="JA10" s="23"/>
      <c r="JB10" s="23"/>
      <c r="JC10" s="23"/>
      <c r="JD10" s="23"/>
      <c r="JE10" s="23"/>
      <c r="JF10" s="23"/>
      <c r="JG10" s="23"/>
      <c r="JH10" s="23"/>
      <c r="JI10" s="23"/>
      <c r="JJ10" s="23"/>
      <c r="JK10" s="23"/>
      <c r="JL10" s="23"/>
      <c r="JM10" s="23"/>
      <c r="JN10" s="23"/>
      <c r="JO10" s="23"/>
      <c r="JP10" s="23"/>
      <c r="JQ10" s="23"/>
      <c r="JR10" s="23"/>
      <c r="JS10" s="23"/>
      <c r="JT10" s="23"/>
      <c r="JU10" s="23"/>
      <c r="JV10" s="23"/>
      <c r="JW10" s="23"/>
      <c r="JX10" s="23"/>
      <c r="JY10" s="23"/>
      <c r="JZ10" s="23"/>
      <c r="KA10" s="23"/>
      <c r="KB10" s="23"/>
      <c r="KC10" s="23"/>
      <c r="KD10" s="23"/>
      <c r="KE10" s="23"/>
      <c r="KF10" s="23"/>
      <c r="KG10" s="23"/>
      <c r="KH10" s="23"/>
      <c r="KI10" s="23"/>
      <c r="KJ10" s="23"/>
      <c r="KK10" s="23"/>
      <c r="KL10" s="23"/>
      <c r="KM10" s="23"/>
      <c r="KN10" s="23"/>
      <c r="KO10" s="23"/>
      <c r="KP10" s="23"/>
      <c r="KQ10" s="23"/>
      <c r="KR10" s="23"/>
      <c r="KS10" s="23"/>
      <c r="KT10" s="23"/>
      <c r="KU10" s="23"/>
      <c r="KV10" s="23"/>
      <c r="KW10" s="23"/>
      <c r="KX10" s="23"/>
      <c r="KY10" s="23"/>
      <c r="KZ10" s="23"/>
      <c r="LA10" s="23"/>
      <c r="LB10" s="23"/>
      <c r="LC10" s="23"/>
      <c r="LD10" s="23"/>
      <c r="LE10" s="23"/>
      <c r="LF10" s="23"/>
      <c r="LG10" s="23"/>
      <c r="LH10" s="23"/>
      <c r="LI10" s="23"/>
      <c r="LJ10" s="23"/>
      <c r="LK10" s="23"/>
      <c r="LL10" s="23"/>
      <c r="LM10" s="23"/>
      <c r="LN10" s="23"/>
      <c r="LO10" s="23"/>
      <c r="LP10" s="23"/>
      <c r="LQ10" s="23"/>
      <c r="LR10" s="23"/>
      <c r="LS10" s="23"/>
      <c r="LT10" s="23"/>
      <c r="LU10" s="23"/>
      <c r="LV10" s="23"/>
      <c r="LW10" s="23"/>
      <c r="LX10" s="23"/>
      <c r="LY10" s="23"/>
      <c r="LZ10" s="23"/>
      <c r="MA10" s="23"/>
      <c r="MB10" s="23"/>
      <c r="MC10" s="23"/>
      <c r="MD10" s="23"/>
      <c r="ME10" s="23"/>
      <c r="MF10" s="23"/>
      <c r="MG10" s="23"/>
      <c r="MH10" s="23"/>
      <c r="MI10" s="23"/>
      <c r="MJ10" s="23"/>
      <c r="MK10" s="23"/>
      <c r="ML10" s="23"/>
      <c r="MM10" s="23"/>
      <c r="MN10" s="23"/>
      <c r="MO10" s="23"/>
      <c r="MP10" s="23"/>
      <c r="MQ10" s="23"/>
      <c r="MR10" s="23"/>
      <c r="MS10" s="23"/>
      <c r="MT10" s="23"/>
      <c r="MU10" s="23"/>
      <c r="MV10" s="23"/>
      <c r="MW10" s="23"/>
      <c r="MX10" s="23"/>
      <c r="MY10" s="23"/>
      <c r="MZ10" s="23"/>
      <c r="NA10" s="23"/>
      <c r="NB10" s="23"/>
      <c r="NC10" s="23"/>
      <c r="ND10" s="23"/>
      <c r="NE10" s="23"/>
      <c r="NF10" s="23"/>
      <c r="NG10" s="23"/>
      <c r="NH10" s="23"/>
      <c r="NI10" s="23"/>
      <c r="NJ10" s="23"/>
      <c r="NK10" s="23"/>
      <c r="NL10" s="23"/>
      <c r="NM10" s="23"/>
      <c r="NN10" s="23"/>
      <c r="NO10" s="23"/>
      <c r="NP10" s="23"/>
      <c r="NQ10" s="23"/>
      <c r="NR10" s="23"/>
      <c r="NS10" s="23"/>
      <c r="NT10" s="23"/>
      <c r="NU10" s="23"/>
      <c r="NV10" s="23"/>
      <c r="NW10" s="23"/>
      <c r="NX10" s="23"/>
      <c r="NY10" s="23"/>
      <c r="NZ10" s="23"/>
      <c r="OA10" s="23"/>
      <c r="OB10" s="23"/>
      <c r="OC10" s="23"/>
      <c r="OD10" s="23"/>
      <c r="OE10" s="23"/>
      <c r="OF10" s="23"/>
      <c r="OG10" s="23"/>
      <c r="OH10" s="23"/>
      <c r="OI10" s="23"/>
      <c r="OJ10" s="23"/>
      <c r="OK10" s="23"/>
      <c r="OL10" s="23"/>
      <c r="OM10" s="23"/>
      <c r="ON10" s="23"/>
      <c r="OO10" s="23"/>
      <c r="OP10" s="23"/>
      <c r="OQ10" s="23"/>
      <c r="OR10" s="23"/>
      <c r="OS10" s="23"/>
      <c r="OT10" s="23"/>
      <c r="OU10" s="23"/>
      <c r="OV10" s="23"/>
      <c r="OW10" s="23"/>
      <c r="OX10" s="23"/>
      <c r="OY10" s="23"/>
      <c r="OZ10" s="23"/>
      <c r="PA10" s="23"/>
      <c r="PB10" s="23"/>
      <c r="PC10" s="23"/>
      <c r="PD10" s="23"/>
      <c r="PE10" s="23"/>
      <c r="PF10" s="23"/>
      <c r="PG10" s="23"/>
      <c r="PH10" s="23"/>
      <c r="PI10" s="23"/>
      <c r="PJ10" s="23"/>
      <c r="PK10" s="23"/>
      <c r="PL10" s="23"/>
      <c r="PM10" s="23"/>
      <c r="PN10" s="23"/>
      <c r="PO10" s="23"/>
      <c r="PP10" s="23"/>
      <c r="PQ10" s="23"/>
      <c r="PR10" s="23"/>
      <c r="PS10" s="23"/>
      <c r="PT10" s="23"/>
      <c r="PU10" s="23"/>
      <c r="PV10" s="23"/>
      <c r="PW10" s="23"/>
      <c r="PX10" s="23"/>
      <c r="PY10" s="23"/>
      <c r="PZ10" s="23"/>
      <c r="QA10" s="23"/>
      <c r="QB10" s="23"/>
      <c r="QC10" s="23"/>
      <c r="QD10" s="23"/>
      <c r="QE10" s="23"/>
      <c r="QF10" s="23"/>
      <c r="QG10" s="23"/>
      <c r="QH10" s="23"/>
      <c r="QI10" s="23"/>
      <c r="QJ10" s="23"/>
      <c r="QK10" s="23"/>
      <c r="QL10" s="23"/>
      <c r="QM10" s="23"/>
      <c r="QN10" s="23"/>
      <c r="QO10" s="23"/>
      <c r="QP10" s="23"/>
      <c r="QQ10" s="23"/>
      <c r="QR10" s="23"/>
      <c r="QS10" s="23"/>
      <c r="QT10" s="23"/>
      <c r="QU10" s="23"/>
      <c r="QV10" s="23"/>
      <c r="QW10" s="23"/>
      <c r="QX10" s="23"/>
      <c r="QY10" s="23"/>
      <c r="QZ10" s="23"/>
      <c r="RA10" s="23"/>
      <c r="RB10" s="23"/>
      <c r="RC10" s="23"/>
      <c r="RD10" s="23"/>
      <c r="RE10" s="23"/>
      <c r="RF10" s="23"/>
      <c r="RG10" s="23"/>
      <c r="RH10" s="23"/>
      <c r="RI10" s="23"/>
      <c r="RJ10" s="23"/>
      <c r="RK10" s="23"/>
      <c r="RL10" s="23"/>
      <c r="RM10" s="23"/>
      <c r="RN10" s="23"/>
      <c r="RO10" s="23"/>
      <c r="RP10" s="23"/>
      <c r="RQ10" s="23"/>
      <c r="RR10" s="23"/>
      <c r="RS10" s="23"/>
      <c r="RT10" s="23"/>
      <c r="RU10" s="23"/>
      <c r="RV10" s="23"/>
      <c r="RW10" s="23"/>
      <c r="RX10" s="23"/>
      <c r="RY10" s="23"/>
      <c r="RZ10" s="23"/>
      <c r="SA10" s="23"/>
      <c r="SB10" s="23"/>
      <c r="SC10" s="23"/>
      <c r="SD10" s="23"/>
      <c r="SE10" s="23"/>
      <c r="SF10" s="23"/>
      <c r="SG10" s="23"/>
      <c r="SH10" s="23"/>
      <c r="SI10" s="23"/>
      <c r="SJ10" s="23"/>
      <c r="SK10" s="23"/>
      <c r="SL10" s="23"/>
      <c r="SM10" s="23"/>
      <c r="SN10" s="23"/>
      <c r="SO10" s="23"/>
      <c r="SP10" s="23"/>
      <c r="SQ10" s="23"/>
      <c r="SR10" s="23"/>
      <c r="SS10" s="23"/>
      <c r="ST10" s="23"/>
      <c r="SU10" s="23"/>
      <c r="SV10" s="23"/>
      <c r="SW10" s="23"/>
      <c r="SX10" s="23"/>
      <c r="SY10" s="23"/>
      <c r="SZ10" s="23"/>
      <c r="TA10" s="23"/>
      <c r="TB10" s="23"/>
      <c r="TC10" s="23"/>
      <c r="TD10" s="23"/>
      <c r="TE10" s="23"/>
      <c r="TF10" s="23"/>
      <c r="TG10" s="23"/>
      <c r="TH10" s="23"/>
      <c r="TI10" s="23"/>
      <c r="TJ10" s="23"/>
      <c r="TK10" s="23"/>
      <c r="TL10" s="23"/>
      <c r="TM10" s="23"/>
      <c r="TN10" s="23"/>
      <c r="TO10" s="23"/>
      <c r="TP10" s="23"/>
      <c r="TQ10" s="23"/>
      <c r="TR10" s="23"/>
      <c r="TS10" s="23"/>
      <c r="TT10" s="23"/>
      <c r="TU10" s="23"/>
      <c r="TV10" s="23"/>
      <c r="TW10" s="23"/>
      <c r="TX10" s="23"/>
      <c r="TY10" s="23"/>
      <c r="TZ10" s="23"/>
      <c r="UA10" s="23"/>
      <c r="UB10" s="23"/>
      <c r="UC10" s="23"/>
      <c r="UD10" s="23"/>
      <c r="UE10" s="23"/>
      <c r="UF10" s="23"/>
      <c r="UG10" s="23"/>
      <c r="UH10" s="23"/>
      <c r="UI10" s="23"/>
      <c r="UJ10" s="23"/>
      <c r="UK10" s="23"/>
      <c r="UL10" s="23"/>
      <c r="UM10" s="23"/>
      <c r="UN10" s="23"/>
      <c r="UO10" s="23"/>
      <c r="UP10" s="23"/>
      <c r="UQ10" s="23"/>
      <c r="UR10" s="23"/>
      <c r="US10" s="23"/>
      <c r="UT10" s="23"/>
      <c r="UU10" s="23"/>
      <c r="UV10" s="23"/>
      <c r="UW10" s="23"/>
      <c r="UX10" s="23"/>
      <c r="UY10" s="23"/>
      <c r="UZ10" s="23"/>
      <c r="VA10" s="23"/>
      <c r="VB10" s="23"/>
      <c r="VC10" s="23"/>
      <c r="VD10" s="23"/>
      <c r="VE10" s="23"/>
      <c r="VF10" s="23"/>
      <c r="VG10" s="23"/>
      <c r="VH10" s="23"/>
      <c r="VI10" s="23"/>
      <c r="VJ10" s="23"/>
      <c r="VK10" s="23"/>
      <c r="VL10" s="23"/>
      <c r="VM10" s="23"/>
      <c r="VN10" s="23"/>
      <c r="VO10" s="23"/>
      <c r="VP10" s="23"/>
      <c r="VQ10" s="23"/>
      <c r="VR10" s="23"/>
      <c r="VS10" s="23"/>
      <c r="VT10" s="23"/>
      <c r="VU10" s="23"/>
      <c r="VV10" s="23"/>
      <c r="VW10" s="23"/>
      <c r="VX10" s="23"/>
      <c r="VY10" s="23"/>
      <c r="VZ10" s="23"/>
      <c r="WA10" s="23"/>
      <c r="WB10" s="23"/>
      <c r="WC10" s="23"/>
      <c r="WD10" s="23"/>
      <c r="WE10" s="23"/>
      <c r="WF10" s="23"/>
      <c r="WG10" s="23"/>
      <c r="WH10" s="23"/>
      <c r="WI10" s="23"/>
      <c r="WJ10" s="23"/>
      <c r="WK10" s="23"/>
      <c r="WL10" s="23"/>
      <c r="WM10" s="23"/>
      <c r="WN10" s="23"/>
      <c r="WO10" s="23"/>
      <c r="WP10" s="23"/>
      <c r="WQ10" s="23"/>
      <c r="WR10" s="23"/>
      <c r="WS10" s="23"/>
      <c r="WT10" s="23"/>
      <c r="WU10" s="23"/>
      <c r="WV10" s="23"/>
      <c r="WW10" s="23"/>
      <c r="WX10" s="23"/>
      <c r="WY10" s="23"/>
      <c r="WZ10" s="23"/>
      <c r="XA10" s="23"/>
      <c r="XB10" s="23"/>
      <c r="XC10" s="23"/>
      <c r="XD10" s="23"/>
      <c r="XE10" s="23"/>
      <c r="XF10" s="23"/>
      <c r="XG10" s="23"/>
      <c r="XH10" s="23"/>
      <c r="XI10" s="23"/>
      <c r="XJ10" s="23"/>
      <c r="XK10" s="23"/>
      <c r="XL10" s="23"/>
      <c r="XM10" s="23"/>
      <c r="XN10" s="23"/>
      <c r="XO10" s="23"/>
      <c r="XP10" s="23"/>
      <c r="XQ10" s="23"/>
      <c r="XR10" s="23"/>
      <c r="XS10" s="23"/>
      <c r="XT10" s="23"/>
      <c r="XU10" s="23"/>
      <c r="XV10" s="23"/>
      <c r="XW10" s="23"/>
      <c r="XX10" s="23"/>
      <c r="XY10" s="23"/>
      <c r="XZ10" s="23"/>
      <c r="YA10" s="23"/>
      <c r="YB10" s="23"/>
      <c r="YC10" s="23"/>
      <c r="YD10" s="23"/>
      <c r="YE10" s="23"/>
      <c r="YF10" s="23"/>
      <c r="YG10" s="23"/>
      <c r="YH10" s="23"/>
      <c r="YI10" s="23"/>
      <c r="YJ10" s="23"/>
      <c r="YK10" s="23"/>
      <c r="YL10" s="23"/>
      <c r="YM10" s="23"/>
      <c r="YN10" s="23"/>
      <c r="YO10" s="23"/>
      <c r="YP10" s="23"/>
      <c r="YQ10" s="23"/>
      <c r="YR10" s="23"/>
      <c r="YS10" s="23"/>
      <c r="YT10" s="23"/>
      <c r="YU10" s="23"/>
      <c r="YV10" s="23"/>
      <c r="YW10" s="23"/>
      <c r="YX10" s="23"/>
      <c r="YY10" s="23"/>
      <c r="YZ10" s="23"/>
      <c r="ZA10" s="23"/>
      <c r="ZB10" s="23"/>
      <c r="ZC10" s="23"/>
      <c r="ZD10" s="23"/>
      <c r="ZE10" s="23"/>
      <c r="ZF10" s="53"/>
    </row>
    <row r="11" spans="1:682" s="5" customFormat="1" ht="15" customHeight="1" x14ac:dyDescent="0.25">
      <c r="A11" s="30">
        <v>1000</v>
      </c>
      <c r="B11" s="102" t="s">
        <v>29</v>
      </c>
      <c r="C11" s="103" t="s">
        <v>66</v>
      </c>
      <c r="D11" s="5" t="s">
        <v>65</v>
      </c>
      <c r="E11" s="103" t="s">
        <v>49</v>
      </c>
      <c r="F11" s="5" t="s">
        <v>48</v>
      </c>
      <c r="G11" s="56">
        <v>2</v>
      </c>
      <c r="H11" s="46" t="s">
        <v>43</v>
      </c>
      <c r="I11" s="47"/>
      <c r="J11" s="48">
        <f ca="1">OFFSET(MJ_Initialisation!D45,0,2)</f>
        <v>0</v>
      </c>
      <c r="K11" s="48">
        <f ca="1">OFFSET(MJ_Initialisation!E45,0,2)</f>
        <v>0</v>
      </c>
      <c r="L11" s="48">
        <f ca="1">OFFSET(MJ_Initialisation!F45,0,2)</f>
        <v>0</v>
      </c>
      <c r="M11" s="48">
        <f ca="1">OFFSET(MJ_Initialisation!G45,0,2)</f>
        <v>0</v>
      </c>
      <c r="N11" s="48">
        <f ca="1">OFFSET(MJ_Initialisation!H45,0,2)</f>
        <v>0</v>
      </c>
      <c r="O11" s="48">
        <f ca="1">OFFSET(MJ_Initialisation!I45,0,2)</f>
        <v>0</v>
      </c>
      <c r="P11" s="48">
        <f ca="1">OFFSET(MJ_Initialisation!J45,0,2)</f>
        <v>0</v>
      </c>
      <c r="Q11" s="48">
        <f ca="1">OFFSET(MJ_Initialisation!K45,0,2)</f>
        <v>0</v>
      </c>
      <c r="R11" s="48">
        <f ca="1">OFFSET(MJ_Initialisation!L45,0,2)</f>
        <v>0</v>
      </c>
      <c r="S11" s="48">
        <f ca="1">OFFSET(MJ_Initialisation!M45,0,2)</f>
        <v>0</v>
      </c>
      <c r="T11" s="48">
        <f ca="1">OFFSET(MJ_Initialisation!N45,0,2)</f>
        <v>0</v>
      </c>
      <c r="U11" s="48">
        <f ca="1">OFFSET(MJ_Initialisation!O45,0,2)</f>
        <v>0</v>
      </c>
      <c r="V11" s="48">
        <f ca="1">OFFSET(MJ_Initialisation!P45,0,2)</f>
        <v>0</v>
      </c>
      <c r="W11" s="48">
        <f ca="1">OFFSET(MJ_Initialisation!Q45,0,2)</f>
        <v>0</v>
      </c>
      <c r="X11" s="48">
        <f ca="1">OFFSET(MJ_Initialisation!R45,0,2)</f>
        <v>0</v>
      </c>
      <c r="Y11" s="48">
        <f ca="1">OFFSET(MJ_Initialisation!S45,0,2)</f>
        <v>0</v>
      </c>
      <c r="Z11" s="48">
        <f ca="1">OFFSET(MJ_Initialisation!T45,0,2)</f>
        <v>0</v>
      </c>
      <c r="AA11" s="48">
        <f ca="1">OFFSET(MJ_Initialisation!U45,0,2)</f>
        <v>0</v>
      </c>
      <c r="AB11" s="48">
        <f ca="1">OFFSET(MJ_Initialisation!V45,0,2)</f>
        <v>0</v>
      </c>
      <c r="AC11" s="48">
        <f ca="1">OFFSET(MJ_Initialisation!W45,0,2)</f>
        <v>0</v>
      </c>
      <c r="AD11" s="48">
        <f ca="1">OFFSET(MJ_Initialisation!X45,0,2)</f>
        <v>0</v>
      </c>
      <c r="AE11" s="48">
        <f ca="1">OFFSET(MJ_Initialisation!Y45,0,2)</f>
        <v>0</v>
      </c>
      <c r="AF11" s="48">
        <f ca="1">OFFSET(MJ_Initialisation!Z45,0,2)</f>
        <v>0</v>
      </c>
      <c r="AG11" s="48">
        <f ca="1">OFFSET(MJ_Initialisation!AA45,0,2)</f>
        <v>0</v>
      </c>
      <c r="AH11" s="241"/>
      <c r="AI11" s="241"/>
      <c r="AJ11" s="241"/>
      <c r="AK11" s="241"/>
      <c r="AL11" s="23"/>
      <c r="AM11" s="23"/>
      <c r="AN11" s="23"/>
      <c r="AO11" s="23"/>
      <c r="AP11" s="23"/>
      <c r="AQ11" s="23"/>
      <c r="AR11" s="23"/>
      <c r="AS11" s="23"/>
      <c r="AT11" s="23"/>
      <c r="AU11" s="23"/>
      <c r="AV11" s="23"/>
      <c r="AW11" s="23"/>
      <c r="AX11" s="23"/>
      <c r="AY11" s="23"/>
      <c r="AZ11" s="23"/>
      <c r="BA11" s="23"/>
      <c r="BB11" s="23"/>
      <c r="BC11" s="23"/>
      <c r="BD11" s="23"/>
      <c r="BE11" s="23"/>
      <c r="BF11" s="23"/>
      <c r="BG11" s="23"/>
      <c r="BH11" s="23"/>
      <c r="BI11" s="23"/>
      <c r="BJ11" s="23"/>
      <c r="BK11" s="23"/>
      <c r="BL11" s="23"/>
      <c r="BM11" s="23"/>
      <c r="BN11" s="23"/>
      <c r="BO11" s="23"/>
      <c r="BP11" s="23"/>
      <c r="BQ11" s="23"/>
      <c r="BR11" s="23"/>
      <c r="BS11" s="23"/>
      <c r="BT11" s="23"/>
      <c r="BU11" s="23"/>
      <c r="BV11" s="23"/>
      <c r="BW11" s="23"/>
      <c r="BX11" s="23"/>
      <c r="BY11" s="23"/>
      <c r="BZ11" s="23"/>
      <c r="CA11" s="23"/>
      <c r="CB11" s="23"/>
      <c r="CC11" s="23"/>
      <c r="CD11" s="23"/>
      <c r="CE11" s="23"/>
      <c r="CF11" s="23"/>
      <c r="CG11" s="23"/>
      <c r="CH11" s="23"/>
      <c r="CI11" s="23"/>
      <c r="CJ11" s="23"/>
      <c r="CK11" s="23"/>
      <c r="CL11" s="23"/>
      <c r="CM11" s="23"/>
      <c r="CN11" s="23"/>
      <c r="CO11" s="23"/>
      <c r="CP11" s="23"/>
      <c r="CQ11" s="23"/>
      <c r="CR11" s="23"/>
      <c r="CS11" s="23"/>
      <c r="CT11" s="23"/>
      <c r="CU11" s="23"/>
      <c r="CV11" s="23"/>
      <c r="CW11" s="23"/>
      <c r="CX11" s="23"/>
      <c r="CY11" s="23"/>
      <c r="CZ11" s="23"/>
      <c r="DA11" s="23"/>
      <c r="DB11" s="23"/>
      <c r="DC11" s="23"/>
      <c r="DD11" s="23"/>
      <c r="DE11" s="23"/>
      <c r="DF11" s="23"/>
      <c r="DG11" s="23"/>
      <c r="DH11" s="23"/>
      <c r="DI11" s="23"/>
      <c r="DJ11" s="23"/>
      <c r="DK11" s="23"/>
      <c r="DL11" s="23"/>
      <c r="DM11" s="23"/>
      <c r="DN11" s="23"/>
      <c r="DO11" s="23"/>
      <c r="DP11" s="23"/>
      <c r="DQ11" s="23"/>
      <c r="DR11" s="23"/>
      <c r="DS11" s="23"/>
      <c r="DT11" s="23"/>
      <c r="DU11" s="23"/>
      <c r="DV11" s="23"/>
      <c r="DW11" s="23"/>
      <c r="DX11" s="23"/>
      <c r="DY11" s="23"/>
      <c r="DZ11" s="23"/>
      <c r="EA11" s="23"/>
      <c r="EB11" s="23"/>
      <c r="EC11" s="23"/>
      <c r="ED11" s="23"/>
      <c r="EE11" s="23"/>
      <c r="EF11" s="23"/>
      <c r="EG11" s="23"/>
      <c r="EH11" s="23"/>
      <c r="EI11" s="23"/>
      <c r="EJ11" s="23"/>
      <c r="EK11" s="23"/>
      <c r="EL11" s="23"/>
      <c r="EM11" s="23"/>
      <c r="EN11" s="23"/>
      <c r="EO11" s="23"/>
      <c r="EP11" s="23"/>
      <c r="EQ11" s="23"/>
      <c r="ER11" s="23"/>
      <c r="ES11" s="23"/>
      <c r="ET11" s="23"/>
      <c r="EU11" s="23"/>
      <c r="EV11" s="23"/>
      <c r="EW11" s="23"/>
      <c r="EX11" s="23"/>
      <c r="EY11" s="23"/>
      <c r="EZ11" s="23"/>
      <c r="FA11" s="23"/>
      <c r="FB11" s="23"/>
      <c r="FC11" s="23"/>
      <c r="FD11" s="23"/>
      <c r="FE11" s="23"/>
      <c r="FF11" s="23"/>
      <c r="FG11" s="23"/>
      <c r="FH11" s="23"/>
      <c r="FI11" s="23"/>
      <c r="FJ11" s="23"/>
      <c r="FK11" s="23"/>
      <c r="FL11" s="23"/>
      <c r="FM11" s="23"/>
      <c r="FN11" s="23"/>
      <c r="FO11" s="23"/>
      <c r="FP11" s="23"/>
      <c r="FQ11" s="23"/>
      <c r="FR11" s="23"/>
      <c r="FS11" s="23"/>
      <c r="FT11" s="23"/>
      <c r="FU11" s="23"/>
      <c r="FV11" s="23"/>
      <c r="FW11" s="23"/>
      <c r="FX11" s="23"/>
      <c r="FY11" s="23"/>
      <c r="FZ11" s="23"/>
      <c r="GA11" s="23"/>
      <c r="GB11" s="23"/>
      <c r="GC11" s="23"/>
      <c r="GD11" s="23"/>
      <c r="GE11" s="23"/>
      <c r="GF11" s="23"/>
      <c r="GG11" s="23"/>
      <c r="GH11" s="23"/>
      <c r="GI11" s="23"/>
      <c r="GJ11" s="23"/>
      <c r="GK11" s="23"/>
      <c r="GL11" s="23"/>
      <c r="GM11" s="23"/>
      <c r="GN11" s="23"/>
      <c r="GO11" s="23"/>
      <c r="GP11" s="23"/>
      <c r="GQ11" s="23"/>
      <c r="GR11" s="23"/>
      <c r="GS11" s="23"/>
      <c r="GT11" s="23"/>
      <c r="GU11" s="23"/>
      <c r="GV11" s="23"/>
      <c r="GW11" s="23"/>
      <c r="GX11" s="23"/>
      <c r="GY11" s="23"/>
      <c r="GZ11" s="23"/>
      <c r="HA11" s="23"/>
      <c r="HB11" s="23"/>
      <c r="HC11" s="23"/>
      <c r="HD11" s="23"/>
      <c r="HE11" s="23"/>
      <c r="HF11" s="23"/>
      <c r="HG11" s="23"/>
      <c r="HH11" s="23"/>
      <c r="HI11" s="23"/>
      <c r="HJ11" s="23"/>
      <c r="HK11" s="23"/>
      <c r="HL11" s="23"/>
      <c r="HM11" s="23"/>
      <c r="HN11" s="23"/>
      <c r="HO11" s="23"/>
      <c r="HP11" s="23"/>
      <c r="HQ11" s="23"/>
      <c r="HR11" s="23"/>
      <c r="HS11" s="23"/>
      <c r="HT11" s="23"/>
      <c r="HU11" s="23"/>
      <c r="HV11" s="23"/>
      <c r="HW11" s="23"/>
      <c r="HX11" s="23"/>
      <c r="HY11" s="23"/>
      <c r="HZ11" s="23"/>
      <c r="IA11" s="23"/>
      <c r="IB11" s="23"/>
      <c r="IC11" s="23"/>
      <c r="ID11" s="23"/>
      <c r="IE11" s="23"/>
      <c r="IF11" s="23"/>
      <c r="IG11" s="23"/>
      <c r="IH11" s="23"/>
      <c r="II11" s="23"/>
      <c r="IJ11" s="23"/>
      <c r="IK11" s="23"/>
      <c r="IL11" s="23"/>
      <c r="IM11" s="23"/>
      <c r="IN11" s="23"/>
      <c r="IO11" s="23"/>
      <c r="IP11" s="23"/>
      <c r="IQ11" s="23"/>
      <c r="IR11" s="23"/>
      <c r="IS11" s="23"/>
      <c r="IT11" s="23"/>
      <c r="IU11" s="23"/>
      <c r="IV11" s="23"/>
      <c r="IW11" s="23"/>
      <c r="IX11" s="23"/>
      <c r="IY11" s="23"/>
      <c r="IZ11" s="23"/>
      <c r="JA11" s="23"/>
      <c r="JB11" s="23"/>
      <c r="JC11" s="23"/>
      <c r="JD11" s="23"/>
      <c r="JE11" s="23"/>
      <c r="JF11" s="23"/>
      <c r="JG11" s="23"/>
      <c r="JH11" s="23"/>
      <c r="JI11" s="23"/>
      <c r="JJ11" s="23"/>
      <c r="JK11" s="23"/>
      <c r="JL11" s="23"/>
      <c r="JM11" s="23"/>
      <c r="JN11" s="23"/>
      <c r="JO11" s="23"/>
      <c r="JP11" s="23"/>
      <c r="JQ11" s="23"/>
      <c r="JR11" s="23"/>
      <c r="JS11" s="23"/>
      <c r="JT11" s="23"/>
      <c r="JU11" s="23"/>
      <c r="JV11" s="23"/>
      <c r="JW11" s="23"/>
      <c r="JX11" s="23"/>
      <c r="JY11" s="23"/>
      <c r="JZ11" s="23"/>
      <c r="KA11" s="23"/>
      <c r="KB11" s="23"/>
      <c r="KC11" s="23"/>
      <c r="KD11" s="23"/>
      <c r="KE11" s="23"/>
      <c r="KF11" s="23"/>
      <c r="KG11" s="23"/>
      <c r="KH11" s="23"/>
      <c r="KI11" s="23"/>
      <c r="KJ11" s="23"/>
      <c r="KK11" s="23"/>
      <c r="KL11" s="23"/>
      <c r="KM11" s="23"/>
      <c r="KN11" s="23"/>
      <c r="KO11" s="23"/>
      <c r="KP11" s="23"/>
      <c r="KQ11" s="23"/>
      <c r="KR11" s="23"/>
      <c r="KS11" s="23"/>
      <c r="KT11" s="23"/>
      <c r="KU11" s="23"/>
      <c r="KV11" s="23"/>
      <c r="KW11" s="23"/>
      <c r="KX11" s="23"/>
      <c r="KY11" s="23"/>
      <c r="KZ11" s="23"/>
      <c r="LA11" s="23"/>
      <c r="LB11" s="23"/>
      <c r="LC11" s="23"/>
      <c r="LD11" s="23"/>
      <c r="LE11" s="23"/>
      <c r="LF11" s="23"/>
      <c r="LG11" s="23"/>
      <c r="LH11" s="23"/>
      <c r="LI11" s="23"/>
      <c r="LJ11" s="23"/>
      <c r="LK11" s="23"/>
      <c r="LL11" s="23"/>
      <c r="LM11" s="23"/>
      <c r="LN11" s="23"/>
      <c r="LO11" s="23"/>
      <c r="LP11" s="23"/>
      <c r="LQ11" s="23"/>
      <c r="LR11" s="23"/>
      <c r="LS11" s="23"/>
      <c r="LT11" s="23"/>
      <c r="LU11" s="23"/>
      <c r="LV11" s="23"/>
      <c r="LW11" s="23"/>
      <c r="LX11" s="23"/>
      <c r="LY11" s="23"/>
      <c r="LZ11" s="23"/>
      <c r="MA11" s="23"/>
      <c r="MB11" s="23"/>
      <c r="MC11" s="23"/>
      <c r="MD11" s="23"/>
      <c r="ME11" s="23"/>
      <c r="MF11" s="23"/>
      <c r="MG11" s="23"/>
      <c r="MH11" s="23"/>
      <c r="MI11" s="23"/>
      <c r="MJ11" s="23"/>
      <c r="MK11" s="23"/>
      <c r="ML11" s="23"/>
      <c r="MM11" s="23"/>
      <c r="MN11" s="23"/>
      <c r="MO11" s="23"/>
      <c r="MP11" s="23"/>
      <c r="MQ11" s="23"/>
      <c r="MR11" s="23"/>
      <c r="MS11" s="23"/>
      <c r="MT11" s="23"/>
      <c r="MU11" s="23"/>
      <c r="MV11" s="23"/>
      <c r="MW11" s="23"/>
      <c r="MX11" s="23"/>
      <c r="MY11" s="23"/>
      <c r="MZ11" s="23"/>
      <c r="NA11" s="23"/>
      <c r="NB11" s="23"/>
      <c r="NC11" s="23"/>
      <c r="ND11" s="23"/>
      <c r="NE11" s="23"/>
      <c r="NF11" s="23"/>
      <c r="NG11" s="23"/>
      <c r="NH11" s="23"/>
      <c r="NI11" s="23"/>
      <c r="NJ11" s="23"/>
      <c r="NK11" s="23"/>
      <c r="NL11" s="23"/>
      <c r="NM11" s="23"/>
      <c r="NN11" s="23"/>
      <c r="NO11" s="23"/>
      <c r="NP11" s="23"/>
      <c r="NQ11" s="23"/>
      <c r="NR11" s="23"/>
      <c r="NS11" s="23"/>
      <c r="NT11" s="23"/>
      <c r="NU11" s="23"/>
      <c r="NV11" s="23"/>
      <c r="NW11" s="23"/>
      <c r="NX11" s="23"/>
      <c r="NY11" s="23"/>
      <c r="NZ11" s="23"/>
      <c r="OA11" s="23"/>
      <c r="OB11" s="23"/>
      <c r="OC11" s="23"/>
      <c r="OD11" s="23"/>
      <c r="OE11" s="23"/>
      <c r="OF11" s="23"/>
      <c r="OG11" s="23"/>
      <c r="OH11" s="23"/>
      <c r="OI11" s="23"/>
      <c r="OJ11" s="23"/>
      <c r="OK11" s="23"/>
      <c r="OL11" s="23"/>
      <c r="OM11" s="23"/>
      <c r="ON11" s="23"/>
      <c r="OO11" s="23"/>
      <c r="OP11" s="23"/>
      <c r="OQ11" s="23"/>
      <c r="OR11" s="23"/>
      <c r="OS11" s="23"/>
      <c r="OT11" s="23"/>
      <c r="OU11" s="23"/>
      <c r="OV11" s="23"/>
      <c r="OW11" s="23"/>
      <c r="OX11" s="23"/>
      <c r="OY11" s="23"/>
      <c r="OZ11" s="23"/>
      <c r="PA11" s="23"/>
      <c r="PB11" s="23"/>
      <c r="PC11" s="23"/>
      <c r="PD11" s="23"/>
      <c r="PE11" s="23"/>
      <c r="PF11" s="23"/>
      <c r="PG11" s="23"/>
      <c r="PH11" s="23"/>
      <c r="PI11" s="23"/>
      <c r="PJ11" s="23"/>
      <c r="PK11" s="23"/>
      <c r="PL11" s="23"/>
      <c r="PM11" s="23"/>
      <c r="PN11" s="23"/>
      <c r="PO11" s="23"/>
      <c r="PP11" s="23"/>
      <c r="PQ11" s="23"/>
      <c r="PR11" s="23"/>
      <c r="PS11" s="23"/>
      <c r="PT11" s="23"/>
      <c r="PU11" s="23"/>
      <c r="PV11" s="23"/>
      <c r="PW11" s="23"/>
      <c r="PX11" s="23"/>
      <c r="PY11" s="23"/>
      <c r="PZ11" s="23"/>
      <c r="QA11" s="23"/>
      <c r="QB11" s="23"/>
      <c r="QC11" s="23"/>
      <c r="QD11" s="23"/>
      <c r="QE11" s="23"/>
      <c r="QF11" s="23"/>
      <c r="QG11" s="23"/>
      <c r="QH11" s="23"/>
      <c r="QI11" s="23"/>
      <c r="QJ11" s="23"/>
      <c r="QK11" s="23"/>
      <c r="QL11" s="23"/>
      <c r="QM11" s="23"/>
      <c r="QN11" s="23"/>
      <c r="QO11" s="23"/>
      <c r="QP11" s="23"/>
      <c r="QQ11" s="23"/>
      <c r="QR11" s="23"/>
      <c r="QS11" s="23"/>
      <c r="QT11" s="23"/>
      <c r="QU11" s="23"/>
      <c r="QV11" s="23"/>
      <c r="QW11" s="23"/>
      <c r="QX11" s="23"/>
      <c r="QY11" s="23"/>
      <c r="QZ11" s="23"/>
      <c r="RA11" s="23"/>
      <c r="RB11" s="23"/>
      <c r="RC11" s="23"/>
      <c r="RD11" s="23"/>
      <c r="RE11" s="23"/>
      <c r="RF11" s="23"/>
      <c r="RG11" s="23"/>
      <c r="RH11" s="23"/>
      <c r="RI11" s="23"/>
      <c r="RJ11" s="23"/>
      <c r="RK11" s="23"/>
      <c r="RL11" s="23"/>
      <c r="RM11" s="23"/>
      <c r="RN11" s="23"/>
      <c r="RO11" s="23"/>
      <c r="RP11" s="23"/>
      <c r="RQ11" s="23"/>
      <c r="RR11" s="23"/>
      <c r="RS11" s="23"/>
      <c r="RT11" s="23"/>
      <c r="RU11" s="23"/>
      <c r="RV11" s="23"/>
      <c r="RW11" s="23"/>
      <c r="RX11" s="23"/>
      <c r="RY11" s="23"/>
      <c r="RZ11" s="23"/>
      <c r="SA11" s="23"/>
      <c r="SB11" s="23"/>
      <c r="SC11" s="23"/>
      <c r="SD11" s="23"/>
      <c r="SE11" s="23"/>
      <c r="SF11" s="23"/>
      <c r="SG11" s="23"/>
      <c r="SH11" s="23"/>
      <c r="SI11" s="23"/>
      <c r="SJ11" s="23"/>
      <c r="SK11" s="23"/>
      <c r="SL11" s="23"/>
      <c r="SM11" s="23"/>
      <c r="SN11" s="23"/>
      <c r="SO11" s="23"/>
      <c r="SP11" s="23"/>
      <c r="SQ11" s="23"/>
      <c r="SR11" s="23"/>
      <c r="SS11" s="23"/>
      <c r="ST11" s="23"/>
      <c r="SU11" s="23"/>
      <c r="SV11" s="23"/>
      <c r="SW11" s="23"/>
      <c r="SX11" s="23"/>
      <c r="SY11" s="23"/>
      <c r="SZ11" s="23"/>
      <c r="TA11" s="23"/>
      <c r="TB11" s="23"/>
      <c r="TC11" s="23"/>
      <c r="TD11" s="23"/>
      <c r="TE11" s="23"/>
      <c r="TF11" s="23"/>
      <c r="TG11" s="23"/>
      <c r="TH11" s="23"/>
      <c r="TI11" s="23"/>
      <c r="TJ11" s="23"/>
      <c r="TK11" s="23"/>
      <c r="TL11" s="23"/>
      <c r="TM11" s="23"/>
      <c r="TN11" s="23"/>
      <c r="TO11" s="23"/>
      <c r="TP11" s="23"/>
      <c r="TQ11" s="23"/>
      <c r="TR11" s="23"/>
      <c r="TS11" s="23"/>
      <c r="TT11" s="23"/>
      <c r="TU11" s="23"/>
      <c r="TV11" s="23"/>
      <c r="TW11" s="23"/>
      <c r="TX11" s="23"/>
      <c r="TY11" s="23"/>
      <c r="TZ11" s="23"/>
      <c r="UA11" s="23"/>
      <c r="UB11" s="23"/>
      <c r="UC11" s="23"/>
      <c r="UD11" s="23"/>
      <c r="UE11" s="23"/>
      <c r="UF11" s="23"/>
      <c r="UG11" s="23"/>
      <c r="UH11" s="23"/>
      <c r="UI11" s="23"/>
      <c r="UJ11" s="23"/>
      <c r="UK11" s="23"/>
      <c r="UL11" s="23"/>
      <c r="UM11" s="23"/>
      <c r="UN11" s="23"/>
      <c r="UO11" s="23"/>
      <c r="UP11" s="23"/>
      <c r="UQ11" s="23"/>
      <c r="UR11" s="23"/>
      <c r="US11" s="23"/>
      <c r="UT11" s="23"/>
      <c r="UU11" s="23"/>
      <c r="UV11" s="23"/>
      <c r="UW11" s="23"/>
      <c r="UX11" s="23"/>
      <c r="UY11" s="23"/>
      <c r="UZ11" s="23"/>
      <c r="VA11" s="23"/>
      <c r="VB11" s="23"/>
      <c r="VC11" s="23"/>
      <c r="VD11" s="23"/>
      <c r="VE11" s="23"/>
      <c r="VF11" s="23"/>
      <c r="VG11" s="23"/>
      <c r="VH11" s="23"/>
      <c r="VI11" s="23"/>
      <c r="VJ11" s="23"/>
      <c r="VK11" s="23"/>
      <c r="VL11" s="23"/>
      <c r="VM11" s="23"/>
      <c r="VN11" s="23"/>
      <c r="VO11" s="23"/>
      <c r="VP11" s="23"/>
      <c r="VQ11" s="23"/>
      <c r="VR11" s="23"/>
      <c r="VS11" s="23"/>
      <c r="VT11" s="23"/>
      <c r="VU11" s="23"/>
      <c r="VV11" s="23"/>
      <c r="VW11" s="23"/>
      <c r="VX11" s="23"/>
      <c r="VY11" s="23"/>
      <c r="VZ11" s="23"/>
      <c r="WA11" s="23"/>
      <c r="WB11" s="23"/>
      <c r="WC11" s="23"/>
      <c r="WD11" s="23"/>
      <c r="WE11" s="23"/>
      <c r="WF11" s="23"/>
      <c r="WG11" s="23"/>
      <c r="WH11" s="23"/>
      <c r="WI11" s="23"/>
      <c r="WJ11" s="23"/>
      <c r="WK11" s="23"/>
      <c r="WL11" s="23"/>
      <c r="WM11" s="23"/>
      <c r="WN11" s="23"/>
      <c r="WO11" s="23"/>
      <c r="WP11" s="23"/>
      <c r="WQ11" s="23"/>
      <c r="WR11" s="23"/>
      <c r="WS11" s="23"/>
      <c r="WT11" s="23"/>
      <c r="WU11" s="23"/>
      <c r="WV11" s="23"/>
      <c r="WW11" s="23"/>
      <c r="WX11" s="23"/>
      <c r="WY11" s="23"/>
      <c r="WZ11" s="23"/>
      <c r="XA11" s="23"/>
      <c r="XB11" s="23"/>
      <c r="XC11" s="23"/>
      <c r="XD11" s="23"/>
      <c r="XE11" s="23"/>
      <c r="XF11" s="23"/>
      <c r="XG11" s="23"/>
      <c r="XH11" s="23"/>
      <c r="XI11" s="23"/>
      <c r="XJ11" s="23"/>
      <c r="XK11" s="23"/>
      <c r="XL11" s="23"/>
      <c r="XM11" s="23"/>
      <c r="XN11" s="23"/>
      <c r="XO11" s="23"/>
      <c r="XP11" s="23"/>
      <c r="XQ11" s="23"/>
      <c r="XR11" s="23"/>
      <c r="XS11" s="23"/>
      <c r="XT11" s="23"/>
      <c r="XU11" s="23"/>
      <c r="XV11" s="23"/>
      <c r="XW11" s="23"/>
      <c r="XX11" s="23"/>
      <c r="XY11" s="23"/>
      <c r="XZ11" s="23"/>
      <c r="YA11" s="23"/>
      <c r="YB11" s="23"/>
      <c r="YC11" s="23"/>
      <c r="YD11" s="23"/>
      <c r="YE11" s="23"/>
      <c r="YF11" s="23"/>
      <c r="YG11" s="23"/>
      <c r="YH11" s="23"/>
      <c r="YI11" s="23"/>
      <c r="YJ11" s="23"/>
      <c r="YK11" s="23"/>
      <c r="YL11" s="23"/>
      <c r="YM11" s="23"/>
      <c r="YN11" s="23"/>
      <c r="YO11" s="23"/>
      <c r="YP11" s="23"/>
      <c r="YQ11" s="23"/>
      <c r="YR11" s="23"/>
      <c r="YS11" s="23"/>
      <c r="YT11" s="23"/>
      <c r="YU11" s="23"/>
      <c r="YV11" s="23"/>
      <c r="YW11" s="23"/>
      <c r="YX11" s="23"/>
      <c r="YY11" s="23"/>
      <c r="YZ11" s="23"/>
      <c r="ZA11" s="23"/>
      <c r="ZB11" s="23"/>
      <c r="ZC11" s="23"/>
      <c r="ZD11" s="23"/>
      <c r="ZE11" s="33"/>
    </row>
    <row r="12" spans="1:682" s="50" customFormat="1" ht="15" customHeight="1" x14ac:dyDescent="0.25">
      <c r="A12" s="30">
        <v>1000</v>
      </c>
      <c r="B12" s="102" t="s">
        <v>29</v>
      </c>
      <c r="C12" s="103" t="s">
        <v>66</v>
      </c>
      <c r="D12" s="5" t="s">
        <v>65</v>
      </c>
      <c r="E12" s="103" t="s">
        <v>49</v>
      </c>
      <c r="F12" s="5" t="s">
        <v>48</v>
      </c>
      <c r="G12" s="56">
        <v>2</v>
      </c>
      <c r="H12" s="106" t="s">
        <v>47</v>
      </c>
      <c r="I12" s="47"/>
      <c r="J12" s="97">
        <f ca="1">J10</f>
        <v>460</v>
      </c>
      <c r="K12" s="97">
        <f ca="1">K10</f>
        <v>327</v>
      </c>
      <c r="L12" s="87">
        <f ca="1">ROUNDDOWN(IF(L$8&gt;L$5, MIN( ((L9+K14)/L$8)*L$5, MAX(L9+K14,L10)), MAX(L9+K14,L10)),0)</f>
        <v>290</v>
      </c>
      <c r="M12" s="246">
        <f t="shared" ref="M12:AG12" ca="1" si="2">ROUNDDOWN(IF(M$8&gt;M$5, MIN( ((M9+L14)/M$8)*M$5, MAX(M9+L14,M10)), MAX(M9+L14,M10)),0)</f>
        <v>483</v>
      </c>
      <c r="N12" s="246">
        <f t="shared" ca="1" si="2"/>
        <v>680</v>
      </c>
      <c r="O12" s="246">
        <f t="shared" ca="1" si="2"/>
        <v>448</v>
      </c>
      <c r="P12" s="246">
        <f t="shared" ca="1" si="2"/>
        <v>762</v>
      </c>
      <c r="Q12" s="246">
        <f t="shared" ca="1" si="2"/>
        <v>600</v>
      </c>
      <c r="R12" s="246">
        <f t="shared" ca="1" si="2"/>
        <v>530</v>
      </c>
      <c r="S12" s="246">
        <f t="shared" ca="1" si="2"/>
        <v>860</v>
      </c>
      <c r="T12" s="246">
        <f t="shared" ca="1" si="2"/>
        <v>390</v>
      </c>
      <c r="U12" s="246">
        <f t="shared" ca="1" si="2"/>
        <v>620</v>
      </c>
      <c r="V12" s="246">
        <f t="shared" ca="1" si="2"/>
        <v>434</v>
      </c>
      <c r="W12" s="246">
        <f t="shared" ca="1" si="2"/>
        <v>686</v>
      </c>
      <c r="X12" s="246">
        <f t="shared" ca="1" si="2"/>
        <v>550</v>
      </c>
      <c r="Y12" s="246">
        <f t="shared" ca="1" si="2"/>
        <v>620</v>
      </c>
      <c r="Z12" s="246">
        <f t="shared" ca="1" si="2"/>
        <v>1000</v>
      </c>
      <c r="AA12" s="246">
        <f t="shared" ca="1" si="2"/>
        <v>710</v>
      </c>
      <c r="AB12" s="246">
        <f t="shared" ca="1" si="2"/>
        <v>450</v>
      </c>
      <c r="AC12" s="246">
        <f t="shared" ca="1" si="2"/>
        <v>237</v>
      </c>
      <c r="AD12" s="246">
        <f t="shared" ca="1" si="2"/>
        <v>256</v>
      </c>
      <c r="AE12" s="246">
        <f t="shared" ca="1" si="2"/>
        <v>132</v>
      </c>
      <c r="AF12" s="246">
        <f t="shared" ca="1" si="2"/>
        <v>0</v>
      </c>
      <c r="AG12" s="246">
        <f t="shared" ca="1" si="2"/>
        <v>0</v>
      </c>
      <c r="AH12" s="246"/>
      <c r="AI12" s="246"/>
      <c r="AJ12" s="246"/>
      <c r="AK12" s="246"/>
      <c r="AL12" s="23"/>
      <c r="AM12" s="23"/>
      <c r="AN12" s="23"/>
      <c r="AO12" s="23"/>
      <c r="AP12" s="23"/>
      <c r="AQ12" s="23"/>
      <c r="AR12" s="23"/>
      <c r="AS12" s="23"/>
      <c r="AT12" s="23"/>
      <c r="AU12" s="23"/>
      <c r="AV12" s="23"/>
      <c r="AW12" s="23"/>
      <c r="AX12" s="23"/>
      <c r="AY12" s="23"/>
      <c r="AZ12" s="23"/>
      <c r="BA12" s="23"/>
      <c r="BB12" s="23"/>
      <c r="BC12" s="23"/>
      <c r="BD12" s="23"/>
      <c r="BE12" s="23"/>
      <c r="BF12" s="23"/>
      <c r="BG12" s="23"/>
      <c r="BH12" s="23"/>
      <c r="BI12" s="23"/>
      <c r="BJ12" s="23"/>
      <c r="BK12" s="23"/>
      <c r="BL12" s="23"/>
      <c r="BM12" s="23"/>
      <c r="BN12" s="23"/>
      <c r="BO12" s="23"/>
      <c r="BP12" s="23"/>
      <c r="BQ12" s="23"/>
      <c r="BR12" s="23"/>
      <c r="BS12" s="23"/>
      <c r="BT12" s="23"/>
      <c r="BU12" s="23"/>
      <c r="BV12" s="23"/>
      <c r="BW12" s="23"/>
      <c r="BX12" s="23"/>
      <c r="BY12" s="23"/>
      <c r="BZ12" s="23"/>
      <c r="CA12" s="23"/>
      <c r="CB12" s="23"/>
      <c r="CC12" s="23"/>
      <c r="CD12" s="23"/>
      <c r="CE12" s="23"/>
      <c r="CF12" s="23"/>
      <c r="CG12" s="23"/>
      <c r="CH12" s="23"/>
      <c r="CI12" s="23"/>
      <c r="CJ12" s="23"/>
      <c r="CK12" s="23"/>
      <c r="CL12" s="23"/>
      <c r="CM12" s="23"/>
      <c r="CN12" s="23"/>
      <c r="CO12" s="23"/>
      <c r="CP12" s="23"/>
      <c r="CQ12" s="23"/>
      <c r="CR12" s="23"/>
      <c r="CS12" s="23"/>
      <c r="CT12" s="23"/>
      <c r="CU12" s="23"/>
      <c r="CV12" s="23"/>
      <c r="CW12" s="23"/>
      <c r="CX12" s="23"/>
      <c r="CY12" s="23"/>
      <c r="CZ12" s="23"/>
      <c r="DA12" s="23"/>
      <c r="DB12" s="23"/>
      <c r="DC12" s="23"/>
      <c r="DD12" s="23"/>
      <c r="DE12" s="23"/>
      <c r="DF12" s="23"/>
      <c r="DG12" s="23"/>
      <c r="DH12" s="23"/>
      <c r="DI12" s="23"/>
      <c r="DJ12" s="23"/>
      <c r="DK12" s="23"/>
      <c r="DL12" s="23"/>
      <c r="DM12" s="23"/>
      <c r="DN12" s="23"/>
      <c r="DO12" s="23"/>
      <c r="DP12" s="23"/>
      <c r="DQ12" s="23"/>
      <c r="DR12" s="23"/>
      <c r="DS12" s="23"/>
      <c r="DT12" s="23"/>
      <c r="DU12" s="23"/>
      <c r="DV12" s="23"/>
      <c r="DW12" s="23"/>
      <c r="DX12" s="23"/>
      <c r="DY12" s="23"/>
      <c r="DZ12" s="23"/>
      <c r="EA12" s="23"/>
      <c r="EB12" s="23"/>
      <c r="EC12" s="23"/>
      <c r="ED12" s="23"/>
      <c r="EE12" s="23"/>
      <c r="EF12" s="23"/>
      <c r="EG12" s="23"/>
      <c r="EH12" s="23"/>
      <c r="EI12" s="23"/>
      <c r="EJ12" s="23"/>
      <c r="EK12" s="23"/>
      <c r="EL12" s="23"/>
      <c r="EM12" s="23"/>
      <c r="EN12" s="23"/>
      <c r="EO12" s="23"/>
      <c r="EP12" s="23"/>
      <c r="EQ12" s="23"/>
      <c r="ER12" s="23"/>
      <c r="ES12" s="23"/>
      <c r="ET12" s="23"/>
      <c r="EU12" s="23"/>
      <c r="EV12" s="23"/>
      <c r="EW12" s="23"/>
      <c r="EX12" s="23"/>
      <c r="EY12" s="23"/>
      <c r="EZ12" s="23"/>
      <c r="FA12" s="23"/>
      <c r="FB12" s="23"/>
      <c r="FC12" s="23"/>
      <c r="FD12" s="23"/>
      <c r="FE12" s="23"/>
      <c r="FF12" s="23"/>
      <c r="FG12" s="23"/>
      <c r="FH12" s="23"/>
      <c r="FI12" s="23"/>
      <c r="FJ12" s="23"/>
      <c r="FK12" s="23"/>
      <c r="FL12" s="23"/>
      <c r="FM12" s="23"/>
      <c r="FN12" s="23"/>
      <c r="FO12" s="23"/>
      <c r="FP12" s="23"/>
      <c r="FQ12" s="23"/>
      <c r="FR12" s="23"/>
      <c r="FS12" s="23"/>
      <c r="FT12" s="23"/>
      <c r="FU12" s="23"/>
      <c r="FV12" s="23"/>
      <c r="FW12" s="23"/>
      <c r="FX12" s="23"/>
      <c r="FY12" s="23"/>
      <c r="FZ12" s="23"/>
      <c r="GA12" s="23"/>
      <c r="GB12" s="23"/>
      <c r="GC12" s="23"/>
      <c r="GD12" s="23"/>
      <c r="GE12" s="23"/>
      <c r="GF12" s="23"/>
      <c r="GG12" s="23"/>
      <c r="GH12" s="23"/>
      <c r="GI12" s="23"/>
      <c r="GJ12" s="23"/>
      <c r="GK12" s="23"/>
      <c r="GL12" s="23"/>
      <c r="GM12" s="23"/>
      <c r="GN12" s="23"/>
      <c r="GO12" s="23"/>
      <c r="GP12" s="23"/>
      <c r="GQ12" s="23"/>
      <c r="GR12" s="23"/>
      <c r="GS12" s="23"/>
      <c r="GT12" s="23"/>
      <c r="GU12" s="23"/>
      <c r="GV12" s="23"/>
      <c r="GW12" s="23"/>
      <c r="GX12" s="23"/>
      <c r="GY12" s="23"/>
      <c r="GZ12" s="23"/>
      <c r="HA12" s="23"/>
      <c r="HB12" s="23"/>
      <c r="HC12" s="23"/>
      <c r="HD12" s="23"/>
      <c r="HE12" s="23"/>
      <c r="HF12" s="23"/>
      <c r="HG12" s="23"/>
      <c r="HH12" s="23"/>
      <c r="HI12" s="23"/>
      <c r="HJ12" s="23"/>
      <c r="HK12" s="23"/>
      <c r="HL12" s="23"/>
      <c r="HM12" s="23"/>
      <c r="HN12" s="23"/>
      <c r="HO12" s="23"/>
      <c r="HP12" s="23"/>
      <c r="HQ12" s="23"/>
      <c r="HR12" s="23"/>
      <c r="HS12" s="23"/>
      <c r="HT12" s="23"/>
      <c r="HU12" s="23"/>
      <c r="HV12" s="23"/>
      <c r="HW12" s="23"/>
      <c r="HX12" s="23"/>
      <c r="HY12" s="23"/>
      <c r="HZ12" s="23"/>
      <c r="IA12" s="23"/>
      <c r="IB12" s="23"/>
      <c r="IC12" s="23"/>
      <c r="ID12" s="23"/>
      <c r="IE12" s="23"/>
      <c r="IF12" s="23"/>
      <c r="IG12" s="23"/>
      <c r="IH12" s="23"/>
      <c r="II12" s="23"/>
      <c r="IJ12" s="23"/>
      <c r="IK12" s="23"/>
      <c r="IL12" s="23"/>
      <c r="IM12" s="23"/>
      <c r="IN12" s="23"/>
      <c r="IO12" s="23"/>
      <c r="IP12" s="23"/>
      <c r="IQ12" s="23"/>
      <c r="IR12" s="23"/>
      <c r="IS12" s="23"/>
      <c r="IT12" s="23"/>
      <c r="IU12" s="23"/>
      <c r="IV12" s="23"/>
      <c r="IW12" s="23"/>
      <c r="IX12" s="23"/>
      <c r="IY12" s="23"/>
      <c r="IZ12" s="23"/>
      <c r="JA12" s="23"/>
      <c r="JB12" s="23"/>
      <c r="JC12" s="23"/>
      <c r="JD12" s="23"/>
      <c r="JE12" s="23"/>
      <c r="JF12" s="23"/>
      <c r="JG12" s="23"/>
      <c r="JH12" s="23"/>
      <c r="JI12" s="23"/>
      <c r="JJ12" s="23"/>
      <c r="JK12" s="23"/>
      <c r="JL12" s="23"/>
      <c r="JM12" s="23"/>
      <c r="JN12" s="23"/>
      <c r="JO12" s="23"/>
      <c r="JP12" s="23"/>
      <c r="JQ12" s="23"/>
      <c r="JR12" s="23"/>
      <c r="JS12" s="23"/>
      <c r="JT12" s="23"/>
      <c r="JU12" s="23"/>
      <c r="JV12" s="23"/>
      <c r="JW12" s="23"/>
      <c r="JX12" s="23"/>
      <c r="JY12" s="23"/>
      <c r="JZ12" s="23"/>
      <c r="KA12" s="23"/>
      <c r="KB12" s="23"/>
      <c r="KC12" s="23"/>
      <c r="KD12" s="23"/>
      <c r="KE12" s="23"/>
      <c r="KF12" s="23"/>
      <c r="KG12" s="23"/>
      <c r="KH12" s="23"/>
      <c r="KI12" s="23"/>
      <c r="KJ12" s="23"/>
      <c r="KK12" s="23"/>
      <c r="KL12" s="23"/>
      <c r="KM12" s="23"/>
      <c r="KN12" s="23"/>
      <c r="KO12" s="23"/>
      <c r="KP12" s="23"/>
      <c r="KQ12" s="23"/>
      <c r="KR12" s="23"/>
      <c r="KS12" s="23"/>
      <c r="KT12" s="23"/>
      <c r="KU12" s="23"/>
      <c r="KV12" s="23"/>
      <c r="KW12" s="23"/>
      <c r="KX12" s="23"/>
      <c r="KY12" s="23"/>
      <c r="KZ12" s="23"/>
      <c r="LA12" s="23"/>
      <c r="LB12" s="23"/>
      <c r="LC12" s="23"/>
      <c r="LD12" s="23"/>
      <c r="LE12" s="23"/>
      <c r="LF12" s="23"/>
      <c r="LG12" s="23"/>
      <c r="LH12" s="23"/>
      <c r="LI12" s="23"/>
      <c r="LJ12" s="23"/>
      <c r="LK12" s="23"/>
      <c r="LL12" s="23"/>
      <c r="LM12" s="23"/>
      <c r="LN12" s="23"/>
      <c r="LO12" s="23"/>
      <c r="LP12" s="23"/>
      <c r="LQ12" s="23"/>
      <c r="LR12" s="23"/>
      <c r="LS12" s="23"/>
      <c r="LT12" s="23"/>
      <c r="LU12" s="23"/>
      <c r="LV12" s="23"/>
      <c r="LW12" s="23"/>
      <c r="LX12" s="23"/>
      <c r="LY12" s="23"/>
      <c r="LZ12" s="23"/>
      <c r="MA12" s="23"/>
      <c r="MB12" s="23"/>
      <c r="MC12" s="23"/>
      <c r="MD12" s="23"/>
      <c r="ME12" s="23"/>
      <c r="MF12" s="23"/>
      <c r="MG12" s="23"/>
      <c r="MH12" s="23"/>
      <c r="MI12" s="23"/>
      <c r="MJ12" s="23"/>
      <c r="MK12" s="23"/>
      <c r="ML12" s="23"/>
      <c r="MM12" s="23"/>
      <c r="MN12" s="23"/>
      <c r="MO12" s="23"/>
      <c r="MP12" s="23"/>
      <c r="MQ12" s="23"/>
      <c r="MR12" s="23"/>
      <c r="MS12" s="23"/>
      <c r="MT12" s="23"/>
      <c r="MU12" s="23"/>
      <c r="MV12" s="23"/>
      <c r="MW12" s="23"/>
      <c r="MX12" s="23"/>
      <c r="MY12" s="23"/>
      <c r="MZ12" s="23"/>
      <c r="NA12" s="23"/>
      <c r="NB12" s="23"/>
      <c r="NC12" s="23"/>
      <c r="ND12" s="23"/>
      <c r="NE12" s="23"/>
      <c r="NF12" s="23"/>
      <c r="NG12" s="23"/>
      <c r="NH12" s="23"/>
      <c r="NI12" s="23"/>
      <c r="NJ12" s="23"/>
      <c r="NK12" s="23"/>
      <c r="NL12" s="23"/>
      <c r="NM12" s="23"/>
      <c r="NN12" s="23"/>
      <c r="NO12" s="23"/>
      <c r="NP12" s="23"/>
      <c r="NQ12" s="23"/>
      <c r="NR12" s="23"/>
      <c r="NS12" s="23"/>
      <c r="NT12" s="23"/>
      <c r="NU12" s="23"/>
      <c r="NV12" s="23"/>
      <c r="NW12" s="23"/>
      <c r="NX12" s="23"/>
      <c r="NY12" s="23"/>
      <c r="NZ12" s="23"/>
      <c r="OA12" s="23"/>
      <c r="OB12" s="23"/>
      <c r="OC12" s="23"/>
      <c r="OD12" s="23"/>
      <c r="OE12" s="23"/>
      <c r="OF12" s="23"/>
      <c r="OG12" s="23"/>
      <c r="OH12" s="23"/>
      <c r="OI12" s="23"/>
      <c r="OJ12" s="23"/>
      <c r="OK12" s="23"/>
      <c r="OL12" s="23"/>
      <c r="OM12" s="23"/>
      <c r="ON12" s="23"/>
      <c r="OO12" s="23"/>
      <c r="OP12" s="23"/>
      <c r="OQ12" s="23"/>
      <c r="OR12" s="23"/>
      <c r="OS12" s="23"/>
      <c r="OT12" s="23"/>
      <c r="OU12" s="23"/>
      <c r="OV12" s="23"/>
      <c r="OW12" s="23"/>
      <c r="OX12" s="23"/>
      <c r="OY12" s="23"/>
      <c r="OZ12" s="23"/>
      <c r="PA12" s="23"/>
      <c r="PB12" s="23"/>
      <c r="PC12" s="23"/>
      <c r="PD12" s="23"/>
      <c r="PE12" s="23"/>
      <c r="PF12" s="23"/>
      <c r="PG12" s="23"/>
      <c r="PH12" s="23"/>
      <c r="PI12" s="23"/>
      <c r="PJ12" s="23"/>
      <c r="PK12" s="23"/>
      <c r="PL12" s="23"/>
      <c r="PM12" s="23"/>
      <c r="PN12" s="23"/>
      <c r="PO12" s="23"/>
      <c r="PP12" s="23"/>
      <c r="PQ12" s="23"/>
      <c r="PR12" s="23"/>
      <c r="PS12" s="23"/>
      <c r="PT12" s="23"/>
      <c r="PU12" s="23"/>
      <c r="PV12" s="23"/>
      <c r="PW12" s="23"/>
      <c r="PX12" s="23"/>
      <c r="PY12" s="23"/>
      <c r="PZ12" s="23"/>
      <c r="QA12" s="23"/>
      <c r="QB12" s="23"/>
      <c r="QC12" s="23"/>
      <c r="QD12" s="23"/>
      <c r="QE12" s="23"/>
      <c r="QF12" s="23"/>
      <c r="QG12" s="23"/>
      <c r="QH12" s="23"/>
      <c r="QI12" s="23"/>
      <c r="QJ12" s="23"/>
      <c r="QK12" s="23"/>
      <c r="QL12" s="23"/>
      <c r="QM12" s="23"/>
      <c r="QN12" s="23"/>
      <c r="QO12" s="23"/>
      <c r="QP12" s="23"/>
      <c r="QQ12" s="23"/>
      <c r="QR12" s="23"/>
      <c r="QS12" s="23"/>
      <c r="QT12" s="23"/>
      <c r="QU12" s="23"/>
      <c r="QV12" s="23"/>
      <c r="QW12" s="23"/>
      <c r="QX12" s="23"/>
      <c r="QY12" s="23"/>
      <c r="QZ12" s="23"/>
      <c r="RA12" s="23"/>
      <c r="RB12" s="23"/>
      <c r="RC12" s="23"/>
      <c r="RD12" s="23"/>
      <c r="RE12" s="23"/>
      <c r="RF12" s="23"/>
      <c r="RG12" s="23"/>
      <c r="RH12" s="23"/>
      <c r="RI12" s="23"/>
      <c r="RJ12" s="23"/>
      <c r="RK12" s="23"/>
      <c r="RL12" s="23"/>
      <c r="RM12" s="23"/>
      <c r="RN12" s="23"/>
      <c r="RO12" s="23"/>
      <c r="RP12" s="23"/>
      <c r="RQ12" s="23"/>
      <c r="RR12" s="23"/>
      <c r="RS12" s="23"/>
      <c r="RT12" s="23"/>
      <c r="RU12" s="23"/>
      <c r="RV12" s="23"/>
      <c r="RW12" s="23"/>
      <c r="RX12" s="23"/>
      <c r="RY12" s="23"/>
      <c r="RZ12" s="23"/>
      <c r="SA12" s="23"/>
      <c r="SB12" s="23"/>
      <c r="SC12" s="23"/>
      <c r="SD12" s="23"/>
      <c r="SE12" s="23"/>
      <c r="SF12" s="23"/>
      <c r="SG12" s="23"/>
      <c r="SH12" s="23"/>
      <c r="SI12" s="23"/>
      <c r="SJ12" s="23"/>
      <c r="SK12" s="23"/>
      <c r="SL12" s="23"/>
      <c r="SM12" s="23"/>
      <c r="SN12" s="23"/>
      <c r="SO12" s="23"/>
      <c r="SP12" s="23"/>
      <c r="SQ12" s="23"/>
      <c r="SR12" s="23"/>
      <c r="SS12" s="23"/>
      <c r="ST12" s="23"/>
      <c r="SU12" s="23"/>
      <c r="SV12" s="23"/>
      <c r="SW12" s="23"/>
      <c r="SX12" s="23"/>
      <c r="SY12" s="23"/>
      <c r="SZ12" s="23"/>
      <c r="TA12" s="23"/>
      <c r="TB12" s="23"/>
      <c r="TC12" s="23"/>
      <c r="TD12" s="23"/>
      <c r="TE12" s="23"/>
      <c r="TF12" s="23"/>
      <c r="TG12" s="23"/>
      <c r="TH12" s="23"/>
      <c r="TI12" s="23"/>
      <c r="TJ12" s="23"/>
      <c r="TK12" s="23"/>
      <c r="TL12" s="23"/>
      <c r="TM12" s="23"/>
      <c r="TN12" s="23"/>
      <c r="TO12" s="23"/>
      <c r="TP12" s="23"/>
      <c r="TQ12" s="23"/>
      <c r="TR12" s="23"/>
      <c r="TS12" s="23"/>
      <c r="TT12" s="23"/>
      <c r="TU12" s="23"/>
      <c r="TV12" s="23"/>
      <c r="TW12" s="23"/>
      <c r="TX12" s="23"/>
      <c r="TY12" s="23"/>
      <c r="TZ12" s="23"/>
      <c r="UA12" s="23"/>
      <c r="UB12" s="23"/>
      <c r="UC12" s="23"/>
      <c r="UD12" s="23"/>
      <c r="UE12" s="23"/>
      <c r="UF12" s="23"/>
      <c r="UG12" s="23"/>
      <c r="UH12" s="23"/>
      <c r="UI12" s="23"/>
      <c r="UJ12" s="23"/>
      <c r="UK12" s="23"/>
      <c r="UL12" s="23"/>
      <c r="UM12" s="23"/>
      <c r="UN12" s="23"/>
      <c r="UO12" s="23"/>
      <c r="UP12" s="23"/>
      <c r="UQ12" s="23"/>
      <c r="UR12" s="23"/>
      <c r="US12" s="23"/>
      <c r="UT12" s="23"/>
      <c r="UU12" s="23"/>
      <c r="UV12" s="23"/>
      <c r="UW12" s="23"/>
      <c r="UX12" s="23"/>
      <c r="UY12" s="23"/>
      <c r="UZ12" s="23"/>
      <c r="VA12" s="23"/>
      <c r="VB12" s="23"/>
      <c r="VC12" s="23"/>
      <c r="VD12" s="23"/>
      <c r="VE12" s="23"/>
      <c r="VF12" s="23"/>
      <c r="VG12" s="23"/>
      <c r="VH12" s="23"/>
      <c r="VI12" s="23"/>
      <c r="VJ12" s="23"/>
      <c r="VK12" s="23"/>
      <c r="VL12" s="23"/>
      <c r="VM12" s="23"/>
      <c r="VN12" s="23"/>
      <c r="VO12" s="23"/>
      <c r="VP12" s="23"/>
      <c r="VQ12" s="23"/>
      <c r="VR12" s="23"/>
      <c r="VS12" s="23"/>
      <c r="VT12" s="23"/>
      <c r="VU12" s="23"/>
      <c r="VV12" s="23"/>
      <c r="VW12" s="23"/>
      <c r="VX12" s="23"/>
      <c r="VY12" s="23"/>
      <c r="VZ12" s="23"/>
      <c r="WA12" s="23"/>
      <c r="WB12" s="23"/>
      <c r="WC12" s="23"/>
      <c r="WD12" s="23"/>
      <c r="WE12" s="23"/>
      <c r="WF12" s="23"/>
      <c r="WG12" s="23"/>
      <c r="WH12" s="23"/>
      <c r="WI12" s="23"/>
      <c r="WJ12" s="23"/>
      <c r="WK12" s="23"/>
      <c r="WL12" s="23"/>
      <c r="WM12" s="23"/>
      <c r="WN12" s="23"/>
      <c r="WO12" s="23"/>
      <c r="WP12" s="23"/>
      <c r="WQ12" s="23"/>
      <c r="WR12" s="23"/>
      <c r="WS12" s="23"/>
      <c r="WT12" s="23"/>
      <c r="WU12" s="23"/>
      <c r="WV12" s="23"/>
      <c r="WW12" s="23"/>
      <c r="WX12" s="23"/>
      <c r="WY12" s="23"/>
      <c r="WZ12" s="23"/>
      <c r="XA12" s="23"/>
      <c r="XB12" s="23"/>
      <c r="XC12" s="23"/>
      <c r="XD12" s="23"/>
      <c r="XE12" s="23"/>
      <c r="XF12" s="23"/>
      <c r="XG12" s="23"/>
      <c r="XH12" s="23"/>
      <c r="XI12" s="23"/>
      <c r="XJ12" s="23"/>
      <c r="XK12" s="23"/>
      <c r="XL12" s="23"/>
      <c r="XM12" s="23"/>
      <c r="XN12" s="23"/>
      <c r="XO12" s="23"/>
      <c r="XP12" s="23"/>
      <c r="XQ12" s="23"/>
      <c r="XR12" s="23"/>
      <c r="XS12" s="23"/>
      <c r="XT12" s="23"/>
      <c r="XU12" s="23"/>
      <c r="XV12" s="23"/>
      <c r="XW12" s="23"/>
      <c r="XX12" s="23"/>
      <c r="XY12" s="23"/>
      <c r="XZ12" s="23"/>
      <c r="YA12" s="23"/>
      <c r="YB12" s="23"/>
      <c r="YC12" s="23"/>
      <c r="YD12" s="23"/>
      <c r="YE12" s="23"/>
      <c r="YF12" s="23"/>
      <c r="YG12" s="23"/>
      <c r="YH12" s="23"/>
      <c r="YI12" s="23"/>
      <c r="YJ12" s="23"/>
      <c r="YK12" s="23"/>
      <c r="YL12" s="23"/>
      <c r="YM12" s="23"/>
      <c r="YN12" s="23"/>
      <c r="YO12" s="23"/>
      <c r="YP12" s="23"/>
      <c r="YQ12" s="23"/>
      <c r="YR12" s="23"/>
      <c r="YS12" s="23"/>
      <c r="YT12" s="23"/>
      <c r="YU12" s="23"/>
      <c r="YV12" s="23"/>
      <c r="YW12" s="23"/>
      <c r="YX12" s="23"/>
      <c r="YY12" s="23"/>
      <c r="YZ12" s="23"/>
      <c r="ZA12" s="23"/>
      <c r="ZB12" s="23"/>
      <c r="ZC12" s="23"/>
      <c r="ZD12" s="23"/>
      <c r="ZE12" s="53"/>
    </row>
    <row r="13" spans="1:682" s="2" customFormat="1" ht="15" customHeight="1" x14ac:dyDescent="0.25">
      <c r="A13" s="30">
        <v>1000</v>
      </c>
      <c r="B13" s="102" t="s">
        <v>29</v>
      </c>
      <c r="C13" s="103" t="s">
        <v>66</v>
      </c>
      <c r="D13" s="5" t="s">
        <v>65</v>
      </c>
      <c r="E13" s="103" t="s">
        <v>66</v>
      </c>
      <c r="F13" s="5" t="s">
        <v>65</v>
      </c>
      <c r="G13" s="56">
        <v>2</v>
      </c>
      <c r="H13" s="100" t="s">
        <v>46</v>
      </c>
      <c r="I13" s="131"/>
      <c r="J13" s="250">
        <f ca="1">J12</f>
        <v>460</v>
      </c>
      <c r="K13" s="250">
        <f t="shared" ref="K13:AG13" ca="1" si="3">K12</f>
        <v>327</v>
      </c>
      <c r="L13" s="250">
        <f t="shared" ca="1" si="3"/>
        <v>290</v>
      </c>
      <c r="M13" s="250">
        <f t="shared" ca="1" si="3"/>
        <v>483</v>
      </c>
      <c r="N13" s="250">
        <f t="shared" ca="1" si="3"/>
        <v>680</v>
      </c>
      <c r="O13" s="250">
        <f t="shared" ca="1" si="3"/>
        <v>448</v>
      </c>
      <c r="P13" s="250">
        <f t="shared" ca="1" si="3"/>
        <v>762</v>
      </c>
      <c r="Q13" s="250">
        <f t="shared" ca="1" si="3"/>
        <v>600</v>
      </c>
      <c r="R13" s="250">
        <f t="shared" ca="1" si="3"/>
        <v>530</v>
      </c>
      <c r="S13" s="250">
        <f t="shared" ca="1" si="3"/>
        <v>860</v>
      </c>
      <c r="T13" s="250">
        <f t="shared" ca="1" si="3"/>
        <v>390</v>
      </c>
      <c r="U13" s="250">
        <f t="shared" ca="1" si="3"/>
        <v>620</v>
      </c>
      <c r="V13" s="250">
        <f t="shared" ca="1" si="3"/>
        <v>434</v>
      </c>
      <c r="W13" s="250">
        <f t="shared" ca="1" si="3"/>
        <v>686</v>
      </c>
      <c r="X13" s="250">
        <f t="shared" ca="1" si="3"/>
        <v>550</v>
      </c>
      <c r="Y13" s="250">
        <f t="shared" ca="1" si="3"/>
        <v>620</v>
      </c>
      <c r="Z13" s="250">
        <f t="shared" ca="1" si="3"/>
        <v>1000</v>
      </c>
      <c r="AA13" s="250">
        <f t="shared" ca="1" si="3"/>
        <v>710</v>
      </c>
      <c r="AB13" s="250">
        <f t="shared" ca="1" si="3"/>
        <v>450</v>
      </c>
      <c r="AC13" s="250">
        <f t="shared" ca="1" si="3"/>
        <v>237</v>
      </c>
      <c r="AD13" s="250">
        <f t="shared" ca="1" si="3"/>
        <v>256</v>
      </c>
      <c r="AE13" s="250">
        <f t="shared" ca="1" si="3"/>
        <v>132</v>
      </c>
      <c r="AF13" s="250">
        <f t="shared" ca="1" si="3"/>
        <v>0</v>
      </c>
      <c r="AG13" s="250">
        <f t="shared" ca="1" si="3"/>
        <v>0</v>
      </c>
      <c r="AH13" s="246"/>
      <c r="AI13" s="246"/>
      <c r="AJ13" s="246"/>
      <c r="AK13" s="246"/>
      <c r="AL13" s="23"/>
      <c r="AM13" s="23"/>
      <c r="AN13" s="23"/>
      <c r="AO13" s="23"/>
      <c r="AP13" s="23"/>
      <c r="AQ13" s="23"/>
      <c r="AR13" s="23"/>
      <c r="AS13" s="23"/>
      <c r="AT13" s="23"/>
      <c r="AU13" s="23"/>
      <c r="AV13" s="23"/>
      <c r="AW13" s="23"/>
      <c r="AX13" s="23"/>
      <c r="AY13" s="23"/>
      <c r="AZ13" s="23"/>
      <c r="BA13" s="23"/>
      <c r="BB13" s="23"/>
      <c r="BC13" s="23"/>
      <c r="BD13" s="23"/>
      <c r="BE13" s="23"/>
      <c r="BF13" s="23"/>
      <c r="BG13" s="23"/>
      <c r="BH13" s="23"/>
      <c r="BI13" s="23"/>
      <c r="BJ13" s="23"/>
      <c r="BK13" s="23"/>
      <c r="BL13" s="23"/>
      <c r="BM13" s="23"/>
      <c r="BN13" s="23"/>
      <c r="BO13" s="23"/>
      <c r="BP13" s="23"/>
      <c r="BQ13" s="23"/>
      <c r="BR13" s="23"/>
      <c r="BS13" s="23"/>
      <c r="BT13" s="23"/>
      <c r="BU13" s="23"/>
      <c r="BV13" s="23"/>
      <c r="BW13" s="23"/>
      <c r="BX13" s="23"/>
      <c r="BY13" s="23"/>
      <c r="BZ13" s="23"/>
      <c r="CA13" s="23"/>
      <c r="CB13" s="23"/>
      <c r="CC13" s="23"/>
      <c r="CD13" s="23"/>
      <c r="CE13" s="23"/>
      <c r="CF13" s="23"/>
      <c r="CG13" s="23"/>
      <c r="CH13" s="23"/>
      <c r="CI13" s="23"/>
      <c r="CJ13" s="23"/>
      <c r="CK13" s="23"/>
      <c r="CL13" s="23"/>
      <c r="CM13" s="23"/>
      <c r="CN13" s="23"/>
      <c r="CO13" s="23"/>
      <c r="CP13" s="23"/>
      <c r="CQ13" s="23"/>
      <c r="CR13" s="23"/>
      <c r="CS13" s="23"/>
      <c r="CT13" s="23"/>
      <c r="CU13" s="23"/>
      <c r="CV13" s="23"/>
      <c r="CW13" s="23"/>
      <c r="CX13" s="23"/>
      <c r="CY13" s="23"/>
      <c r="CZ13" s="23"/>
      <c r="DA13" s="23"/>
      <c r="DB13" s="23"/>
      <c r="DC13" s="23"/>
      <c r="DD13" s="23"/>
      <c r="DE13" s="23"/>
      <c r="DF13" s="23"/>
      <c r="DG13" s="23"/>
      <c r="DH13" s="23"/>
      <c r="DI13" s="23"/>
      <c r="DJ13" s="23"/>
      <c r="DK13" s="23"/>
      <c r="DL13" s="23"/>
      <c r="DM13" s="23"/>
      <c r="DN13" s="23"/>
      <c r="DO13" s="23"/>
      <c r="DP13" s="23"/>
      <c r="DQ13" s="23"/>
      <c r="DR13" s="23"/>
      <c r="DS13" s="23"/>
      <c r="DT13" s="23"/>
      <c r="DU13" s="23"/>
      <c r="DV13" s="23"/>
      <c r="DW13" s="23"/>
      <c r="DX13" s="23"/>
      <c r="DY13" s="23"/>
      <c r="DZ13" s="23"/>
      <c r="EA13" s="23"/>
      <c r="EB13" s="23"/>
      <c r="EC13" s="23"/>
      <c r="ED13" s="23"/>
      <c r="EE13" s="23"/>
      <c r="EF13" s="23"/>
      <c r="EG13" s="23"/>
      <c r="EH13" s="23"/>
      <c r="EI13" s="23"/>
      <c r="EJ13" s="23"/>
      <c r="EK13" s="23"/>
      <c r="EL13" s="23"/>
      <c r="EM13" s="23"/>
      <c r="EN13" s="23"/>
      <c r="EO13" s="23"/>
      <c r="EP13" s="23"/>
      <c r="EQ13" s="23"/>
      <c r="ER13" s="23"/>
      <c r="ES13" s="23"/>
      <c r="ET13" s="23"/>
      <c r="EU13" s="23"/>
      <c r="EV13" s="23"/>
      <c r="EW13" s="23"/>
      <c r="EX13" s="23"/>
      <c r="EY13" s="23"/>
      <c r="EZ13" s="23"/>
      <c r="FA13" s="23"/>
      <c r="FB13" s="23"/>
      <c r="FC13" s="23"/>
      <c r="FD13" s="23"/>
      <c r="FE13" s="23"/>
      <c r="FF13" s="23"/>
      <c r="FG13" s="23"/>
      <c r="FH13" s="23"/>
      <c r="FI13" s="23"/>
      <c r="FJ13" s="23"/>
      <c r="FK13" s="23"/>
      <c r="FL13" s="23"/>
      <c r="FM13" s="23"/>
      <c r="FN13" s="23"/>
      <c r="FO13" s="23"/>
      <c r="FP13" s="23"/>
      <c r="FQ13" s="23"/>
      <c r="FR13" s="23"/>
      <c r="FS13" s="23"/>
      <c r="FT13" s="23"/>
      <c r="FU13" s="23"/>
      <c r="FV13" s="23"/>
      <c r="FW13" s="23"/>
      <c r="FX13" s="23"/>
      <c r="FY13" s="23"/>
      <c r="FZ13" s="23"/>
      <c r="GA13" s="23"/>
      <c r="GB13" s="23"/>
      <c r="GC13" s="23"/>
      <c r="GD13" s="23"/>
      <c r="GE13" s="23"/>
      <c r="GF13" s="23"/>
      <c r="GG13" s="23"/>
      <c r="GH13" s="23"/>
      <c r="GI13" s="23"/>
      <c r="GJ13" s="23"/>
      <c r="GK13" s="23"/>
      <c r="GL13" s="23"/>
      <c r="GM13" s="23"/>
      <c r="GN13" s="23"/>
      <c r="GO13" s="23"/>
      <c r="GP13" s="23"/>
      <c r="GQ13" s="23"/>
      <c r="GR13" s="23"/>
      <c r="GS13" s="23"/>
      <c r="GT13" s="23"/>
      <c r="GU13" s="23"/>
      <c r="GV13" s="23"/>
      <c r="GW13" s="23"/>
      <c r="GX13" s="23"/>
      <c r="GY13" s="23"/>
      <c r="GZ13" s="23"/>
      <c r="HA13" s="23"/>
      <c r="HB13" s="23"/>
      <c r="HC13" s="23"/>
      <c r="HD13" s="23"/>
      <c r="HE13" s="23"/>
      <c r="HF13" s="23"/>
      <c r="HG13" s="23"/>
      <c r="HH13" s="23"/>
      <c r="HI13" s="23"/>
      <c r="HJ13" s="23"/>
      <c r="HK13" s="23"/>
      <c r="HL13" s="23"/>
      <c r="HM13" s="23"/>
      <c r="HN13" s="23"/>
      <c r="HO13" s="23"/>
      <c r="HP13" s="23"/>
      <c r="HQ13" s="23"/>
      <c r="HR13" s="23"/>
      <c r="HS13" s="23"/>
      <c r="HT13" s="23"/>
      <c r="HU13" s="23"/>
      <c r="HV13" s="23"/>
      <c r="HW13" s="23"/>
      <c r="HX13" s="23"/>
      <c r="HY13" s="23"/>
      <c r="HZ13" s="23"/>
      <c r="IA13" s="23"/>
      <c r="IB13" s="23"/>
      <c r="IC13" s="23"/>
      <c r="ID13" s="23"/>
      <c r="IE13" s="23"/>
      <c r="IF13" s="23"/>
      <c r="IG13" s="23"/>
      <c r="IH13" s="23"/>
      <c r="II13" s="23"/>
      <c r="IJ13" s="23"/>
      <c r="IK13" s="23"/>
      <c r="IL13" s="23"/>
      <c r="IM13" s="23"/>
      <c r="IN13" s="23"/>
      <c r="IO13" s="23"/>
      <c r="IP13" s="23"/>
      <c r="IQ13" s="23"/>
      <c r="IR13" s="23"/>
      <c r="IS13" s="23"/>
      <c r="IT13" s="23"/>
      <c r="IU13" s="23"/>
      <c r="IV13" s="23"/>
      <c r="IW13" s="23"/>
      <c r="IX13" s="23"/>
      <c r="IY13" s="23"/>
      <c r="IZ13" s="23"/>
      <c r="JA13" s="23"/>
      <c r="JB13" s="23"/>
      <c r="JC13" s="23"/>
      <c r="JD13" s="23"/>
      <c r="JE13" s="23"/>
      <c r="JF13" s="23"/>
      <c r="JG13" s="23"/>
      <c r="JH13" s="23"/>
      <c r="JI13" s="23"/>
      <c r="JJ13" s="23"/>
      <c r="JK13" s="23"/>
      <c r="JL13" s="23"/>
      <c r="JM13" s="23"/>
      <c r="JN13" s="23"/>
      <c r="JO13" s="23"/>
      <c r="JP13" s="23"/>
      <c r="JQ13" s="23"/>
      <c r="JR13" s="23"/>
      <c r="JS13" s="23"/>
      <c r="JT13" s="23"/>
      <c r="JU13" s="23"/>
      <c r="JV13" s="23"/>
      <c r="JW13" s="23"/>
      <c r="JX13" s="23"/>
      <c r="JY13" s="23"/>
      <c r="JZ13" s="23"/>
      <c r="KA13" s="23"/>
      <c r="KB13" s="23"/>
      <c r="KC13" s="23"/>
      <c r="KD13" s="23"/>
      <c r="KE13" s="23"/>
      <c r="KF13" s="23"/>
      <c r="KG13" s="23"/>
      <c r="KH13" s="23"/>
      <c r="KI13" s="23"/>
      <c r="KJ13" s="23"/>
      <c r="KK13" s="23"/>
      <c r="KL13" s="23"/>
      <c r="KM13" s="23"/>
      <c r="KN13" s="23"/>
      <c r="KO13" s="23"/>
      <c r="KP13" s="23"/>
      <c r="KQ13" s="23"/>
      <c r="KR13" s="23"/>
      <c r="KS13" s="23"/>
      <c r="KT13" s="23"/>
      <c r="KU13" s="23"/>
      <c r="KV13" s="23"/>
      <c r="KW13" s="23"/>
      <c r="KX13" s="23"/>
      <c r="KY13" s="23"/>
      <c r="KZ13" s="23"/>
      <c r="LA13" s="23"/>
      <c r="LB13" s="23"/>
      <c r="LC13" s="23"/>
      <c r="LD13" s="23"/>
      <c r="LE13" s="23"/>
      <c r="LF13" s="23"/>
      <c r="LG13" s="23"/>
      <c r="LH13" s="23"/>
      <c r="LI13" s="23"/>
      <c r="LJ13" s="23"/>
      <c r="LK13" s="23"/>
      <c r="LL13" s="23"/>
      <c r="LM13" s="23"/>
      <c r="LN13" s="23"/>
      <c r="LO13" s="23"/>
      <c r="LP13" s="23"/>
      <c r="LQ13" s="23"/>
      <c r="LR13" s="23"/>
      <c r="LS13" s="23"/>
      <c r="LT13" s="23"/>
      <c r="LU13" s="23"/>
      <c r="LV13" s="23"/>
      <c r="LW13" s="23"/>
      <c r="LX13" s="23"/>
      <c r="LY13" s="23"/>
      <c r="LZ13" s="23"/>
      <c r="MA13" s="23"/>
      <c r="MB13" s="23"/>
      <c r="MC13" s="23"/>
      <c r="MD13" s="23"/>
      <c r="ME13" s="23"/>
      <c r="MF13" s="23"/>
      <c r="MG13" s="23"/>
      <c r="MH13" s="23"/>
      <c r="MI13" s="23"/>
      <c r="MJ13" s="23"/>
      <c r="MK13" s="23"/>
      <c r="ML13" s="23"/>
      <c r="MM13" s="23"/>
      <c r="MN13" s="23"/>
      <c r="MO13" s="23"/>
      <c r="MP13" s="23"/>
      <c r="MQ13" s="23"/>
      <c r="MR13" s="23"/>
      <c r="MS13" s="23"/>
      <c r="MT13" s="23"/>
      <c r="MU13" s="23"/>
      <c r="MV13" s="23"/>
      <c r="MW13" s="23"/>
      <c r="MX13" s="23"/>
      <c r="MY13" s="23"/>
      <c r="MZ13" s="23"/>
      <c r="NA13" s="23"/>
      <c r="NB13" s="23"/>
      <c r="NC13" s="23"/>
      <c r="ND13" s="23"/>
      <c r="NE13" s="23"/>
      <c r="NF13" s="23"/>
      <c r="NG13" s="23"/>
      <c r="NH13" s="23"/>
      <c r="NI13" s="23"/>
      <c r="NJ13" s="23"/>
      <c r="NK13" s="23"/>
      <c r="NL13" s="23"/>
      <c r="NM13" s="23"/>
      <c r="NN13" s="23"/>
      <c r="NO13" s="23"/>
      <c r="NP13" s="23"/>
      <c r="NQ13" s="23"/>
      <c r="NR13" s="23"/>
      <c r="NS13" s="23"/>
      <c r="NT13" s="23"/>
      <c r="NU13" s="23"/>
      <c r="NV13" s="23"/>
      <c r="NW13" s="23"/>
      <c r="NX13" s="23"/>
      <c r="NY13" s="23"/>
      <c r="NZ13" s="23"/>
      <c r="OA13" s="23"/>
      <c r="OB13" s="23"/>
      <c r="OC13" s="23"/>
      <c r="OD13" s="23"/>
      <c r="OE13" s="23"/>
      <c r="OF13" s="23"/>
      <c r="OG13" s="23"/>
      <c r="OH13" s="23"/>
      <c r="OI13" s="23"/>
      <c r="OJ13" s="23"/>
      <c r="OK13" s="23"/>
      <c r="OL13" s="23"/>
      <c r="OM13" s="23"/>
      <c r="ON13" s="23"/>
      <c r="OO13" s="23"/>
      <c r="OP13" s="23"/>
      <c r="OQ13" s="23"/>
      <c r="OR13" s="23"/>
      <c r="OS13" s="23"/>
      <c r="OT13" s="23"/>
      <c r="OU13" s="23"/>
      <c r="OV13" s="23"/>
      <c r="OW13" s="23"/>
      <c r="OX13" s="23"/>
      <c r="OY13" s="23"/>
      <c r="OZ13" s="23"/>
      <c r="PA13" s="23"/>
      <c r="PB13" s="23"/>
      <c r="PC13" s="23"/>
      <c r="PD13" s="23"/>
      <c r="PE13" s="23"/>
      <c r="PF13" s="23"/>
      <c r="PG13" s="23"/>
      <c r="PH13" s="23"/>
      <c r="PI13" s="23"/>
      <c r="PJ13" s="23"/>
      <c r="PK13" s="23"/>
      <c r="PL13" s="23"/>
      <c r="PM13" s="23"/>
      <c r="PN13" s="23"/>
      <c r="PO13" s="23"/>
      <c r="PP13" s="23"/>
      <c r="PQ13" s="23"/>
      <c r="PR13" s="23"/>
      <c r="PS13" s="23"/>
      <c r="PT13" s="23"/>
      <c r="PU13" s="23"/>
      <c r="PV13" s="23"/>
      <c r="PW13" s="23"/>
      <c r="PX13" s="23"/>
      <c r="PY13" s="23"/>
      <c r="PZ13" s="23"/>
      <c r="QA13" s="23"/>
      <c r="QB13" s="23"/>
      <c r="QC13" s="23"/>
      <c r="QD13" s="23"/>
      <c r="QE13" s="23"/>
      <c r="QF13" s="23"/>
      <c r="QG13" s="23"/>
      <c r="QH13" s="23"/>
      <c r="QI13" s="23"/>
      <c r="QJ13" s="23"/>
      <c r="QK13" s="23"/>
      <c r="QL13" s="23"/>
      <c r="QM13" s="23"/>
      <c r="QN13" s="23"/>
      <c r="QO13" s="23"/>
      <c r="QP13" s="23"/>
      <c r="QQ13" s="23"/>
      <c r="QR13" s="23"/>
      <c r="QS13" s="23"/>
      <c r="QT13" s="23"/>
      <c r="QU13" s="23"/>
      <c r="QV13" s="23"/>
      <c r="QW13" s="23"/>
      <c r="QX13" s="23"/>
      <c r="QY13" s="23"/>
      <c r="QZ13" s="23"/>
      <c r="RA13" s="23"/>
      <c r="RB13" s="23"/>
      <c r="RC13" s="23"/>
      <c r="RD13" s="23"/>
      <c r="RE13" s="23"/>
      <c r="RF13" s="23"/>
      <c r="RG13" s="23"/>
      <c r="RH13" s="23"/>
      <c r="RI13" s="23"/>
      <c r="RJ13" s="23"/>
      <c r="RK13" s="23"/>
      <c r="RL13" s="23"/>
      <c r="RM13" s="23"/>
      <c r="RN13" s="23"/>
      <c r="RO13" s="23"/>
      <c r="RP13" s="23"/>
      <c r="RQ13" s="23"/>
      <c r="RR13" s="23"/>
      <c r="RS13" s="23"/>
      <c r="RT13" s="23"/>
      <c r="RU13" s="23"/>
      <c r="RV13" s="23"/>
      <c r="RW13" s="23"/>
      <c r="RX13" s="23"/>
      <c r="RY13" s="23"/>
      <c r="RZ13" s="23"/>
      <c r="SA13" s="23"/>
      <c r="SB13" s="23"/>
      <c r="SC13" s="23"/>
      <c r="SD13" s="23"/>
      <c r="SE13" s="23"/>
      <c r="SF13" s="23"/>
      <c r="SG13" s="23"/>
      <c r="SH13" s="23"/>
      <c r="SI13" s="23"/>
      <c r="SJ13" s="23"/>
      <c r="SK13" s="23"/>
      <c r="SL13" s="23"/>
      <c r="SM13" s="23"/>
      <c r="SN13" s="23"/>
      <c r="SO13" s="23"/>
      <c r="SP13" s="23"/>
      <c r="SQ13" s="23"/>
      <c r="SR13" s="23"/>
      <c r="SS13" s="23"/>
      <c r="ST13" s="23"/>
      <c r="SU13" s="23"/>
      <c r="SV13" s="23"/>
      <c r="SW13" s="23"/>
      <c r="SX13" s="23"/>
      <c r="SY13" s="23"/>
      <c r="SZ13" s="23"/>
      <c r="TA13" s="23"/>
      <c r="TB13" s="23"/>
      <c r="TC13" s="23"/>
      <c r="TD13" s="23"/>
      <c r="TE13" s="23"/>
      <c r="TF13" s="23"/>
      <c r="TG13" s="23"/>
      <c r="TH13" s="23"/>
      <c r="TI13" s="23"/>
      <c r="TJ13" s="23"/>
      <c r="TK13" s="23"/>
      <c r="TL13" s="23"/>
      <c r="TM13" s="23"/>
      <c r="TN13" s="23"/>
      <c r="TO13" s="23"/>
      <c r="TP13" s="23"/>
      <c r="TQ13" s="23"/>
      <c r="TR13" s="23"/>
      <c r="TS13" s="23"/>
      <c r="TT13" s="23"/>
      <c r="TU13" s="23"/>
      <c r="TV13" s="23"/>
      <c r="TW13" s="23"/>
      <c r="TX13" s="23"/>
      <c r="TY13" s="23"/>
      <c r="TZ13" s="23"/>
      <c r="UA13" s="23"/>
      <c r="UB13" s="23"/>
      <c r="UC13" s="23"/>
      <c r="UD13" s="23"/>
      <c r="UE13" s="23"/>
      <c r="UF13" s="23"/>
      <c r="UG13" s="23"/>
      <c r="UH13" s="23"/>
      <c r="UI13" s="23"/>
      <c r="UJ13" s="23"/>
      <c r="UK13" s="23"/>
      <c r="UL13" s="23"/>
      <c r="UM13" s="23"/>
      <c r="UN13" s="23"/>
      <c r="UO13" s="23"/>
      <c r="UP13" s="23"/>
      <c r="UQ13" s="23"/>
      <c r="UR13" s="23"/>
      <c r="US13" s="23"/>
      <c r="UT13" s="23"/>
      <c r="UU13" s="23"/>
      <c r="UV13" s="23"/>
      <c r="UW13" s="23"/>
      <c r="UX13" s="23"/>
      <c r="UY13" s="23"/>
      <c r="UZ13" s="23"/>
      <c r="VA13" s="23"/>
      <c r="VB13" s="23"/>
      <c r="VC13" s="23"/>
      <c r="VD13" s="23"/>
      <c r="VE13" s="23"/>
      <c r="VF13" s="23"/>
      <c r="VG13" s="23"/>
      <c r="VH13" s="23"/>
      <c r="VI13" s="23"/>
      <c r="VJ13" s="23"/>
      <c r="VK13" s="23"/>
      <c r="VL13" s="23"/>
      <c r="VM13" s="23"/>
      <c r="VN13" s="23"/>
      <c r="VO13" s="23"/>
      <c r="VP13" s="23"/>
      <c r="VQ13" s="23"/>
      <c r="VR13" s="23"/>
      <c r="VS13" s="23"/>
      <c r="VT13" s="23"/>
      <c r="VU13" s="23"/>
      <c r="VV13" s="23"/>
      <c r="VW13" s="23"/>
      <c r="VX13" s="23"/>
      <c r="VY13" s="23"/>
      <c r="VZ13" s="23"/>
      <c r="WA13" s="23"/>
      <c r="WB13" s="23"/>
      <c r="WC13" s="23"/>
      <c r="WD13" s="23"/>
      <c r="WE13" s="23"/>
      <c r="WF13" s="23"/>
      <c r="WG13" s="23"/>
      <c r="WH13" s="23"/>
      <c r="WI13" s="23"/>
      <c r="WJ13" s="23"/>
      <c r="WK13" s="23"/>
      <c r="WL13" s="23"/>
      <c r="WM13" s="23"/>
      <c r="WN13" s="23"/>
      <c r="WO13" s="23"/>
      <c r="WP13" s="23"/>
      <c r="WQ13" s="23"/>
      <c r="WR13" s="23"/>
      <c r="WS13" s="23"/>
      <c r="WT13" s="23"/>
      <c r="WU13" s="23"/>
      <c r="WV13" s="23"/>
      <c r="WW13" s="23"/>
      <c r="WX13" s="23"/>
      <c r="WY13" s="23"/>
      <c r="WZ13" s="23"/>
      <c r="XA13" s="23"/>
      <c r="XB13" s="23"/>
      <c r="XC13" s="23"/>
      <c r="XD13" s="23"/>
      <c r="XE13" s="23"/>
      <c r="XF13" s="23"/>
      <c r="XG13" s="23"/>
      <c r="XH13" s="23"/>
      <c r="XI13" s="23"/>
      <c r="XJ13" s="23"/>
      <c r="XK13" s="23"/>
      <c r="XL13" s="23"/>
      <c r="XM13" s="23"/>
      <c r="XN13" s="23"/>
      <c r="XO13" s="23"/>
      <c r="XP13" s="23"/>
      <c r="XQ13" s="23"/>
      <c r="XR13" s="23"/>
      <c r="XS13" s="23"/>
      <c r="XT13" s="23"/>
      <c r="XU13" s="23"/>
      <c r="XV13" s="23"/>
      <c r="XW13" s="23"/>
      <c r="XX13" s="23"/>
      <c r="XY13" s="23"/>
      <c r="XZ13" s="23"/>
      <c r="YA13" s="23"/>
      <c r="YB13" s="23"/>
      <c r="YC13" s="23"/>
      <c r="YD13" s="23"/>
      <c r="YE13" s="23"/>
      <c r="YF13" s="23"/>
      <c r="YG13" s="23"/>
      <c r="YH13" s="23"/>
      <c r="YI13" s="23"/>
      <c r="YJ13" s="23"/>
      <c r="YK13" s="23"/>
      <c r="YL13" s="23"/>
      <c r="YM13" s="23"/>
      <c r="YN13" s="23"/>
      <c r="YO13" s="23"/>
      <c r="YP13" s="23"/>
      <c r="YQ13" s="23"/>
      <c r="YR13" s="23"/>
      <c r="YS13" s="23"/>
      <c r="YT13" s="23"/>
      <c r="YU13" s="23"/>
      <c r="YV13" s="23"/>
      <c r="YW13" s="23"/>
      <c r="YX13" s="23"/>
      <c r="YY13" s="23"/>
      <c r="YZ13" s="23"/>
      <c r="ZA13" s="23"/>
      <c r="ZB13" s="23"/>
      <c r="ZC13" s="23"/>
      <c r="ZD13" s="23"/>
      <c r="ZE13" s="54"/>
    </row>
    <row r="14" spans="1:682" s="2" customFormat="1" ht="15" customHeight="1" x14ac:dyDescent="0.25">
      <c r="A14" s="30">
        <v>1000</v>
      </c>
      <c r="B14" s="102" t="s">
        <v>29</v>
      </c>
      <c r="C14" s="103" t="s">
        <v>66</v>
      </c>
      <c r="D14" s="5" t="s">
        <v>65</v>
      </c>
      <c r="E14" s="103" t="s">
        <v>66</v>
      </c>
      <c r="F14" s="5" t="s">
        <v>65</v>
      </c>
      <c r="G14" s="56">
        <v>2</v>
      </c>
      <c r="H14" s="100" t="s">
        <v>60</v>
      </c>
      <c r="I14" s="131"/>
      <c r="J14" s="97">
        <f ca="1">J9+I14-J12</f>
        <v>0</v>
      </c>
      <c r="K14" s="97">
        <f ca="1">K9+J14-K12</f>
        <v>0</v>
      </c>
      <c r="L14" s="97">
        <f t="shared" ref="L14:AG14" ca="1" si="4">L9+K14-L12</f>
        <v>0</v>
      </c>
      <c r="M14" s="97">
        <f ca="1">M9+L14-M12</f>
        <v>0</v>
      </c>
      <c r="N14" s="97">
        <f t="shared" ca="1" si="4"/>
        <v>0</v>
      </c>
      <c r="O14" s="97">
        <f t="shared" ca="1" si="4"/>
        <v>0</v>
      </c>
      <c r="P14" s="97">
        <f t="shared" ca="1" si="4"/>
        <v>0</v>
      </c>
      <c r="Q14" s="97">
        <f t="shared" ca="1" si="4"/>
        <v>0</v>
      </c>
      <c r="R14" s="97">
        <f t="shared" ca="1" si="4"/>
        <v>0</v>
      </c>
      <c r="S14" s="97">
        <f t="shared" ca="1" si="4"/>
        <v>0</v>
      </c>
      <c r="T14" s="97">
        <f t="shared" ca="1" si="4"/>
        <v>0</v>
      </c>
      <c r="U14" s="97">
        <f t="shared" ca="1" si="4"/>
        <v>0</v>
      </c>
      <c r="V14" s="97">
        <f t="shared" ca="1" si="4"/>
        <v>0</v>
      </c>
      <c r="W14" s="97">
        <f t="shared" ca="1" si="4"/>
        <v>0</v>
      </c>
      <c r="X14" s="97">
        <f t="shared" ca="1" si="4"/>
        <v>0</v>
      </c>
      <c r="Y14" s="97">
        <f t="shared" ca="1" si="4"/>
        <v>0</v>
      </c>
      <c r="Z14" s="97">
        <f t="shared" ca="1" si="4"/>
        <v>0</v>
      </c>
      <c r="AA14" s="97">
        <f t="shared" ca="1" si="4"/>
        <v>0</v>
      </c>
      <c r="AB14" s="97">
        <f t="shared" ca="1" si="4"/>
        <v>0</v>
      </c>
      <c r="AC14" s="97">
        <f t="shared" ca="1" si="4"/>
        <v>0</v>
      </c>
      <c r="AD14" s="97">
        <f t="shared" ca="1" si="4"/>
        <v>0</v>
      </c>
      <c r="AE14" s="97">
        <f t="shared" ca="1" si="4"/>
        <v>0</v>
      </c>
      <c r="AF14" s="97">
        <f t="shared" ca="1" si="4"/>
        <v>0</v>
      </c>
      <c r="AG14" s="97">
        <f t="shared" ca="1" si="4"/>
        <v>0</v>
      </c>
      <c r="AH14" s="250"/>
      <c r="AI14" s="250"/>
      <c r="AJ14" s="250"/>
      <c r="AK14" s="250"/>
      <c r="AL14" s="23"/>
      <c r="AM14" s="23"/>
      <c r="AN14" s="23"/>
      <c r="AO14" s="23"/>
      <c r="AP14" s="23"/>
      <c r="AQ14" s="23"/>
      <c r="AR14" s="23"/>
      <c r="AS14" s="23"/>
      <c r="AT14" s="23"/>
      <c r="AU14" s="23"/>
      <c r="AV14" s="23"/>
      <c r="AW14" s="23"/>
      <c r="AX14" s="23"/>
      <c r="AY14" s="23"/>
      <c r="AZ14" s="23"/>
      <c r="BA14" s="23"/>
      <c r="BB14" s="23"/>
      <c r="BC14" s="23"/>
      <c r="BD14" s="23"/>
      <c r="BE14" s="23"/>
      <c r="BF14" s="23"/>
      <c r="BG14" s="23"/>
      <c r="BH14" s="23"/>
      <c r="BI14" s="23"/>
      <c r="BJ14" s="23"/>
      <c r="BK14" s="23"/>
      <c r="BL14" s="23"/>
      <c r="BM14" s="23"/>
      <c r="BN14" s="23"/>
      <c r="BO14" s="23"/>
      <c r="BP14" s="23"/>
      <c r="BQ14" s="23"/>
      <c r="BR14" s="23"/>
      <c r="BS14" s="23"/>
      <c r="BT14" s="23"/>
      <c r="BU14" s="23"/>
      <c r="BV14" s="23"/>
      <c r="BW14" s="23"/>
      <c r="BX14" s="23"/>
      <c r="BY14" s="23"/>
      <c r="BZ14" s="23"/>
      <c r="CA14" s="23"/>
      <c r="CB14" s="23"/>
      <c r="CC14" s="23"/>
      <c r="CD14" s="23"/>
      <c r="CE14" s="23"/>
      <c r="CF14" s="23"/>
      <c r="CG14" s="23"/>
      <c r="CH14" s="23"/>
      <c r="CI14" s="23"/>
      <c r="CJ14" s="23"/>
      <c r="CK14" s="23"/>
      <c r="CL14" s="23"/>
      <c r="CM14" s="23"/>
      <c r="CN14" s="23"/>
      <c r="CO14" s="23"/>
      <c r="CP14" s="23"/>
      <c r="CQ14" s="23"/>
      <c r="CR14" s="23"/>
      <c r="CS14" s="23"/>
      <c r="CT14" s="23"/>
      <c r="CU14" s="23"/>
      <c r="CV14" s="23"/>
      <c r="CW14" s="23"/>
      <c r="CX14" s="23"/>
      <c r="CY14" s="23"/>
      <c r="CZ14" s="23"/>
      <c r="DA14" s="23"/>
      <c r="DB14" s="23"/>
      <c r="DC14" s="23"/>
      <c r="DD14" s="23"/>
      <c r="DE14" s="23"/>
      <c r="DF14" s="23"/>
      <c r="DG14" s="23"/>
      <c r="DH14" s="23"/>
      <c r="DI14" s="23"/>
      <c r="DJ14" s="23"/>
      <c r="DK14" s="23"/>
      <c r="DL14" s="23"/>
      <c r="DM14" s="23"/>
      <c r="DN14" s="23"/>
      <c r="DO14" s="23"/>
      <c r="DP14" s="23"/>
      <c r="DQ14" s="23"/>
      <c r="DR14" s="23"/>
      <c r="DS14" s="23"/>
      <c r="DT14" s="23"/>
      <c r="DU14" s="23"/>
      <c r="DV14" s="23"/>
      <c r="DW14" s="23"/>
      <c r="DX14" s="23"/>
      <c r="DY14" s="23"/>
      <c r="DZ14" s="23"/>
      <c r="EA14" s="23"/>
      <c r="EB14" s="23"/>
      <c r="EC14" s="23"/>
      <c r="ED14" s="23"/>
      <c r="EE14" s="23"/>
      <c r="EF14" s="23"/>
      <c r="EG14" s="23"/>
      <c r="EH14" s="23"/>
      <c r="EI14" s="23"/>
      <c r="EJ14" s="23"/>
      <c r="EK14" s="23"/>
      <c r="EL14" s="23"/>
      <c r="EM14" s="23"/>
      <c r="EN14" s="23"/>
      <c r="EO14" s="23"/>
      <c r="EP14" s="23"/>
      <c r="EQ14" s="23"/>
      <c r="ER14" s="23"/>
      <c r="ES14" s="23"/>
      <c r="ET14" s="23"/>
      <c r="EU14" s="23"/>
      <c r="EV14" s="23"/>
      <c r="EW14" s="23"/>
      <c r="EX14" s="23"/>
      <c r="EY14" s="23"/>
      <c r="EZ14" s="23"/>
      <c r="FA14" s="23"/>
      <c r="FB14" s="23"/>
      <c r="FC14" s="23"/>
      <c r="FD14" s="23"/>
      <c r="FE14" s="23"/>
      <c r="FF14" s="23"/>
      <c r="FG14" s="23"/>
      <c r="FH14" s="23"/>
      <c r="FI14" s="23"/>
      <c r="FJ14" s="23"/>
      <c r="FK14" s="23"/>
      <c r="FL14" s="23"/>
      <c r="FM14" s="23"/>
      <c r="FN14" s="23"/>
      <c r="FO14" s="23"/>
      <c r="FP14" s="23"/>
      <c r="FQ14" s="23"/>
      <c r="FR14" s="23"/>
      <c r="FS14" s="23"/>
      <c r="FT14" s="23"/>
      <c r="FU14" s="23"/>
      <c r="FV14" s="23"/>
      <c r="FW14" s="23"/>
      <c r="FX14" s="23"/>
      <c r="FY14" s="23"/>
      <c r="FZ14" s="23"/>
      <c r="GA14" s="23"/>
      <c r="GB14" s="23"/>
      <c r="GC14" s="23"/>
      <c r="GD14" s="23"/>
      <c r="GE14" s="23"/>
      <c r="GF14" s="23"/>
      <c r="GG14" s="23"/>
      <c r="GH14" s="23"/>
      <c r="GI14" s="23"/>
      <c r="GJ14" s="23"/>
      <c r="GK14" s="23"/>
      <c r="GL14" s="23"/>
      <c r="GM14" s="23"/>
      <c r="GN14" s="23"/>
      <c r="GO14" s="23"/>
      <c r="GP14" s="23"/>
      <c r="GQ14" s="23"/>
      <c r="GR14" s="23"/>
      <c r="GS14" s="23"/>
      <c r="GT14" s="23"/>
      <c r="GU14" s="23"/>
      <c r="GV14" s="23"/>
      <c r="GW14" s="23"/>
      <c r="GX14" s="23"/>
      <c r="GY14" s="23"/>
      <c r="GZ14" s="23"/>
      <c r="HA14" s="23"/>
      <c r="HB14" s="23"/>
      <c r="HC14" s="23"/>
      <c r="HD14" s="23"/>
      <c r="HE14" s="23"/>
      <c r="HF14" s="23"/>
      <c r="HG14" s="23"/>
      <c r="HH14" s="23"/>
      <c r="HI14" s="23"/>
      <c r="HJ14" s="23"/>
      <c r="HK14" s="23"/>
      <c r="HL14" s="23"/>
      <c r="HM14" s="23"/>
      <c r="HN14" s="23"/>
      <c r="HO14" s="23"/>
      <c r="HP14" s="23"/>
      <c r="HQ14" s="23"/>
      <c r="HR14" s="23"/>
      <c r="HS14" s="23"/>
      <c r="HT14" s="23"/>
      <c r="HU14" s="23"/>
      <c r="HV14" s="23"/>
      <c r="HW14" s="23"/>
      <c r="HX14" s="23"/>
      <c r="HY14" s="23"/>
      <c r="HZ14" s="23"/>
      <c r="IA14" s="23"/>
      <c r="IB14" s="23"/>
      <c r="IC14" s="23"/>
      <c r="ID14" s="23"/>
      <c r="IE14" s="23"/>
      <c r="IF14" s="23"/>
      <c r="IG14" s="23"/>
      <c r="IH14" s="23"/>
      <c r="II14" s="23"/>
      <c r="IJ14" s="23"/>
      <c r="IK14" s="23"/>
      <c r="IL14" s="23"/>
      <c r="IM14" s="23"/>
      <c r="IN14" s="23"/>
      <c r="IO14" s="23"/>
      <c r="IP14" s="23"/>
      <c r="IQ14" s="23"/>
      <c r="IR14" s="23"/>
      <c r="IS14" s="23"/>
      <c r="IT14" s="23"/>
      <c r="IU14" s="23"/>
      <c r="IV14" s="23"/>
      <c r="IW14" s="23"/>
      <c r="IX14" s="23"/>
      <c r="IY14" s="23"/>
      <c r="IZ14" s="23"/>
      <c r="JA14" s="23"/>
      <c r="JB14" s="23"/>
      <c r="JC14" s="23"/>
      <c r="JD14" s="23"/>
      <c r="JE14" s="23"/>
      <c r="JF14" s="23"/>
      <c r="JG14" s="23"/>
      <c r="JH14" s="23"/>
      <c r="JI14" s="23"/>
      <c r="JJ14" s="23"/>
      <c r="JK14" s="23"/>
      <c r="JL14" s="23"/>
      <c r="JM14" s="23"/>
      <c r="JN14" s="23"/>
      <c r="JO14" s="23"/>
      <c r="JP14" s="23"/>
      <c r="JQ14" s="23"/>
      <c r="JR14" s="23"/>
      <c r="JS14" s="23"/>
      <c r="JT14" s="23"/>
      <c r="JU14" s="23"/>
      <c r="JV14" s="23"/>
      <c r="JW14" s="23"/>
      <c r="JX14" s="23"/>
      <c r="JY14" s="23"/>
      <c r="JZ14" s="23"/>
      <c r="KA14" s="23"/>
      <c r="KB14" s="23"/>
      <c r="KC14" s="23"/>
      <c r="KD14" s="23"/>
      <c r="KE14" s="23"/>
      <c r="KF14" s="23"/>
      <c r="KG14" s="23"/>
      <c r="KH14" s="23"/>
      <c r="KI14" s="23"/>
      <c r="KJ14" s="23"/>
      <c r="KK14" s="23"/>
      <c r="KL14" s="23"/>
      <c r="KM14" s="23"/>
      <c r="KN14" s="23"/>
      <c r="KO14" s="23"/>
      <c r="KP14" s="23"/>
      <c r="KQ14" s="23"/>
      <c r="KR14" s="23"/>
      <c r="KS14" s="23"/>
      <c r="KT14" s="23"/>
      <c r="KU14" s="23"/>
      <c r="KV14" s="23"/>
      <c r="KW14" s="23"/>
      <c r="KX14" s="23"/>
      <c r="KY14" s="23"/>
      <c r="KZ14" s="23"/>
      <c r="LA14" s="23"/>
      <c r="LB14" s="23"/>
      <c r="LC14" s="23"/>
      <c r="LD14" s="23"/>
      <c r="LE14" s="23"/>
      <c r="LF14" s="23"/>
      <c r="LG14" s="23"/>
      <c r="LH14" s="23"/>
      <c r="LI14" s="23"/>
      <c r="LJ14" s="23"/>
      <c r="LK14" s="23"/>
      <c r="LL14" s="23"/>
      <c r="LM14" s="23"/>
      <c r="LN14" s="23"/>
      <c r="LO14" s="23"/>
      <c r="LP14" s="23"/>
      <c r="LQ14" s="23"/>
      <c r="LR14" s="23"/>
      <c r="LS14" s="23"/>
      <c r="LT14" s="23"/>
      <c r="LU14" s="23"/>
      <c r="LV14" s="23"/>
      <c r="LW14" s="23"/>
      <c r="LX14" s="23"/>
      <c r="LY14" s="23"/>
      <c r="LZ14" s="23"/>
      <c r="MA14" s="23"/>
      <c r="MB14" s="23"/>
      <c r="MC14" s="23"/>
      <c r="MD14" s="23"/>
      <c r="ME14" s="23"/>
      <c r="MF14" s="23"/>
      <c r="MG14" s="23"/>
      <c r="MH14" s="23"/>
      <c r="MI14" s="23"/>
      <c r="MJ14" s="23"/>
      <c r="MK14" s="23"/>
      <c r="ML14" s="23"/>
      <c r="MM14" s="23"/>
      <c r="MN14" s="23"/>
      <c r="MO14" s="23"/>
      <c r="MP14" s="23"/>
      <c r="MQ14" s="23"/>
      <c r="MR14" s="23"/>
      <c r="MS14" s="23"/>
      <c r="MT14" s="23"/>
      <c r="MU14" s="23"/>
      <c r="MV14" s="23"/>
      <c r="MW14" s="23"/>
      <c r="MX14" s="23"/>
      <c r="MY14" s="23"/>
      <c r="MZ14" s="23"/>
      <c r="NA14" s="23"/>
      <c r="NB14" s="23"/>
      <c r="NC14" s="23"/>
      <c r="ND14" s="23"/>
      <c r="NE14" s="23"/>
      <c r="NF14" s="23"/>
      <c r="NG14" s="23"/>
      <c r="NH14" s="23"/>
      <c r="NI14" s="23"/>
      <c r="NJ14" s="23"/>
      <c r="NK14" s="23"/>
      <c r="NL14" s="23"/>
      <c r="NM14" s="23"/>
      <c r="NN14" s="23"/>
      <c r="NO14" s="23"/>
      <c r="NP14" s="23"/>
      <c r="NQ14" s="23"/>
      <c r="NR14" s="23"/>
      <c r="NS14" s="23"/>
      <c r="NT14" s="23"/>
      <c r="NU14" s="23"/>
      <c r="NV14" s="23"/>
      <c r="NW14" s="23"/>
      <c r="NX14" s="23"/>
      <c r="NY14" s="23"/>
      <c r="NZ14" s="23"/>
      <c r="OA14" s="23"/>
      <c r="OB14" s="23"/>
      <c r="OC14" s="23"/>
      <c r="OD14" s="23"/>
      <c r="OE14" s="23"/>
      <c r="OF14" s="23"/>
      <c r="OG14" s="23"/>
      <c r="OH14" s="23"/>
      <c r="OI14" s="23"/>
      <c r="OJ14" s="23"/>
      <c r="OK14" s="23"/>
      <c r="OL14" s="23"/>
      <c r="OM14" s="23"/>
      <c r="ON14" s="23"/>
      <c r="OO14" s="23"/>
      <c r="OP14" s="23"/>
      <c r="OQ14" s="23"/>
      <c r="OR14" s="23"/>
      <c r="OS14" s="23"/>
      <c r="OT14" s="23"/>
      <c r="OU14" s="23"/>
      <c r="OV14" s="23"/>
      <c r="OW14" s="23"/>
      <c r="OX14" s="23"/>
      <c r="OY14" s="23"/>
      <c r="OZ14" s="23"/>
      <c r="PA14" s="23"/>
      <c r="PB14" s="23"/>
      <c r="PC14" s="23"/>
      <c r="PD14" s="23"/>
      <c r="PE14" s="23"/>
      <c r="PF14" s="23"/>
      <c r="PG14" s="23"/>
      <c r="PH14" s="23"/>
      <c r="PI14" s="23"/>
      <c r="PJ14" s="23"/>
      <c r="PK14" s="23"/>
      <c r="PL14" s="23"/>
      <c r="PM14" s="23"/>
      <c r="PN14" s="23"/>
      <c r="PO14" s="23"/>
      <c r="PP14" s="23"/>
      <c r="PQ14" s="23"/>
      <c r="PR14" s="23"/>
      <c r="PS14" s="23"/>
      <c r="PT14" s="23"/>
      <c r="PU14" s="23"/>
      <c r="PV14" s="23"/>
      <c r="PW14" s="23"/>
      <c r="PX14" s="23"/>
      <c r="PY14" s="23"/>
      <c r="PZ14" s="23"/>
      <c r="QA14" s="23"/>
      <c r="QB14" s="23"/>
      <c r="QC14" s="23"/>
      <c r="QD14" s="23"/>
      <c r="QE14" s="23"/>
      <c r="QF14" s="23"/>
      <c r="QG14" s="23"/>
      <c r="QH14" s="23"/>
      <c r="QI14" s="23"/>
      <c r="QJ14" s="23"/>
      <c r="QK14" s="23"/>
      <c r="QL14" s="23"/>
      <c r="QM14" s="23"/>
      <c r="QN14" s="23"/>
      <c r="QO14" s="23"/>
      <c r="QP14" s="23"/>
      <c r="QQ14" s="23"/>
      <c r="QR14" s="23"/>
      <c r="QS14" s="23"/>
      <c r="QT14" s="23"/>
      <c r="QU14" s="23"/>
      <c r="QV14" s="23"/>
      <c r="QW14" s="23"/>
      <c r="QX14" s="23"/>
      <c r="QY14" s="23"/>
      <c r="QZ14" s="23"/>
      <c r="RA14" s="23"/>
      <c r="RB14" s="23"/>
      <c r="RC14" s="23"/>
      <c r="RD14" s="23"/>
      <c r="RE14" s="23"/>
      <c r="RF14" s="23"/>
      <c r="RG14" s="23"/>
      <c r="RH14" s="23"/>
      <c r="RI14" s="23"/>
      <c r="RJ14" s="23"/>
      <c r="RK14" s="23"/>
      <c r="RL14" s="23"/>
      <c r="RM14" s="23"/>
      <c r="RN14" s="23"/>
      <c r="RO14" s="23"/>
      <c r="RP14" s="23"/>
      <c r="RQ14" s="23"/>
      <c r="RR14" s="23"/>
      <c r="RS14" s="23"/>
      <c r="RT14" s="23"/>
      <c r="RU14" s="23"/>
      <c r="RV14" s="23"/>
      <c r="RW14" s="23"/>
      <c r="RX14" s="23"/>
      <c r="RY14" s="23"/>
      <c r="RZ14" s="23"/>
      <c r="SA14" s="23"/>
      <c r="SB14" s="23"/>
      <c r="SC14" s="23"/>
      <c r="SD14" s="23"/>
      <c r="SE14" s="23"/>
      <c r="SF14" s="23"/>
      <c r="SG14" s="23"/>
      <c r="SH14" s="23"/>
      <c r="SI14" s="23"/>
      <c r="SJ14" s="23"/>
      <c r="SK14" s="23"/>
      <c r="SL14" s="23"/>
      <c r="SM14" s="23"/>
      <c r="SN14" s="23"/>
      <c r="SO14" s="23"/>
      <c r="SP14" s="23"/>
      <c r="SQ14" s="23"/>
      <c r="SR14" s="23"/>
      <c r="SS14" s="23"/>
      <c r="ST14" s="23"/>
      <c r="SU14" s="23"/>
      <c r="SV14" s="23"/>
      <c r="SW14" s="23"/>
      <c r="SX14" s="23"/>
      <c r="SY14" s="23"/>
      <c r="SZ14" s="23"/>
      <c r="TA14" s="23"/>
      <c r="TB14" s="23"/>
      <c r="TC14" s="23"/>
      <c r="TD14" s="23"/>
      <c r="TE14" s="23"/>
      <c r="TF14" s="23"/>
      <c r="TG14" s="23"/>
      <c r="TH14" s="23"/>
      <c r="TI14" s="23"/>
      <c r="TJ14" s="23"/>
      <c r="TK14" s="23"/>
      <c r="TL14" s="23"/>
      <c r="TM14" s="23"/>
      <c r="TN14" s="23"/>
      <c r="TO14" s="23"/>
      <c r="TP14" s="23"/>
      <c r="TQ14" s="23"/>
      <c r="TR14" s="23"/>
      <c r="TS14" s="23"/>
      <c r="TT14" s="23"/>
      <c r="TU14" s="23"/>
      <c r="TV14" s="23"/>
      <c r="TW14" s="23"/>
      <c r="TX14" s="23"/>
      <c r="TY14" s="23"/>
      <c r="TZ14" s="23"/>
      <c r="UA14" s="23"/>
      <c r="UB14" s="23"/>
      <c r="UC14" s="23"/>
      <c r="UD14" s="23"/>
      <c r="UE14" s="23"/>
      <c r="UF14" s="23"/>
      <c r="UG14" s="23"/>
      <c r="UH14" s="23"/>
      <c r="UI14" s="23"/>
      <c r="UJ14" s="23"/>
      <c r="UK14" s="23"/>
      <c r="UL14" s="23"/>
      <c r="UM14" s="23"/>
      <c r="UN14" s="23"/>
      <c r="UO14" s="23"/>
      <c r="UP14" s="23"/>
      <c r="UQ14" s="23"/>
      <c r="UR14" s="23"/>
      <c r="US14" s="23"/>
      <c r="UT14" s="23"/>
      <c r="UU14" s="23"/>
      <c r="UV14" s="23"/>
      <c r="UW14" s="23"/>
      <c r="UX14" s="23"/>
      <c r="UY14" s="23"/>
      <c r="UZ14" s="23"/>
      <c r="VA14" s="23"/>
      <c r="VB14" s="23"/>
      <c r="VC14" s="23"/>
      <c r="VD14" s="23"/>
      <c r="VE14" s="23"/>
      <c r="VF14" s="23"/>
      <c r="VG14" s="23"/>
      <c r="VH14" s="23"/>
      <c r="VI14" s="23"/>
      <c r="VJ14" s="23"/>
      <c r="VK14" s="23"/>
      <c r="VL14" s="23"/>
      <c r="VM14" s="23"/>
      <c r="VN14" s="23"/>
      <c r="VO14" s="23"/>
      <c r="VP14" s="23"/>
      <c r="VQ14" s="23"/>
      <c r="VR14" s="23"/>
      <c r="VS14" s="23"/>
      <c r="VT14" s="23"/>
      <c r="VU14" s="23"/>
      <c r="VV14" s="23"/>
      <c r="VW14" s="23"/>
      <c r="VX14" s="23"/>
      <c r="VY14" s="23"/>
      <c r="VZ14" s="23"/>
      <c r="WA14" s="23"/>
      <c r="WB14" s="23"/>
      <c r="WC14" s="23"/>
      <c r="WD14" s="23"/>
      <c r="WE14" s="23"/>
      <c r="WF14" s="23"/>
      <c r="WG14" s="23"/>
      <c r="WH14" s="23"/>
      <c r="WI14" s="23"/>
      <c r="WJ14" s="23"/>
      <c r="WK14" s="23"/>
      <c r="WL14" s="23"/>
      <c r="WM14" s="23"/>
      <c r="WN14" s="23"/>
      <c r="WO14" s="23"/>
      <c r="WP14" s="23"/>
      <c r="WQ14" s="23"/>
      <c r="WR14" s="23"/>
      <c r="WS14" s="23"/>
      <c r="WT14" s="23"/>
      <c r="WU14" s="23"/>
      <c r="WV14" s="23"/>
      <c r="WW14" s="23"/>
      <c r="WX14" s="23"/>
      <c r="WY14" s="23"/>
      <c r="WZ14" s="23"/>
      <c r="XA14" s="23"/>
      <c r="XB14" s="23"/>
      <c r="XC14" s="23"/>
      <c r="XD14" s="23"/>
      <c r="XE14" s="23"/>
      <c r="XF14" s="23"/>
      <c r="XG14" s="23"/>
      <c r="XH14" s="23"/>
      <c r="XI14" s="23"/>
      <c r="XJ14" s="23"/>
      <c r="XK14" s="23"/>
      <c r="XL14" s="23"/>
      <c r="XM14" s="23"/>
      <c r="XN14" s="23"/>
      <c r="XO14" s="23"/>
      <c r="XP14" s="23"/>
      <c r="XQ14" s="23"/>
      <c r="XR14" s="23"/>
      <c r="XS14" s="23"/>
      <c r="XT14" s="23"/>
      <c r="XU14" s="23"/>
      <c r="XV14" s="23"/>
      <c r="XW14" s="23"/>
      <c r="XX14" s="23"/>
      <c r="XY14" s="23"/>
      <c r="XZ14" s="23"/>
      <c r="YA14" s="23"/>
      <c r="YB14" s="23"/>
      <c r="YC14" s="23"/>
      <c r="YD14" s="23"/>
      <c r="YE14" s="23"/>
      <c r="YF14" s="23"/>
      <c r="YG14" s="23"/>
      <c r="YH14" s="23"/>
      <c r="YI14" s="23"/>
      <c r="YJ14" s="23"/>
      <c r="YK14" s="23"/>
      <c r="YL14" s="23"/>
      <c r="YM14" s="23"/>
      <c r="YN14" s="23"/>
      <c r="YO14" s="23"/>
      <c r="YP14" s="23"/>
      <c r="YQ14" s="23"/>
      <c r="YR14" s="23"/>
      <c r="YS14" s="23"/>
      <c r="YT14" s="23"/>
      <c r="YU14" s="23"/>
      <c r="YV14" s="23"/>
      <c r="YW14" s="23"/>
      <c r="YX14" s="23"/>
      <c r="YY14" s="23"/>
      <c r="YZ14" s="23"/>
      <c r="ZA14" s="23"/>
      <c r="ZB14" s="23"/>
      <c r="ZC14" s="23"/>
      <c r="ZD14" s="23"/>
      <c r="ZE14" s="54"/>
    </row>
    <row r="15" spans="1:682" s="58" customFormat="1" ht="14.25" customHeight="1" x14ac:dyDescent="0.25">
      <c r="A15" s="77"/>
      <c r="B15" s="128"/>
      <c r="C15" s="77"/>
      <c r="D15" s="77"/>
      <c r="E15" s="77"/>
      <c r="F15" s="77"/>
      <c r="G15" s="132"/>
      <c r="H15" s="133"/>
      <c r="I15" s="134"/>
      <c r="J15" s="77"/>
      <c r="K15" s="77"/>
      <c r="L15" s="77"/>
      <c r="M15" s="135"/>
      <c r="N15" s="135"/>
      <c r="O15" s="135"/>
      <c r="P15" s="135"/>
      <c r="Q15" s="135"/>
      <c r="R15" s="135"/>
      <c r="S15" s="135"/>
      <c r="T15" s="135"/>
      <c r="U15" s="135"/>
      <c r="V15" s="135"/>
      <c r="W15" s="135"/>
      <c r="X15" s="135"/>
      <c r="Y15" s="135"/>
      <c r="Z15" s="135"/>
      <c r="AA15" s="135"/>
      <c r="AB15" s="135"/>
      <c r="AC15" s="135"/>
      <c r="AD15" s="135"/>
      <c r="AE15" s="135"/>
      <c r="AF15" s="135"/>
      <c r="AG15" s="135"/>
      <c r="AH15" s="253"/>
      <c r="AI15" s="253"/>
      <c r="AJ15" s="253"/>
      <c r="AK15" s="253"/>
      <c r="AL15" s="23"/>
      <c r="AM15" s="23"/>
      <c r="AN15" s="23"/>
      <c r="AO15" s="23"/>
      <c r="AP15" s="23"/>
      <c r="AQ15" s="23"/>
      <c r="AR15" s="23"/>
      <c r="AS15" s="23"/>
      <c r="AT15" s="23"/>
      <c r="AU15" s="23"/>
      <c r="AV15" s="23"/>
      <c r="AW15" s="23"/>
      <c r="AX15" s="23"/>
      <c r="AY15" s="23"/>
      <c r="AZ15" s="23"/>
      <c r="BA15" s="23"/>
      <c r="BB15" s="23"/>
      <c r="BC15" s="23"/>
      <c r="BD15" s="23"/>
      <c r="BE15" s="23"/>
      <c r="BF15" s="23"/>
      <c r="BG15" s="23"/>
      <c r="BH15" s="23"/>
      <c r="BI15" s="23"/>
      <c r="BJ15" s="23"/>
      <c r="BK15" s="23"/>
      <c r="BL15" s="23"/>
      <c r="BM15" s="23"/>
      <c r="BN15" s="23"/>
      <c r="BO15" s="23"/>
      <c r="BP15" s="23"/>
      <c r="BQ15" s="23"/>
      <c r="BR15" s="23"/>
      <c r="BS15" s="23"/>
      <c r="BT15" s="23"/>
      <c r="BU15" s="23"/>
      <c r="BV15" s="23"/>
      <c r="BW15" s="23"/>
      <c r="BX15" s="23"/>
      <c r="BY15" s="23"/>
      <c r="BZ15" s="23"/>
      <c r="CA15" s="23"/>
      <c r="CB15" s="23"/>
      <c r="CC15" s="23"/>
      <c r="CD15" s="23"/>
      <c r="CE15" s="23"/>
      <c r="CF15" s="23"/>
      <c r="CG15" s="23"/>
      <c r="CH15" s="23"/>
      <c r="CI15" s="23"/>
      <c r="CJ15" s="23"/>
      <c r="CK15" s="23"/>
      <c r="CL15" s="23"/>
      <c r="CM15" s="23"/>
      <c r="CN15" s="23"/>
      <c r="CO15" s="23"/>
      <c r="CP15" s="23"/>
      <c r="CQ15" s="23"/>
      <c r="CR15" s="23"/>
      <c r="CS15" s="23"/>
      <c r="CT15" s="23"/>
      <c r="CU15" s="23"/>
      <c r="CV15" s="23"/>
      <c r="CW15" s="23"/>
      <c r="CX15" s="23"/>
      <c r="CY15" s="23"/>
      <c r="CZ15" s="23"/>
      <c r="DA15" s="23"/>
      <c r="DB15" s="23"/>
      <c r="DC15" s="23"/>
      <c r="DD15" s="23"/>
      <c r="DE15" s="23"/>
      <c r="DF15" s="23"/>
      <c r="DG15" s="23"/>
      <c r="DH15" s="23"/>
      <c r="DI15" s="23"/>
      <c r="DJ15" s="23"/>
      <c r="DK15" s="23"/>
      <c r="DL15" s="23"/>
      <c r="DM15" s="23"/>
      <c r="DN15" s="23"/>
      <c r="DO15" s="23"/>
      <c r="DP15" s="23"/>
      <c r="DQ15" s="23"/>
      <c r="DR15" s="23"/>
      <c r="DS15" s="23"/>
      <c r="DT15" s="23"/>
      <c r="DU15" s="23"/>
      <c r="DV15" s="23"/>
      <c r="DW15" s="23"/>
      <c r="DX15" s="23"/>
      <c r="DY15" s="23"/>
      <c r="DZ15" s="23"/>
      <c r="EA15" s="23"/>
      <c r="EB15" s="23"/>
      <c r="EC15" s="23"/>
      <c r="ED15" s="23"/>
      <c r="EE15" s="23"/>
      <c r="EF15" s="23"/>
      <c r="EG15" s="23"/>
      <c r="EH15" s="23"/>
      <c r="EI15" s="23"/>
      <c r="EJ15" s="23"/>
      <c r="EK15" s="23"/>
      <c r="EL15" s="23"/>
      <c r="EM15" s="23"/>
      <c r="EN15" s="23"/>
      <c r="EO15" s="23"/>
      <c r="EP15" s="23"/>
      <c r="EQ15" s="23"/>
      <c r="ER15" s="23"/>
      <c r="ES15" s="23"/>
      <c r="ET15" s="23"/>
      <c r="EU15" s="23"/>
      <c r="EV15" s="23"/>
      <c r="EW15" s="23"/>
      <c r="EX15" s="23"/>
      <c r="EY15" s="23"/>
      <c r="EZ15" s="23"/>
      <c r="FA15" s="23"/>
      <c r="FB15" s="23"/>
      <c r="FC15" s="23"/>
      <c r="FD15" s="23"/>
      <c r="FE15" s="23"/>
      <c r="FF15" s="23"/>
      <c r="FG15" s="23"/>
      <c r="FH15" s="23"/>
      <c r="FI15" s="23"/>
      <c r="FJ15" s="23"/>
      <c r="FK15" s="23"/>
      <c r="FL15" s="23"/>
      <c r="FM15" s="23"/>
      <c r="FN15" s="23"/>
      <c r="FO15" s="23"/>
      <c r="FP15" s="23"/>
      <c r="FQ15" s="23"/>
      <c r="FR15" s="23"/>
      <c r="FS15" s="23"/>
      <c r="FT15" s="23"/>
      <c r="FU15" s="23"/>
      <c r="FV15" s="23"/>
      <c r="FW15" s="23"/>
      <c r="FX15" s="23"/>
      <c r="FY15" s="23"/>
      <c r="FZ15" s="23"/>
      <c r="GA15" s="23"/>
      <c r="GB15" s="23"/>
      <c r="GC15" s="23"/>
      <c r="GD15" s="23"/>
      <c r="GE15" s="23"/>
      <c r="GF15" s="23"/>
      <c r="GG15" s="23"/>
      <c r="GH15" s="23"/>
      <c r="GI15" s="23"/>
      <c r="GJ15" s="23"/>
      <c r="GK15" s="23"/>
      <c r="GL15" s="23"/>
      <c r="GM15" s="23"/>
      <c r="GN15" s="23"/>
      <c r="GO15" s="23"/>
      <c r="GP15" s="23"/>
      <c r="GQ15" s="23"/>
      <c r="GR15" s="23"/>
      <c r="GS15" s="23"/>
      <c r="GT15" s="23"/>
      <c r="GU15" s="23"/>
      <c r="GV15" s="23"/>
      <c r="GW15" s="23"/>
      <c r="GX15" s="23"/>
      <c r="GY15" s="23"/>
      <c r="GZ15" s="23"/>
      <c r="HA15" s="23"/>
      <c r="HB15" s="23"/>
      <c r="HC15" s="23"/>
      <c r="HD15" s="23"/>
      <c r="HE15" s="23"/>
      <c r="HF15" s="23"/>
      <c r="HG15" s="23"/>
      <c r="HH15" s="23"/>
      <c r="HI15" s="23"/>
      <c r="HJ15" s="23"/>
      <c r="HK15" s="23"/>
      <c r="HL15" s="23"/>
      <c r="HM15" s="23"/>
      <c r="HN15" s="23"/>
      <c r="HO15" s="23"/>
      <c r="HP15" s="23"/>
      <c r="HQ15" s="23"/>
      <c r="HR15" s="23"/>
      <c r="HS15" s="23"/>
      <c r="HT15" s="23"/>
      <c r="HU15" s="23"/>
      <c r="HV15" s="23"/>
      <c r="HW15" s="23"/>
      <c r="HX15" s="23"/>
      <c r="HY15" s="23"/>
      <c r="HZ15" s="23"/>
      <c r="IA15" s="23"/>
      <c r="IB15" s="61"/>
    </row>
    <row r="16" spans="1:682" s="50" customFormat="1" ht="15" customHeight="1" thickBot="1" x14ac:dyDescent="0.3">
      <c r="A16" s="30">
        <v>2000</v>
      </c>
      <c r="B16" s="104" t="s">
        <v>30</v>
      </c>
      <c r="C16" s="103" t="s">
        <v>66</v>
      </c>
      <c r="D16" s="5" t="s">
        <v>65</v>
      </c>
      <c r="E16" s="103" t="s">
        <v>49</v>
      </c>
      <c r="F16" s="5" t="s">
        <v>48</v>
      </c>
      <c r="G16" s="56">
        <v>2</v>
      </c>
      <c r="H16" s="172" t="s">
        <v>119</v>
      </c>
      <c r="I16" s="173"/>
      <c r="J16" s="173"/>
      <c r="K16" s="173"/>
      <c r="L16" s="173"/>
      <c r="M16" s="173"/>
      <c r="N16" s="173"/>
      <c r="O16" s="173"/>
      <c r="P16" s="173"/>
      <c r="Q16" s="173"/>
      <c r="R16" s="173"/>
      <c r="S16" s="173"/>
      <c r="T16" s="173"/>
      <c r="U16" s="173"/>
      <c r="V16" s="173"/>
      <c r="W16" s="173"/>
      <c r="X16" s="173"/>
      <c r="Y16" s="173"/>
      <c r="Z16" s="173"/>
      <c r="AA16" s="173"/>
      <c r="AB16" s="173"/>
      <c r="AC16" s="173"/>
      <c r="AD16" s="173"/>
      <c r="AE16" s="173"/>
      <c r="AF16" s="173"/>
      <c r="AG16" s="173"/>
      <c r="AH16" s="265"/>
      <c r="AI16" s="265"/>
      <c r="AJ16" s="265"/>
      <c r="AK16" s="265"/>
      <c r="AL16" s="24"/>
      <c r="AM16" s="24"/>
      <c r="AN16" s="24"/>
      <c r="AO16" s="24"/>
      <c r="AP16" s="24"/>
      <c r="AQ16" s="24"/>
      <c r="AR16" s="24"/>
      <c r="AS16" s="24"/>
      <c r="AT16" s="24"/>
      <c r="AU16" s="24"/>
      <c r="AV16" s="24"/>
      <c r="AW16" s="24"/>
      <c r="AX16" s="24"/>
      <c r="AY16" s="24"/>
      <c r="AZ16" s="24"/>
      <c r="BA16" s="24"/>
      <c r="BB16" s="24"/>
      <c r="BC16" s="24"/>
      <c r="BD16" s="24"/>
      <c r="BE16" s="24"/>
      <c r="BF16" s="24"/>
      <c r="BG16" s="24"/>
      <c r="BH16" s="24"/>
      <c r="BI16" s="24"/>
      <c r="BJ16" s="24"/>
      <c r="BK16" s="24"/>
      <c r="BL16" s="24"/>
      <c r="BM16" s="24"/>
      <c r="BN16" s="24"/>
      <c r="BO16" s="24"/>
      <c r="BP16" s="24"/>
      <c r="BQ16" s="24"/>
      <c r="BR16" s="24"/>
      <c r="BS16" s="24"/>
      <c r="BT16" s="24"/>
      <c r="BU16" s="24"/>
      <c r="BV16" s="24"/>
      <c r="BW16" s="24"/>
      <c r="BX16" s="24"/>
      <c r="BY16" s="24"/>
      <c r="BZ16" s="24"/>
      <c r="CA16" s="24"/>
      <c r="CB16" s="24"/>
      <c r="CC16" s="24"/>
      <c r="CD16" s="24"/>
      <c r="CE16" s="24"/>
      <c r="CF16" s="24"/>
      <c r="CG16" s="24"/>
      <c r="CH16" s="24"/>
      <c r="CI16" s="24"/>
      <c r="CJ16" s="24"/>
      <c r="CK16" s="24"/>
      <c r="CL16" s="24"/>
      <c r="CM16" s="24"/>
      <c r="CN16" s="24"/>
      <c r="CO16" s="24"/>
      <c r="CP16" s="24"/>
      <c r="CQ16" s="24"/>
      <c r="CR16" s="24"/>
      <c r="CS16" s="24"/>
      <c r="CT16" s="24"/>
      <c r="CU16" s="24"/>
      <c r="CV16" s="24"/>
      <c r="CW16" s="24"/>
      <c r="CX16" s="24"/>
      <c r="CY16" s="24"/>
      <c r="CZ16" s="24"/>
      <c r="DA16" s="24"/>
      <c r="DB16" s="24"/>
      <c r="DC16" s="24"/>
      <c r="DD16" s="24"/>
      <c r="DE16" s="24"/>
      <c r="DF16" s="24"/>
      <c r="DG16" s="24"/>
      <c r="DH16" s="24"/>
      <c r="DI16" s="24"/>
      <c r="DJ16" s="24"/>
      <c r="DK16" s="24"/>
      <c r="DL16" s="24"/>
      <c r="DM16" s="24"/>
      <c r="DN16" s="24"/>
      <c r="DO16" s="24"/>
      <c r="DP16" s="24"/>
      <c r="DQ16" s="24"/>
      <c r="DR16" s="24"/>
      <c r="DS16" s="24"/>
      <c r="DT16" s="24"/>
      <c r="DU16" s="24"/>
      <c r="DV16" s="24"/>
      <c r="DW16" s="24"/>
      <c r="DX16" s="24"/>
      <c r="DY16" s="24"/>
      <c r="DZ16" s="24"/>
      <c r="EA16" s="24"/>
      <c r="EB16" s="24"/>
      <c r="EC16" s="24"/>
      <c r="ED16" s="24"/>
      <c r="EE16" s="24"/>
      <c r="EF16" s="24"/>
      <c r="EG16" s="24"/>
      <c r="EH16" s="24"/>
      <c r="EI16" s="24"/>
      <c r="EJ16" s="24"/>
      <c r="EK16" s="24"/>
      <c r="EL16" s="24"/>
      <c r="EM16" s="24"/>
      <c r="EN16" s="24"/>
      <c r="EO16" s="24"/>
      <c r="EP16" s="24"/>
      <c r="EQ16" s="24"/>
      <c r="ER16" s="24"/>
      <c r="ES16" s="24"/>
      <c r="ET16" s="24"/>
      <c r="EU16" s="24"/>
      <c r="EV16" s="24"/>
      <c r="EW16" s="24"/>
      <c r="EX16" s="24"/>
      <c r="EY16" s="24"/>
      <c r="EZ16" s="24"/>
      <c r="FA16" s="24"/>
      <c r="FB16" s="24"/>
      <c r="FC16" s="24"/>
      <c r="FD16" s="24"/>
      <c r="FE16" s="24"/>
      <c r="FF16" s="24"/>
      <c r="FG16" s="24"/>
      <c r="FH16" s="24"/>
      <c r="FI16" s="24"/>
      <c r="FJ16" s="24"/>
      <c r="FK16" s="24"/>
      <c r="FL16" s="24"/>
      <c r="FM16" s="24"/>
      <c r="FN16" s="24"/>
      <c r="FO16" s="24"/>
      <c r="FP16" s="24"/>
      <c r="FQ16" s="24"/>
      <c r="FR16" s="24"/>
      <c r="FS16" s="24"/>
      <c r="FT16" s="24"/>
      <c r="FU16" s="24"/>
      <c r="FV16" s="24"/>
      <c r="FW16" s="24"/>
      <c r="FX16" s="24"/>
      <c r="FY16" s="24"/>
      <c r="FZ16" s="24"/>
      <c r="GA16" s="24"/>
      <c r="GB16" s="24"/>
      <c r="GC16" s="24"/>
      <c r="GD16" s="24"/>
      <c r="GE16" s="24"/>
      <c r="GF16" s="24"/>
      <c r="GG16" s="24"/>
      <c r="GH16" s="24"/>
      <c r="GI16" s="24"/>
      <c r="GJ16" s="24"/>
      <c r="GK16" s="24"/>
      <c r="GL16" s="24"/>
      <c r="GM16" s="24"/>
      <c r="GN16" s="24"/>
      <c r="GO16" s="24"/>
      <c r="GP16" s="24"/>
      <c r="GQ16" s="24"/>
      <c r="GR16" s="24"/>
      <c r="GS16" s="24"/>
      <c r="GT16" s="24"/>
      <c r="GU16" s="24"/>
      <c r="GV16" s="24"/>
      <c r="GW16" s="24"/>
      <c r="GX16" s="24"/>
      <c r="GY16" s="24"/>
      <c r="GZ16" s="24"/>
      <c r="HA16" s="24"/>
      <c r="HB16" s="24"/>
      <c r="HC16" s="24"/>
      <c r="HD16" s="24"/>
      <c r="HE16" s="24"/>
      <c r="HF16" s="24"/>
      <c r="HG16" s="24"/>
      <c r="HH16" s="24"/>
      <c r="HI16" s="24"/>
      <c r="HJ16" s="24"/>
      <c r="HK16" s="24"/>
      <c r="HL16" s="24"/>
      <c r="HM16" s="24"/>
      <c r="HN16" s="24"/>
      <c r="HO16" s="24"/>
      <c r="HP16" s="24"/>
      <c r="HQ16" s="24"/>
      <c r="HR16" s="24"/>
      <c r="HS16" s="24"/>
      <c r="HT16" s="24"/>
      <c r="HU16" s="24"/>
      <c r="HV16" s="24"/>
      <c r="HW16" s="24"/>
      <c r="HX16" s="24"/>
      <c r="HY16" s="24"/>
      <c r="HZ16" s="24"/>
      <c r="IA16" s="24"/>
      <c r="IB16" s="24"/>
      <c r="IC16" s="24"/>
      <c r="ID16" s="24"/>
      <c r="IE16" s="24"/>
      <c r="IF16" s="24"/>
      <c r="IG16" s="24"/>
      <c r="IH16" s="24"/>
      <c r="II16" s="24"/>
      <c r="IJ16" s="24"/>
      <c r="IK16" s="24"/>
      <c r="IL16" s="24"/>
      <c r="IM16" s="24"/>
      <c r="IN16" s="24"/>
      <c r="IO16" s="24"/>
      <c r="IP16" s="24"/>
      <c r="IQ16" s="24"/>
      <c r="IR16" s="24"/>
      <c r="IS16" s="24"/>
      <c r="IT16" s="24"/>
      <c r="IU16" s="24"/>
      <c r="IV16" s="24"/>
      <c r="IW16" s="24"/>
      <c r="IX16" s="24"/>
      <c r="IY16" s="24"/>
      <c r="IZ16" s="24"/>
      <c r="JA16" s="24"/>
      <c r="JB16" s="24"/>
      <c r="JC16" s="24"/>
      <c r="JD16" s="24"/>
      <c r="JE16" s="24"/>
      <c r="JF16" s="24"/>
      <c r="JG16" s="24"/>
      <c r="JH16" s="24"/>
      <c r="JI16" s="24"/>
      <c r="JJ16" s="24"/>
      <c r="JK16" s="24"/>
      <c r="JL16" s="24"/>
      <c r="JM16" s="24"/>
      <c r="JN16" s="24"/>
      <c r="JO16" s="24"/>
      <c r="JP16" s="24"/>
      <c r="JQ16" s="24"/>
      <c r="JR16" s="24"/>
      <c r="JS16" s="24"/>
      <c r="JT16" s="24"/>
      <c r="JU16" s="24"/>
      <c r="JV16" s="24"/>
      <c r="JW16" s="24"/>
      <c r="JX16" s="24"/>
      <c r="JY16" s="24"/>
      <c r="JZ16" s="24"/>
      <c r="KA16" s="24"/>
      <c r="KB16" s="24"/>
      <c r="KC16" s="24"/>
      <c r="KD16" s="24"/>
      <c r="KE16" s="24"/>
      <c r="KF16" s="24"/>
      <c r="KG16" s="24"/>
      <c r="KH16" s="24"/>
      <c r="KI16" s="24"/>
      <c r="KJ16" s="24"/>
      <c r="KK16" s="24"/>
      <c r="KL16" s="24"/>
      <c r="KM16" s="24"/>
      <c r="KN16" s="24"/>
      <c r="KO16" s="24"/>
      <c r="KP16" s="24"/>
      <c r="KQ16" s="24"/>
      <c r="KR16" s="24"/>
      <c r="KS16" s="24"/>
      <c r="KT16" s="24"/>
      <c r="KU16" s="24"/>
      <c r="KV16" s="24"/>
      <c r="KW16" s="24"/>
      <c r="KX16" s="24"/>
      <c r="KY16" s="24"/>
      <c r="KZ16" s="24"/>
      <c r="LA16" s="24"/>
      <c r="LB16" s="24"/>
      <c r="LC16" s="24"/>
      <c r="LD16" s="24"/>
      <c r="LE16" s="24"/>
      <c r="LF16" s="24"/>
      <c r="LG16" s="24"/>
      <c r="LH16" s="24"/>
      <c r="LI16" s="24"/>
      <c r="LJ16" s="24"/>
      <c r="LK16" s="24"/>
      <c r="LL16" s="24"/>
      <c r="LM16" s="24"/>
      <c r="LN16" s="24"/>
      <c r="LO16" s="24"/>
      <c r="LP16" s="24"/>
      <c r="LQ16" s="24"/>
      <c r="LR16" s="24"/>
      <c r="LS16" s="24"/>
      <c r="LT16" s="24"/>
      <c r="LU16" s="24"/>
      <c r="LV16" s="24"/>
      <c r="LW16" s="24"/>
      <c r="LX16" s="24"/>
      <c r="LY16" s="24"/>
      <c r="LZ16" s="24"/>
      <c r="MA16" s="24"/>
      <c r="MB16" s="24"/>
      <c r="MC16" s="24"/>
      <c r="MD16" s="24"/>
      <c r="ME16" s="24"/>
      <c r="MF16" s="24"/>
      <c r="MG16" s="24"/>
      <c r="MH16" s="24"/>
      <c r="MI16" s="24"/>
      <c r="MJ16" s="24"/>
      <c r="MK16" s="24"/>
      <c r="ML16" s="24"/>
      <c r="MM16" s="24"/>
      <c r="MN16" s="24"/>
      <c r="MO16" s="24"/>
      <c r="MP16" s="24"/>
      <c r="MQ16" s="24"/>
      <c r="MR16" s="24"/>
      <c r="MS16" s="24"/>
      <c r="MT16" s="24"/>
      <c r="MU16" s="24"/>
      <c r="MV16" s="24"/>
      <c r="MW16" s="24"/>
      <c r="MX16" s="24"/>
      <c r="MY16" s="24"/>
      <c r="MZ16" s="24"/>
      <c r="NA16" s="24"/>
      <c r="NB16" s="24"/>
      <c r="NC16" s="24"/>
      <c r="ND16" s="24"/>
      <c r="NE16" s="24"/>
      <c r="NF16" s="24"/>
      <c r="NG16" s="24"/>
      <c r="NH16" s="24"/>
      <c r="NI16" s="24"/>
      <c r="NJ16" s="24"/>
      <c r="NK16" s="24"/>
      <c r="NL16" s="24"/>
      <c r="NM16" s="24"/>
      <c r="NN16" s="24"/>
      <c r="NO16" s="24"/>
      <c r="NP16" s="24"/>
      <c r="NQ16" s="24"/>
      <c r="NR16" s="24"/>
      <c r="NS16" s="24"/>
      <c r="NT16" s="24"/>
      <c r="NU16" s="24"/>
      <c r="NV16" s="24"/>
      <c r="NW16" s="24"/>
      <c r="NX16" s="24"/>
      <c r="NY16" s="24"/>
      <c r="NZ16" s="24"/>
      <c r="OA16" s="24"/>
      <c r="OB16" s="24"/>
      <c r="OC16" s="24"/>
      <c r="OD16" s="24"/>
      <c r="OE16" s="24"/>
      <c r="OF16" s="24"/>
      <c r="OG16" s="24"/>
      <c r="OH16" s="24"/>
      <c r="OI16" s="24"/>
      <c r="OJ16" s="24"/>
      <c r="OK16" s="24"/>
      <c r="OL16" s="24"/>
      <c r="OM16" s="24"/>
      <c r="ON16" s="24"/>
      <c r="OO16" s="24"/>
      <c r="OP16" s="24"/>
      <c r="OQ16" s="24"/>
      <c r="OR16" s="24"/>
      <c r="OS16" s="24"/>
      <c r="OT16" s="24"/>
      <c r="OU16" s="24"/>
      <c r="OV16" s="24"/>
      <c r="OW16" s="24"/>
      <c r="OX16" s="24"/>
      <c r="OY16" s="24"/>
      <c r="OZ16" s="24"/>
      <c r="PA16" s="24"/>
      <c r="PB16" s="24"/>
      <c r="PC16" s="24"/>
      <c r="PD16" s="24"/>
      <c r="PE16" s="24"/>
      <c r="PF16" s="24"/>
      <c r="PG16" s="24"/>
      <c r="PH16" s="24"/>
      <c r="PI16" s="24"/>
      <c r="PJ16" s="24"/>
      <c r="PK16" s="24"/>
      <c r="PL16" s="24"/>
      <c r="PM16" s="24"/>
      <c r="PN16" s="24"/>
      <c r="PO16" s="24"/>
      <c r="PP16" s="24"/>
      <c r="PQ16" s="24"/>
      <c r="PR16" s="24"/>
      <c r="PS16" s="24"/>
      <c r="PT16" s="24"/>
      <c r="PU16" s="24"/>
      <c r="PV16" s="24"/>
      <c r="PW16" s="24"/>
      <c r="PX16" s="24"/>
      <c r="PY16" s="24"/>
      <c r="PZ16" s="24"/>
      <c r="QA16" s="24"/>
      <c r="QB16" s="24"/>
      <c r="QC16" s="24"/>
      <c r="QD16" s="24"/>
      <c r="QE16" s="24"/>
      <c r="QF16" s="24"/>
      <c r="QG16" s="24"/>
      <c r="QH16" s="24"/>
      <c r="QI16" s="24"/>
      <c r="QJ16" s="24"/>
      <c r="QK16" s="24"/>
      <c r="QL16" s="24"/>
      <c r="QM16" s="24"/>
      <c r="QN16" s="24"/>
      <c r="QO16" s="24"/>
      <c r="QP16" s="24"/>
      <c r="QQ16" s="24"/>
      <c r="QR16" s="24"/>
      <c r="QS16" s="24"/>
      <c r="QT16" s="24"/>
      <c r="QU16" s="24"/>
      <c r="QV16" s="24"/>
      <c r="QW16" s="24"/>
      <c r="QX16" s="24"/>
      <c r="QY16" s="24"/>
      <c r="QZ16" s="24"/>
      <c r="RA16" s="24"/>
      <c r="RB16" s="24"/>
      <c r="RC16" s="24"/>
      <c r="RD16" s="24"/>
      <c r="RE16" s="24"/>
      <c r="RF16" s="24"/>
      <c r="RG16" s="24"/>
      <c r="RH16" s="24"/>
      <c r="RI16" s="24"/>
      <c r="RJ16" s="24"/>
      <c r="RK16" s="24"/>
      <c r="RL16" s="24"/>
      <c r="RM16" s="24"/>
      <c r="RN16" s="24"/>
      <c r="RO16" s="24"/>
      <c r="RP16" s="24"/>
      <c r="RQ16" s="24"/>
      <c r="RR16" s="24"/>
      <c r="RS16" s="24"/>
      <c r="RT16" s="24"/>
      <c r="RU16" s="24"/>
      <c r="RV16" s="24"/>
      <c r="RW16" s="24"/>
      <c r="RX16" s="24"/>
      <c r="RY16" s="24"/>
      <c r="RZ16" s="24"/>
      <c r="SA16" s="24"/>
      <c r="SB16" s="24"/>
      <c r="SC16" s="24"/>
      <c r="SD16" s="24"/>
      <c r="SE16" s="24"/>
      <c r="SF16" s="24"/>
      <c r="SG16" s="24"/>
      <c r="SH16" s="24"/>
      <c r="SI16" s="24"/>
      <c r="SJ16" s="24"/>
      <c r="SK16" s="24"/>
      <c r="SL16" s="24"/>
      <c r="SM16" s="24"/>
      <c r="SN16" s="24"/>
      <c r="SO16" s="24"/>
      <c r="SP16" s="24"/>
      <c r="SQ16" s="24"/>
      <c r="SR16" s="24"/>
      <c r="SS16" s="24"/>
      <c r="ST16" s="24"/>
      <c r="SU16" s="24"/>
      <c r="SV16" s="24"/>
      <c r="SW16" s="24"/>
      <c r="SX16" s="24"/>
      <c r="SY16" s="24"/>
      <c r="SZ16" s="24"/>
      <c r="TA16" s="24"/>
      <c r="TB16" s="24"/>
      <c r="TC16" s="24"/>
      <c r="TD16" s="24"/>
      <c r="TE16" s="24"/>
      <c r="TF16" s="24"/>
      <c r="TG16" s="24"/>
      <c r="TH16" s="24"/>
      <c r="TI16" s="24"/>
      <c r="TJ16" s="24"/>
      <c r="TK16" s="24"/>
      <c r="TL16" s="24"/>
      <c r="TM16" s="24"/>
      <c r="TN16" s="24"/>
      <c r="TO16" s="24"/>
      <c r="TP16" s="24"/>
      <c r="TQ16" s="24"/>
      <c r="TR16" s="24"/>
      <c r="TS16" s="24"/>
      <c r="TT16" s="24"/>
      <c r="TU16" s="24"/>
      <c r="TV16" s="24"/>
      <c r="TW16" s="24"/>
      <c r="TX16" s="24"/>
      <c r="TY16" s="24"/>
      <c r="TZ16" s="24"/>
      <c r="UA16" s="24"/>
      <c r="UB16" s="24"/>
      <c r="UC16" s="24"/>
      <c r="UD16" s="24"/>
      <c r="UE16" s="24"/>
      <c r="UF16" s="24"/>
      <c r="UG16" s="24"/>
      <c r="UH16" s="24"/>
      <c r="UI16" s="24"/>
      <c r="UJ16" s="24"/>
      <c r="UK16" s="24"/>
      <c r="UL16" s="24"/>
      <c r="UM16" s="24"/>
      <c r="UN16" s="24"/>
      <c r="UO16" s="24"/>
      <c r="UP16" s="24"/>
      <c r="UQ16" s="24"/>
      <c r="UR16" s="24"/>
      <c r="US16" s="24"/>
      <c r="UT16" s="24"/>
      <c r="UU16" s="24"/>
      <c r="UV16" s="24"/>
      <c r="UW16" s="24"/>
      <c r="UX16" s="24"/>
      <c r="UY16" s="24"/>
      <c r="UZ16" s="24"/>
      <c r="VA16" s="24"/>
      <c r="VB16" s="24"/>
      <c r="VC16" s="24"/>
      <c r="VD16" s="24"/>
      <c r="VE16" s="24"/>
      <c r="VF16" s="24"/>
      <c r="VG16" s="24"/>
      <c r="VH16" s="24"/>
      <c r="VI16" s="24"/>
      <c r="VJ16" s="24"/>
      <c r="VK16" s="24"/>
      <c r="VL16" s="24"/>
      <c r="VM16" s="24"/>
      <c r="VN16" s="24"/>
      <c r="VO16" s="24"/>
      <c r="VP16" s="24"/>
      <c r="VQ16" s="24"/>
      <c r="VR16" s="24"/>
      <c r="VS16" s="24"/>
      <c r="VT16" s="24"/>
      <c r="VU16" s="24"/>
      <c r="VV16" s="24"/>
      <c r="VW16" s="24"/>
      <c r="VX16" s="24"/>
      <c r="VY16" s="24"/>
      <c r="VZ16" s="24"/>
      <c r="WA16" s="24"/>
      <c r="WB16" s="24"/>
      <c r="WC16" s="24"/>
      <c r="WD16" s="24"/>
      <c r="WE16" s="24"/>
      <c r="WF16" s="24"/>
      <c r="WG16" s="24"/>
      <c r="WH16" s="24"/>
      <c r="WI16" s="24"/>
      <c r="WJ16" s="24"/>
      <c r="WK16" s="24"/>
      <c r="WL16" s="24"/>
      <c r="WM16" s="24"/>
      <c r="WN16" s="24"/>
      <c r="WO16" s="24"/>
      <c r="WP16" s="24"/>
      <c r="WQ16" s="24"/>
      <c r="WR16" s="24"/>
      <c r="WS16" s="24"/>
      <c r="WT16" s="24"/>
      <c r="WU16" s="24"/>
      <c r="WV16" s="24"/>
      <c r="WW16" s="24"/>
      <c r="WX16" s="24"/>
      <c r="WY16" s="24"/>
      <c r="WZ16" s="24"/>
      <c r="XA16" s="24"/>
      <c r="XB16" s="24"/>
      <c r="XC16" s="24"/>
      <c r="XD16" s="24"/>
      <c r="XE16" s="24"/>
      <c r="XF16" s="24"/>
      <c r="XG16" s="24"/>
      <c r="XH16" s="24"/>
      <c r="XI16" s="24"/>
      <c r="XJ16" s="24"/>
      <c r="XK16" s="24"/>
      <c r="XL16" s="24"/>
      <c r="XM16" s="24"/>
      <c r="XN16" s="24"/>
      <c r="XO16" s="24"/>
      <c r="XP16" s="24"/>
      <c r="XQ16" s="24"/>
      <c r="XR16" s="24"/>
      <c r="XS16" s="24"/>
      <c r="XT16" s="24"/>
      <c r="XU16" s="24"/>
      <c r="XV16" s="24"/>
      <c r="XW16" s="24"/>
      <c r="XX16" s="24"/>
      <c r="XY16" s="24"/>
      <c r="XZ16" s="24"/>
      <c r="YA16" s="24"/>
      <c r="YB16" s="24"/>
      <c r="YC16" s="24"/>
      <c r="YD16" s="24"/>
      <c r="YE16" s="24"/>
      <c r="YF16" s="24"/>
      <c r="YG16" s="24"/>
      <c r="YH16" s="24"/>
      <c r="YI16" s="24"/>
      <c r="YJ16" s="24"/>
      <c r="YK16" s="24"/>
      <c r="YL16" s="24"/>
      <c r="YM16" s="24"/>
      <c r="YN16" s="24"/>
      <c r="YO16" s="24"/>
      <c r="YP16" s="24"/>
      <c r="YQ16" s="24"/>
      <c r="YR16" s="24"/>
      <c r="YS16" s="24"/>
      <c r="YT16" s="24"/>
      <c r="YU16" s="24"/>
      <c r="YV16" s="24"/>
      <c r="YW16" s="24"/>
      <c r="YX16" s="24"/>
      <c r="YY16" s="24"/>
      <c r="YZ16" s="24"/>
      <c r="ZA16" s="24"/>
      <c r="ZB16" s="24"/>
      <c r="ZC16" s="24"/>
      <c r="ZD16" s="24"/>
      <c r="ZE16" s="24"/>
      <c r="ZF16" s="53"/>
    </row>
    <row r="17" spans="1:682" s="45" customFormat="1" ht="15" customHeight="1" x14ac:dyDescent="0.25">
      <c r="A17" s="30">
        <v>2000</v>
      </c>
      <c r="B17" s="104" t="s">
        <v>30</v>
      </c>
      <c r="C17" s="103" t="s">
        <v>49</v>
      </c>
      <c r="D17" s="5" t="s">
        <v>48</v>
      </c>
      <c r="E17" s="103" t="s">
        <v>66</v>
      </c>
      <c r="F17" s="5" t="s">
        <v>65</v>
      </c>
      <c r="G17" s="56">
        <v>2</v>
      </c>
      <c r="H17" s="46" t="s">
        <v>25</v>
      </c>
      <c r="I17" s="47"/>
      <c r="J17" s="48">
        <f ca="1">OFFSET(CBN_CDC!I31,0,2)</f>
        <v>480</v>
      </c>
      <c r="K17" s="48">
        <f ca="1">OFFSET(CBN_CDC!J31,0,2)</f>
        <v>197</v>
      </c>
      <c r="L17" s="48">
        <f ca="1">OFFSET(CBN_CDC!K31,0,2)</f>
        <v>379</v>
      </c>
      <c r="M17" s="48">
        <f ca="1">OFFSET(CBN_CDC!L31,0,2)</f>
        <v>295</v>
      </c>
      <c r="N17" s="48">
        <f ca="1">OFFSET(CBN_CDC!M31,0,2)</f>
        <v>473</v>
      </c>
      <c r="O17" s="48">
        <f ca="1">OFFSET(CBN_CDC!N31,0,2)</f>
        <v>321</v>
      </c>
      <c r="P17" s="48">
        <f ca="1">OFFSET(CBN_CDC!O31,0,2)</f>
        <v>374</v>
      </c>
      <c r="Q17" s="48">
        <f ca="1">OFFSET(CBN_CDC!P31,0,2)</f>
        <v>297</v>
      </c>
      <c r="R17" s="48">
        <f ca="1">OFFSET(CBN_CDC!Q31,0,2)</f>
        <v>227</v>
      </c>
      <c r="S17" s="48">
        <f ca="1">OFFSET(CBN_CDC!R31,0,2)</f>
        <v>417</v>
      </c>
      <c r="T17" s="48">
        <f ca="1">OFFSET(CBN_CDC!S31,0,2)</f>
        <v>296</v>
      </c>
      <c r="U17" s="48">
        <f ca="1">OFFSET(CBN_CDC!T31,0,2)</f>
        <v>71</v>
      </c>
      <c r="V17" s="48">
        <f ca="1">OFFSET(CBN_CDC!U31,0,2)</f>
        <v>273</v>
      </c>
      <c r="W17" s="48">
        <f ca="1">OFFSET(CBN_CDC!V31,0,2)</f>
        <v>450</v>
      </c>
      <c r="X17" s="48">
        <f ca="1">OFFSET(CBN_CDC!W31,0,2)</f>
        <v>450</v>
      </c>
      <c r="Y17" s="48">
        <f ca="1">OFFSET(CBN_CDC!X31,0,2)</f>
        <v>240</v>
      </c>
      <c r="Z17" s="48">
        <f ca="1">OFFSET(CBN_CDC!Y31,0,2)</f>
        <v>296</v>
      </c>
      <c r="AA17" s="48">
        <f ca="1">OFFSET(CBN_CDC!Z31,0,2)</f>
        <v>449</v>
      </c>
      <c r="AB17" s="48">
        <f ca="1">OFFSET(CBN_CDC!AA31,0,2)</f>
        <v>232</v>
      </c>
      <c r="AC17" s="48">
        <f ca="1">OFFSET(CBN_CDC!AB31,0,2)</f>
        <v>146</v>
      </c>
      <c r="AD17" s="48">
        <f ca="1">OFFSET(CBN_CDC!AC31,0,2)</f>
        <v>208</v>
      </c>
      <c r="AE17" s="48">
        <f ca="1">OFFSET(CBN_CDC!AD31,0,2)</f>
        <v>108</v>
      </c>
      <c r="AF17" s="48">
        <f ca="1">OFFSET(CBN_CDC!AE31,0,2)</f>
        <v>0</v>
      </c>
      <c r="AG17" s="48">
        <f ca="1">OFFSET(CBN_CDC!AF31,0,2)</f>
        <v>0</v>
      </c>
      <c r="AH17" s="241"/>
      <c r="AI17" s="241"/>
      <c r="AJ17" s="241"/>
      <c r="AK17" s="241"/>
      <c r="AL17" s="23"/>
      <c r="AM17" s="23"/>
      <c r="AN17" s="23"/>
      <c r="AO17" s="23"/>
      <c r="AP17" s="23"/>
      <c r="AQ17" s="23"/>
      <c r="AR17" s="23"/>
      <c r="AS17" s="23"/>
      <c r="AT17" s="23"/>
      <c r="AU17" s="23"/>
      <c r="AV17" s="23"/>
      <c r="AW17" s="23"/>
      <c r="AX17" s="23"/>
      <c r="AY17" s="23"/>
      <c r="AZ17" s="23"/>
      <c r="BA17" s="23"/>
      <c r="BB17" s="23"/>
      <c r="BC17" s="23"/>
      <c r="BD17" s="23"/>
      <c r="BE17" s="23"/>
      <c r="BF17" s="23"/>
      <c r="BG17" s="23"/>
      <c r="BH17" s="23"/>
      <c r="BI17" s="23"/>
      <c r="BJ17" s="23"/>
      <c r="BK17" s="23"/>
      <c r="BL17" s="23"/>
      <c r="BM17" s="23"/>
      <c r="BN17" s="23"/>
      <c r="BO17" s="23"/>
      <c r="BP17" s="23"/>
      <c r="BQ17" s="23"/>
      <c r="BR17" s="23"/>
      <c r="BS17" s="23"/>
      <c r="BT17" s="23"/>
      <c r="BU17" s="23"/>
      <c r="BV17" s="23"/>
      <c r="BW17" s="23"/>
      <c r="BX17" s="23"/>
      <c r="BY17" s="23"/>
      <c r="BZ17" s="23"/>
      <c r="CA17" s="23"/>
      <c r="CB17" s="23"/>
      <c r="CC17" s="23"/>
      <c r="CD17" s="23"/>
      <c r="CE17" s="23"/>
      <c r="CF17" s="23"/>
      <c r="CG17" s="23"/>
      <c r="CH17" s="23"/>
      <c r="CI17" s="23"/>
      <c r="CJ17" s="23"/>
      <c r="CK17" s="23"/>
      <c r="CL17" s="23"/>
      <c r="CM17" s="23"/>
      <c r="CN17" s="23"/>
      <c r="CO17" s="23"/>
      <c r="CP17" s="23"/>
      <c r="CQ17" s="23"/>
      <c r="CR17" s="23"/>
      <c r="CS17" s="23"/>
      <c r="CT17" s="23"/>
      <c r="CU17" s="23"/>
      <c r="CV17" s="23"/>
      <c r="CW17" s="23"/>
      <c r="CX17" s="23"/>
      <c r="CY17" s="23"/>
      <c r="CZ17" s="23"/>
      <c r="DA17" s="23"/>
      <c r="DB17" s="23"/>
      <c r="DC17" s="23"/>
      <c r="DD17" s="23"/>
      <c r="DE17" s="23"/>
      <c r="DF17" s="23"/>
      <c r="DG17" s="23"/>
      <c r="DH17" s="23"/>
      <c r="DI17" s="23"/>
      <c r="DJ17" s="23"/>
      <c r="DK17" s="23"/>
      <c r="DL17" s="23"/>
      <c r="DM17" s="23"/>
      <c r="DN17" s="23"/>
      <c r="DO17" s="23"/>
      <c r="DP17" s="23"/>
      <c r="DQ17" s="23"/>
      <c r="DR17" s="23"/>
      <c r="DS17" s="23"/>
      <c r="DT17" s="23"/>
      <c r="DU17" s="23"/>
      <c r="DV17" s="23"/>
      <c r="DW17" s="23"/>
      <c r="DX17" s="23"/>
      <c r="DY17" s="23"/>
      <c r="DZ17" s="23"/>
      <c r="EA17" s="23"/>
      <c r="EB17" s="23"/>
      <c r="EC17" s="23"/>
      <c r="ED17" s="23"/>
      <c r="EE17" s="23"/>
      <c r="EF17" s="23"/>
      <c r="EG17" s="23"/>
      <c r="EH17" s="23"/>
      <c r="EI17" s="23"/>
      <c r="EJ17" s="23"/>
      <c r="EK17" s="23"/>
      <c r="EL17" s="23"/>
      <c r="EM17" s="23"/>
      <c r="EN17" s="23"/>
      <c r="EO17" s="23"/>
      <c r="EP17" s="23"/>
      <c r="EQ17" s="23"/>
      <c r="ER17" s="23"/>
      <c r="ES17" s="23"/>
      <c r="ET17" s="23"/>
      <c r="EU17" s="23"/>
      <c r="EV17" s="23"/>
      <c r="EW17" s="23"/>
      <c r="EX17" s="23"/>
      <c r="EY17" s="23"/>
      <c r="EZ17" s="23"/>
      <c r="FA17" s="23"/>
      <c r="FB17" s="23"/>
      <c r="FC17" s="23"/>
      <c r="FD17" s="23"/>
      <c r="FE17" s="23"/>
      <c r="FF17" s="23"/>
      <c r="FG17" s="23"/>
      <c r="FH17" s="23"/>
      <c r="FI17" s="23"/>
      <c r="FJ17" s="23"/>
      <c r="FK17" s="23"/>
      <c r="FL17" s="23"/>
      <c r="FM17" s="23"/>
      <c r="FN17" s="23"/>
      <c r="FO17" s="23"/>
      <c r="FP17" s="23"/>
      <c r="FQ17" s="23"/>
      <c r="FR17" s="23"/>
      <c r="FS17" s="23"/>
      <c r="FT17" s="23"/>
      <c r="FU17" s="23"/>
      <c r="FV17" s="23"/>
      <c r="FW17" s="23"/>
      <c r="FX17" s="23"/>
      <c r="FY17" s="23"/>
      <c r="FZ17" s="23"/>
      <c r="GA17" s="23"/>
      <c r="GB17" s="23"/>
      <c r="GC17" s="23"/>
      <c r="GD17" s="23"/>
      <c r="GE17" s="23"/>
      <c r="GF17" s="23"/>
      <c r="GG17" s="23"/>
      <c r="GH17" s="23"/>
      <c r="GI17" s="23"/>
      <c r="GJ17" s="23"/>
      <c r="GK17" s="23"/>
      <c r="GL17" s="23"/>
      <c r="GM17" s="23"/>
      <c r="GN17" s="23"/>
      <c r="GO17" s="23"/>
      <c r="GP17" s="23"/>
      <c r="GQ17" s="23"/>
      <c r="GR17" s="23"/>
      <c r="GS17" s="23"/>
      <c r="GT17" s="23"/>
      <c r="GU17" s="23"/>
      <c r="GV17" s="23"/>
      <c r="GW17" s="23"/>
      <c r="GX17" s="23"/>
      <c r="GY17" s="23"/>
      <c r="GZ17" s="23"/>
      <c r="HA17" s="23"/>
      <c r="HB17" s="23"/>
      <c r="HC17" s="23"/>
      <c r="HD17" s="23"/>
      <c r="HE17" s="23"/>
      <c r="HF17" s="23"/>
      <c r="HG17" s="23"/>
      <c r="HH17" s="23"/>
      <c r="HI17" s="23"/>
      <c r="HJ17" s="23"/>
      <c r="HK17" s="23"/>
      <c r="HL17" s="23"/>
      <c r="HM17" s="23"/>
      <c r="HN17" s="23"/>
      <c r="HO17" s="23"/>
      <c r="HP17" s="23"/>
      <c r="HQ17" s="23"/>
      <c r="HR17" s="23"/>
      <c r="HS17" s="23"/>
      <c r="HT17" s="23"/>
      <c r="HU17" s="23"/>
      <c r="HV17" s="23"/>
      <c r="HW17" s="23"/>
      <c r="HX17" s="23"/>
      <c r="HY17" s="23"/>
      <c r="HZ17" s="23"/>
      <c r="IA17" s="23"/>
      <c r="IB17" s="23"/>
      <c r="IC17" s="23"/>
      <c r="ID17" s="23"/>
      <c r="IE17" s="23"/>
      <c r="IF17" s="23"/>
      <c r="IG17" s="23"/>
      <c r="IH17" s="23"/>
      <c r="II17" s="23"/>
      <c r="IJ17" s="23"/>
      <c r="IK17" s="23"/>
      <c r="IL17" s="23"/>
      <c r="IM17" s="23"/>
      <c r="IN17" s="23"/>
      <c r="IO17" s="23"/>
      <c r="IP17" s="23"/>
      <c r="IQ17" s="23"/>
      <c r="IR17" s="23"/>
      <c r="IS17" s="23"/>
      <c r="IT17" s="23"/>
      <c r="IU17" s="23"/>
      <c r="IV17" s="23"/>
      <c r="IW17" s="23"/>
      <c r="IX17" s="23"/>
      <c r="IY17" s="23"/>
      <c r="IZ17" s="23"/>
      <c r="JA17" s="23"/>
      <c r="JB17" s="23"/>
      <c r="JC17" s="23"/>
      <c r="JD17" s="23"/>
      <c r="JE17" s="23"/>
      <c r="JF17" s="23"/>
      <c r="JG17" s="23"/>
      <c r="JH17" s="23"/>
      <c r="JI17" s="23"/>
      <c r="JJ17" s="23"/>
      <c r="JK17" s="23"/>
      <c r="JL17" s="23"/>
      <c r="JM17" s="23"/>
      <c r="JN17" s="23"/>
      <c r="JO17" s="23"/>
      <c r="JP17" s="23"/>
      <c r="JQ17" s="23"/>
      <c r="JR17" s="23"/>
      <c r="JS17" s="23"/>
      <c r="JT17" s="23"/>
      <c r="JU17" s="23"/>
      <c r="JV17" s="23"/>
      <c r="JW17" s="23"/>
      <c r="JX17" s="23"/>
      <c r="JY17" s="23"/>
      <c r="JZ17" s="23"/>
      <c r="KA17" s="23"/>
      <c r="KB17" s="23"/>
      <c r="KC17" s="23"/>
      <c r="KD17" s="23"/>
      <c r="KE17" s="23"/>
      <c r="KF17" s="23"/>
      <c r="KG17" s="23"/>
      <c r="KH17" s="23"/>
      <c r="KI17" s="23"/>
      <c r="KJ17" s="23"/>
      <c r="KK17" s="23"/>
      <c r="KL17" s="23"/>
      <c r="KM17" s="23"/>
      <c r="KN17" s="23"/>
      <c r="KO17" s="23"/>
      <c r="KP17" s="23"/>
      <c r="KQ17" s="23"/>
      <c r="KR17" s="23"/>
      <c r="KS17" s="23"/>
      <c r="KT17" s="23"/>
      <c r="KU17" s="23"/>
      <c r="KV17" s="23"/>
      <c r="KW17" s="23"/>
      <c r="KX17" s="23"/>
      <c r="KY17" s="23"/>
      <c r="KZ17" s="23"/>
      <c r="LA17" s="23"/>
      <c r="LB17" s="23"/>
      <c r="LC17" s="23"/>
      <c r="LD17" s="23"/>
      <c r="LE17" s="23"/>
      <c r="LF17" s="23"/>
      <c r="LG17" s="23"/>
      <c r="LH17" s="23"/>
      <c r="LI17" s="23"/>
      <c r="LJ17" s="23"/>
      <c r="LK17" s="23"/>
      <c r="LL17" s="23"/>
      <c r="LM17" s="23"/>
      <c r="LN17" s="23"/>
      <c r="LO17" s="23"/>
      <c r="LP17" s="23"/>
      <c r="LQ17" s="23"/>
      <c r="LR17" s="23"/>
      <c r="LS17" s="23"/>
      <c r="LT17" s="23"/>
      <c r="LU17" s="23"/>
      <c r="LV17" s="23"/>
      <c r="LW17" s="23"/>
      <c r="LX17" s="23"/>
      <c r="LY17" s="23"/>
      <c r="LZ17" s="23"/>
      <c r="MA17" s="23"/>
      <c r="MB17" s="23"/>
      <c r="MC17" s="23"/>
      <c r="MD17" s="23"/>
      <c r="ME17" s="23"/>
      <c r="MF17" s="23"/>
      <c r="MG17" s="23"/>
      <c r="MH17" s="23"/>
      <c r="MI17" s="23"/>
      <c r="MJ17" s="23"/>
      <c r="MK17" s="23"/>
      <c r="ML17" s="23"/>
      <c r="MM17" s="23"/>
      <c r="MN17" s="23"/>
      <c r="MO17" s="23"/>
      <c r="MP17" s="23"/>
      <c r="MQ17" s="23"/>
      <c r="MR17" s="23"/>
      <c r="MS17" s="23"/>
      <c r="MT17" s="23"/>
      <c r="MU17" s="23"/>
      <c r="MV17" s="23"/>
      <c r="MW17" s="23"/>
      <c r="MX17" s="23"/>
      <c r="MY17" s="23"/>
      <c r="MZ17" s="23"/>
      <c r="NA17" s="23"/>
      <c r="NB17" s="23"/>
      <c r="NC17" s="23"/>
      <c r="ND17" s="23"/>
      <c r="NE17" s="23"/>
      <c r="NF17" s="23"/>
      <c r="NG17" s="23"/>
      <c r="NH17" s="23"/>
      <c r="NI17" s="23"/>
      <c r="NJ17" s="23"/>
      <c r="NK17" s="23"/>
      <c r="NL17" s="23"/>
      <c r="NM17" s="23"/>
      <c r="NN17" s="23"/>
      <c r="NO17" s="23"/>
      <c r="NP17" s="23"/>
      <c r="NQ17" s="23"/>
      <c r="NR17" s="23"/>
      <c r="NS17" s="23"/>
      <c r="NT17" s="23"/>
      <c r="NU17" s="23"/>
      <c r="NV17" s="23"/>
      <c r="NW17" s="23"/>
      <c r="NX17" s="23"/>
      <c r="NY17" s="23"/>
      <c r="NZ17" s="23"/>
      <c r="OA17" s="23"/>
      <c r="OB17" s="23"/>
      <c r="OC17" s="23"/>
      <c r="OD17" s="23"/>
      <c r="OE17" s="23"/>
      <c r="OF17" s="23"/>
      <c r="OG17" s="23"/>
      <c r="OH17" s="23"/>
      <c r="OI17" s="23"/>
      <c r="OJ17" s="23"/>
      <c r="OK17" s="23"/>
      <c r="OL17" s="23"/>
      <c r="OM17" s="23"/>
      <c r="ON17" s="23"/>
      <c r="OO17" s="23"/>
      <c r="OP17" s="23"/>
      <c r="OQ17" s="23"/>
      <c r="OR17" s="23"/>
      <c r="OS17" s="23"/>
      <c r="OT17" s="23"/>
      <c r="OU17" s="23"/>
      <c r="OV17" s="23"/>
      <c r="OW17" s="23"/>
      <c r="OX17" s="23"/>
      <c r="OY17" s="23"/>
      <c r="OZ17" s="23"/>
      <c r="PA17" s="23"/>
      <c r="PB17" s="23"/>
      <c r="PC17" s="23"/>
      <c r="PD17" s="23"/>
      <c r="PE17" s="23"/>
      <c r="PF17" s="23"/>
      <c r="PG17" s="23"/>
      <c r="PH17" s="23"/>
      <c r="PI17" s="23"/>
      <c r="PJ17" s="23"/>
      <c r="PK17" s="23"/>
      <c r="PL17" s="23"/>
      <c r="PM17" s="23"/>
      <c r="PN17" s="23"/>
      <c r="PO17" s="23"/>
      <c r="PP17" s="23"/>
      <c r="PQ17" s="23"/>
      <c r="PR17" s="23"/>
      <c r="PS17" s="23"/>
      <c r="PT17" s="23"/>
      <c r="PU17" s="23"/>
      <c r="PV17" s="23"/>
      <c r="PW17" s="23"/>
      <c r="PX17" s="23"/>
      <c r="PY17" s="23"/>
      <c r="PZ17" s="23"/>
      <c r="QA17" s="23"/>
      <c r="QB17" s="23"/>
      <c r="QC17" s="23"/>
      <c r="QD17" s="23"/>
      <c r="QE17" s="23"/>
      <c r="QF17" s="23"/>
      <c r="QG17" s="23"/>
      <c r="QH17" s="23"/>
      <c r="QI17" s="23"/>
      <c r="QJ17" s="23"/>
      <c r="QK17" s="23"/>
      <c r="QL17" s="23"/>
      <c r="QM17" s="23"/>
      <c r="QN17" s="23"/>
      <c r="QO17" s="23"/>
      <c r="QP17" s="23"/>
      <c r="QQ17" s="23"/>
      <c r="QR17" s="23"/>
      <c r="QS17" s="23"/>
      <c r="QT17" s="23"/>
      <c r="QU17" s="23"/>
      <c r="QV17" s="23"/>
      <c r="QW17" s="23"/>
      <c r="QX17" s="23"/>
      <c r="QY17" s="23"/>
      <c r="QZ17" s="23"/>
      <c r="RA17" s="23"/>
      <c r="RB17" s="23"/>
      <c r="RC17" s="23"/>
      <c r="RD17" s="23"/>
      <c r="RE17" s="23"/>
      <c r="RF17" s="23"/>
      <c r="RG17" s="23"/>
      <c r="RH17" s="23"/>
      <c r="RI17" s="23"/>
      <c r="RJ17" s="23"/>
      <c r="RK17" s="23"/>
      <c r="RL17" s="23"/>
      <c r="RM17" s="23"/>
      <c r="RN17" s="23"/>
      <c r="RO17" s="23"/>
      <c r="RP17" s="23"/>
      <c r="RQ17" s="23"/>
      <c r="RR17" s="23"/>
      <c r="RS17" s="23"/>
      <c r="RT17" s="23"/>
      <c r="RU17" s="23"/>
      <c r="RV17" s="23"/>
      <c r="RW17" s="23"/>
      <c r="RX17" s="23"/>
      <c r="RY17" s="23"/>
      <c r="RZ17" s="23"/>
      <c r="SA17" s="23"/>
      <c r="SB17" s="23"/>
      <c r="SC17" s="23"/>
      <c r="SD17" s="23"/>
      <c r="SE17" s="23"/>
      <c r="SF17" s="23"/>
      <c r="SG17" s="23"/>
      <c r="SH17" s="23"/>
      <c r="SI17" s="23"/>
      <c r="SJ17" s="23"/>
      <c r="SK17" s="23"/>
      <c r="SL17" s="23"/>
      <c r="SM17" s="23"/>
      <c r="SN17" s="23"/>
      <c r="SO17" s="23"/>
      <c r="SP17" s="23"/>
      <c r="SQ17" s="23"/>
      <c r="SR17" s="23"/>
      <c r="SS17" s="23"/>
      <c r="ST17" s="23"/>
      <c r="SU17" s="23"/>
      <c r="SV17" s="23"/>
      <c r="SW17" s="23"/>
      <c r="SX17" s="23"/>
      <c r="SY17" s="23"/>
      <c r="SZ17" s="23"/>
      <c r="TA17" s="23"/>
      <c r="TB17" s="23"/>
      <c r="TC17" s="23"/>
      <c r="TD17" s="23"/>
      <c r="TE17" s="23"/>
      <c r="TF17" s="23"/>
      <c r="TG17" s="23"/>
      <c r="TH17" s="23"/>
      <c r="TI17" s="23"/>
      <c r="TJ17" s="23"/>
      <c r="TK17" s="23"/>
      <c r="TL17" s="23"/>
      <c r="TM17" s="23"/>
      <c r="TN17" s="23"/>
      <c r="TO17" s="23"/>
      <c r="TP17" s="23"/>
      <c r="TQ17" s="23"/>
      <c r="TR17" s="23"/>
      <c r="TS17" s="23"/>
      <c r="TT17" s="23"/>
      <c r="TU17" s="23"/>
      <c r="TV17" s="23"/>
      <c r="TW17" s="23"/>
      <c r="TX17" s="23"/>
      <c r="TY17" s="23"/>
      <c r="TZ17" s="23"/>
      <c r="UA17" s="23"/>
      <c r="UB17" s="23"/>
      <c r="UC17" s="23"/>
      <c r="UD17" s="23"/>
      <c r="UE17" s="23"/>
      <c r="UF17" s="23"/>
      <c r="UG17" s="23"/>
      <c r="UH17" s="23"/>
      <c r="UI17" s="23"/>
      <c r="UJ17" s="23"/>
      <c r="UK17" s="23"/>
      <c r="UL17" s="23"/>
      <c r="UM17" s="23"/>
      <c r="UN17" s="23"/>
      <c r="UO17" s="23"/>
      <c r="UP17" s="23"/>
      <c r="UQ17" s="23"/>
      <c r="UR17" s="23"/>
      <c r="US17" s="23"/>
      <c r="UT17" s="23"/>
      <c r="UU17" s="23"/>
      <c r="UV17" s="23"/>
      <c r="UW17" s="23"/>
      <c r="UX17" s="23"/>
      <c r="UY17" s="23"/>
      <c r="UZ17" s="23"/>
      <c r="VA17" s="23"/>
      <c r="VB17" s="23"/>
      <c r="VC17" s="23"/>
      <c r="VD17" s="23"/>
      <c r="VE17" s="23"/>
      <c r="VF17" s="23"/>
      <c r="VG17" s="23"/>
      <c r="VH17" s="23"/>
      <c r="VI17" s="23"/>
      <c r="VJ17" s="23"/>
      <c r="VK17" s="23"/>
      <c r="VL17" s="23"/>
      <c r="VM17" s="23"/>
      <c r="VN17" s="23"/>
      <c r="VO17" s="23"/>
      <c r="VP17" s="23"/>
      <c r="VQ17" s="23"/>
      <c r="VR17" s="23"/>
      <c r="VS17" s="23"/>
      <c r="VT17" s="23"/>
      <c r="VU17" s="23"/>
      <c r="VV17" s="23"/>
      <c r="VW17" s="23"/>
      <c r="VX17" s="23"/>
      <c r="VY17" s="23"/>
      <c r="VZ17" s="23"/>
      <c r="WA17" s="23"/>
      <c r="WB17" s="23"/>
      <c r="WC17" s="23"/>
      <c r="WD17" s="23"/>
      <c r="WE17" s="23"/>
      <c r="WF17" s="23"/>
      <c r="WG17" s="23"/>
      <c r="WH17" s="23"/>
      <c r="WI17" s="23"/>
      <c r="WJ17" s="23"/>
      <c r="WK17" s="23"/>
      <c r="WL17" s="23"/>
      <c r="WM17" s="23"/>
      <c r="WN17" s="23"/>
      <c r="WO17" s="23"/>
      <c r="WP17" s="23"/>
      <c r="WQ17" s="23"/>
      <c r="WR17" s="23"/>
      <c r="WS17" s="23"/>
      <c r="WT17" s="23"/>
      <c r="WU17" s="23"/>
      <c r="WV17" s="23"/>
      <c r="WW17" s="23"/>
      <c r="WX17" s="23"/>
      <c r="WY17" s="23"/>
      <c r="WZ17" s="23"/>
      <c r="XA17" s="23"/>
      <c r="XB17" s="23"/>
      <c r="XC17" s="23"/>
      <c r="XD17" s="23"/>
      <c r="XE17" s="23"/>
      <c r="XF17" s="23"/>
      <c r="XG17" s="23"/>
      <c r="XH17" s="23"/>
      <c r="XI17" s="23"/>
      <c r="XJ17" s="23"/>
      <c r="XK17" s="23"/>
      <c r="XL17" s="23"/>
      <c r="XM17" s="23"/>
      <c r="XN17" s="23"/>
      <c r="XO17" s="23"/>
      <c r="XP17" s="23"/>
      <c r="XQ17" s="23"/>
      <c r="XR17" s="23"/>
      <c r="XS17" s="23"/>
      <c r="XT17" s="23"/>
      <c r="XU17" s="23"/>
      <c r="XV17" s="23"/>
      <c r="XW17" s="23"/>
      <c r="XX17" s="23"/>
      <c r="XY17" s="23"/>
      <c r="XZ17" s="23"/>
      <c r="YA17" s="23"/>
      <c r="YB17" s="23"/>
      <c r="YC17" s="23"/>
      <c r="YD17" s="23"/>
      <c r="YE17" s="23"/>
      <c r="YF17" s="23"/>
      <c r="YG17" s="23"/>
      <c r="YH17" s="23"/>
      <c r="YI17" s="23"/>
      <c r="YJ17" s="23"/>
      <c r="YK17" s="23"/>
      <c r="YL17" s="23"/>
      <c r="YM17" s="23"/>
      <c r="YN17" s="23"/>
      <c r="YO17" s="23"/>
      <c r="YP17" s="23"/>
      <c r="YQ17" s="23"/>
      <c r="YR17" s="23"/>
      <c r="YS17" s="23"/>
      <c r="YT17" s="23"/>
      <c r="YU17" s="23"/>
      <c r="YV17" s="23"/>
      <c r="YW17" s="23"/>
      <c r="YX17" s="23"/>
      <c r="YY17" s="23"/>
      <c r="YZ17" s="23"/>
      <c r="ZA17" s="23"/>
      <c r="ZB17" s="23"/>
      <c r="ZC17" s="23"/>
      <c r="ZD17" s="23"/>
      <c r="ZE17" s="52"/>
    </row>
    <row r="18" spans="1:682" s="50" customFormat="1" x14ac:dyDescent="0.25">
      <c r="A18" s="30">
        <v>2000</v>
      </c>
      <c r="B18" s="104" t="s">
        <v>30</v>
      </c>
      <c r="C18" s="103" t="s">
        <v>66</v>
      </c>
      <c r="D18" s="5" t="s">
        <v>65</v>
      </c>
      <c r="E18" s="103" t="s">
        <v>49</v>
      </c>
      <c r="F18" s="5" t="s">
        <v>48</v>
      </c>
      <c r="G18" s="56">
        <v>2</v>
      </c>
      <c r="H18" s="46" t="s">
        <v>42</v>
      </c>
      <c r="I18" s="47"/>
      <c r="J18" s="48">
        <f ca="1">OFFSET(MJ_Initialisation!D46,0,2)</f>
        <v>480</v>
      </c>
      <c r="K18" s="48">
        <f ca="1">OFFSET(MJ_Initialisation!E46,0,2)</f>
        <v>197</v>
      </c>
      <c r="L18" s="48">
        <f ca="1">OFFSET(MJ_Initialisation!F46,0,2)</f>
        <v>379</v>
      </c>
      <c r="M18" s="48">
        <f ca="1">OFFSET(MJ_Initialisation!G46,0,2)</f>
        <v>295</v>
      </c>
      <c r="N18" s="48">
        <f ca="1">OFFSET(MJ_Initialisation!H46,0,2)</f>
        <v>473</v>
      </c>
      <c r="O18" s="48">
        <f ca="1">OFFSET(MJ_Initialisation!I46,0,2)</f>
        <v>321</v>
      </c>
      <c r="P18" s="48">
        <f ca="1">OFFSET(MJ_Initialisation!J46,0,2)</f>
        <v>374</v>
      </c>
      <c r="Q18" s="48">
        <f ca="1">OFFSET(MJ_Initialisation!K46,0,2)</f>
        <v>297</v>
      </c>
      <c r="R18" s="48">
        <f ca="1">OFFSET(MJ_Initialisation!L46,0,2)</f>
        <v>227</v>
      </c>
      <c r="S18" s="48">
        <f ca="1">OFFSET(MJ_Initialisation!M46,0,2)</f>
        <v>417</v>
      </c>
      <c r="T18" s="48">
        <f ca="1">OFFSET(MJ_Initialisation!N46,0,2)</f>
        <v>296</v>
      </c>
      <c r="U18" s="48">
        <f ca="1">OFFSET(MJ_Initialisation!O46,0,2)</f>
        <v>71</v>
      </c>
      <c r="V18" s="48">
        <f ca="1">OFFSET(MJ_Initialisation!P46,0,2)</f>
        <v>273</v>
      </c>
      <c r="W18" s="48">
        <f ca="1">OFFSET(MJ_Initialisation!Q46,0,2)</f>
        <v>450</v>
      </c>
      <c r="X18" s="48">
        <f ca="1">OFFSET(MJ_Initialisation!R46,0,2)</f>
        <v>450</v>
      </c>
      <c r="Y18" s="48">
        <f ca="1">OFFSET(MJ_Initialisation!S46,0,2)</f>
        <v>240</v>
      </c>
      <c r="Z18" s="48">
        <f ca="1">OFFSET(MJ_Initialisation!T46,0,2)</f>
        <v>296</v>
      </c>
      <c r="AA18" s="48">
        <f ca="1">OFFSET(MJ_Initialisation!U46,0,2)</f>
        <v>449</v>
      </c>
      <c r="AB18" s="48">
        <f ca="1">OFFSET(MJ_Initialisation!V46,0,2)</f>
        <v>232</v>
      </c>
      <c r="AC18" s="48">
        <f ca="1">OFFSET(MJ_Initialisation!W46,0,2)</f>
        <v>146</v>
      </c>
      <c r="AD18" s="48">
        <f ca="1">OFFSET(MJ_Initialisation!X46,0,2)</f>
        <v>208</v>
      </c>
      <c r="AE18" s="48">
        <f ca="1">OFFSET(MJ_Initialisation!Y46,0,2)</f>
        <v>108</v>
      </c>
      <c r="AF18" s="48">
        <f ca="1">OFFSET(MJ_Initialisation!Z46,0,2)</f>
        <v>0</v>
      </c>
      <c r="AG18" s="48">
        <f ca="1">OFFSET(MJ_Initialisation!AA46,0,2)</f>
        <v>0</v>
      </c>
      <c r="AH18" s="241"/>
      <c r="AI18" s="241"/>
      <c r="AJ18" s="241"/>
      <c r="AK18" s="241"/>
      <c r="AL18" s="23"/>
      <c r="AM18" s="23"/>
      <c r="AN18" s="23"/>
      <c r="AO18" s="23"/>
      <c r="AP18" s="23"/>
      <c r="AQ18" s="23"/>
      <c r="AR18" s="23"/>
      <c r="AS18" s="23"/>
      <c r="AT18" s="23"/>
      <c r="AU18" s="23"/>
      <c r="AV18" s="23"/>
      <c r="AW18" s="23"/>
      <c r="AX18" s="23"/>
      <c r="AY18" s="23"/>
      <c r="AZ18" s="23"/>
      <c r="BA18" s="23"/>
      <c r="BB18" s="23"/>
      <c r="BC18" s="23"/>
      <c r="BD18" s="23"/>
      <c r="BE18" s="23"/>
      <c r="BF18" s="23"/>
      <c r="BG18" s="23"/>
      <c r="BH18" s="23"/>
      <c r="BI18" s="23"/>
      <c r="BJ18" s="23"/>
      <c r="BK18" s="23"/>
      <c r="BL18" s="23"/>
      <c r="BM18" s="23"/>
      <c r="BN18" s="23"/>
      <c r="BO18" s="23"/>
      <c r="BP18" s="23"/>
      <c r="BQ18" s="23"/>
      <c r="BR18" s="23"/>
      <c r="BS18" s="23"/>
      <c r="BT18" s="23"/>
      <c r="BU18" s="23"/>
      <c r="BV18" s="23"/>
      <c r="BW18" s="23"/>
      <c r="BX18" s="23"/>
      <c r="BY18" s="23"/>
      <c r="BZ18" s="23"/>
      <c r="CA18" s="23"/>
      <c r="CB18" s="23"/>
      <c r="CC18" s="23"/>
      <c r="CD18" s="23"/>
      <c r="CE18" s="23"/>
      <c r="CF18" s="23"/>
      <c r="CG18" s="23"/>
      <c r="CH18" s="23"/>
      <c r="CI18" s="23"/>
      <c r="CJ18" s="23"/>
      <c r="CK18" s="23"/>
      <c r="CL18" s="23"/>
      <c r="CM18" s="23"/>
      <c r="CN18" s="23"/>
      <c r="CO18" s="23"/>
      <c r="CP18" s="23"/>
      <c r="CQ18" s="23"/>
      <c r="CR18" s="23"/>
      <c r="CS18" s="23"/>
      <c r="CT18" s="23"/>
      <c r="CU18" s="23"/>
      <c r="CV18" s="23"/>
      <c r="CW18" s="23"/>
      <c r="CX18" s="23"/>
      <c r="CY18" s="23"/>
      <c r="CZ18" s="23"/>
      <c r="DA18" s="23"/>
      <c r="DB18" s="23"/>
      <c r="DC18" s="23"/>
      <c r="DD18" s="23"/>
      <c r="DE18" s="23"/>
      <c r="DF18" s="23"/>
      <c r="DG18" s="23"/>
      <c r="DH18" s="23"/>
      <c r="DI18" s="23"/>
      <c r="DJ18" s="23"/>
      <c r="DK18" s="23"/>
      <c r="DL18" s="23"/>
      <c r="DM18" s="23"/>
      <c r="DN18" s="23"/>
      <c r="DO18" s="23"/>
      <c r="DP18" s="23"/>
      <c r="DQ18" s="23"/>
      <c r="DR18" s="23"/>
      <c r="DS18" s="23"/>
      <c r="DT18" s="23"/>
      <c r="DU18" s="23"/>
      <c r="DV18" s="23"/>
      <c r="DW18" s="23"/>
      <c r="DX18" s="23"/>
      <c r="DY18" s="23"/>
      <c r="DZ18" s="23"/>
      <c r="EA18" s="23"/>
      <c r="EB18" s="23"/>
      <c r="EC18" s="23"/>
      <c r="ED18" s="23"/>
      <c r="EE18" s="23"/>
      <c r="EF18" s="23"/>
      <c r="EG18" s="23"/>
      <c r="EH18" s="23"/>
      <c r="EI18" s="23"/>
      <c r="EJ18" s="23"/>
      <c r="EK18" s="23"/>
      <c r="EL18" s="23"/>
      <c r="EM18" s="23"/>
      <c r="EN18" s="23"/>
      <c r="EO18" s="23"/>
      <c r="EP18" s="23"/>
      <c r="EQ18" s="23"/>
      <c r="ER18" s="23"/>
      <c r="ES18" s="23"/>
      <c r="ET18" s="23"/>
      <c r="EU18" s="23"/>
      <c r="EV18" s="23"/>
      <c r="EW18" s="23"/>
      <c r="EX18" s="23"/>
      <c r="EY18" s="23"/>
      <c r="EZ18" s="23"/>
      <c r="FA18" s="23"/>
      <c r="FB18" s="23"/>
      <c r="FC18" s="23"/>
      <c r="FD18" s="23"/>
      <c r="FE18" s="23"/>
      <c r="FF18" s="23"/>
      <c r="FG18" s="23"/>
      <c r="FH18" s="23"/>
      <c r="FI18" s="23"/>
      <c r="FJ18" s="23"/>
      <c r="FK18" s="23"/>
      <c r="FL18" s="23"/>
      <c r="FM18" s="23"/>
      <c r="FN18" s="23"/>
      <c r="FO18" s="23"/>
      <c r="FP18" s="23"/>
      <c r="FQ18" s="23"/>
      <c r="FR18" s="23"/>
      <c r="FS18" s="23"/>
      <c r="FT18" s="23"/>
      <c r="FU18" s="23"/>
      <c r="FV18" s="23"/>
      <c r="FW18" s="23"/>
      <c r="FX18" s="23"/>
      <c r="FY18" s="23"/>
      <c r="FZ18" s="23"/>
      <c r="GA18" s="23"/>
      <c r="GB18" s="23"/>
      <c r="GC18" s="23"/>
      <c r="GD18" s="23"/>
      <c r="GE18" s="23"/>
      <c r="GF18" s="23"/>
      <c r="GG18" s="23"/>
      <c r="GH18" s="23"/>
      <c r="GI18" s="23"/>
      <c r="GJ18" s="23"/>
      <c r="GK18" s="23"/>
      <c r="GL18" s="23"/>
      <c r="GM18" s="23"/>
      <c r="GN18" s="23"/>
      <c r="GO18" s="23"/>
      <c r="GP18" s="23"/>
      <c r="GQ18" s="23"/>
      <c r="GR18" s="23"/>
      <c r="GS18" s="23"/>
      <c r="GT18" s="23"/>
      <c r="GU18" s="23"/>
      <c r="GV18" s="23"/>
      <c r="GW18" s="23"/>
      <c r="GX18" s="23"/>
      <c r="GY18" s="23"/>
      <c r="GZ18" s="23"/>
      <c r="HA18" s="23"/>
      <c r="HB18" s="23"/>
      <c r="HC18" s="23"/>
      <c r="HD18" s="23"/>
      <c r="HE18" s="23"/>
      <c r="HF18" s="23"/>
      <c r="HG18" s="23"/>
      <c r="HH18" s="23"/>
      <c r="HI18" s="23"/>
      <c r="HJ18" s="23"/>
      <c r="HK18" s="23"/>
      <c r="HL18" s="23"/>
      <c r="HM18" s="23"/>
      <c r="HN18" s="23"/>
      <c r="HO18" s="23"/>
      <c r="HP18" s="23"/>
      <c r="HQ18" s="23"/>
      <c r="HR18" s="23"/>
      <c r="HS18" s="23"/>
      <c r="HT18" s="23"/>
      <c r="HU18" s="23"/>
      <c r="HV18" s="23"/>
      <c r="HW18" s="23"/>
      <c r="HX18" s="23"/>
      <c r="HY18" s="23"/>
      <c r="HZ18" s="23"/>
      <c r="IA18" s="23"/>
      <c r="IB18" s="23"/>
      <c r="IC18" s="23"/>
      <c r="ID18" s="23"/>
      <c r="IE18" s="23"/>
      <c r="IF18" s="23"/>
      <c r="IG18" s="23"/>
      <c r="IH18" s="23"/>
      <c r="II18" s="23"/>
      <c r="IJ18" s="23"/>
      <c r="IK18" s="23"/>
      <c r="IL18" s="23"/>
      <c r="IM18" s="23"/>
      <c r="IN18" s="23"/>
      <c r="IO18" s="23"/>
      <c r="IP18" s="23"/>
      <c r="IQ18" s="23"/>
      <c r="IR18" s="23"/>
      <c r="IS18" s="23"/>
      <c r="IT18" s="23"/>
      <c r="IU18" s="23"/>
      <c r="IV18" s="23"/>
      <c r="IW18" s="23"/>
      <c r="IX18" s="23"/>
      <c r="IY18" s="23"/>
      <c r="IZ18" s="23"/>
      <c r="JA18" s="23"/>
      <c r="JB18" s="23"/>
      <c r="JC18" s="23"/>
      <c r="JD18" s="23"/>
      <c r="JE18" s="23"/>
      <c r="JF18" s="23"/>
      <c r="JG18" s="23"/>
      <c r="JH18" s="23"/>
      <c r="JI18" s="23"/>
      <c r="JJ18" s="23"/>
      <c r="JK18" s="23"/>
      <c r="JL18" s="23"/>
      <c r="JM18" s="23"/>
      <c r="JN18" s="23"/>
      <c r="JO18" s="23"/>
      <c r="JP18" s="23"/>
      <c r="JQ18" s="23"/>
      <c r="JR18" s="23"/>
      <c r="JS18" s="23"/>
      <c r="JT18" s="23"/>
      <c r="JU18" s="23"/>
      <c r="JV18" s="23"/>
      <c r="JW18" s="23"/>
      <c r="JX18" s="23"/>
      <c r="JY18" s="23"/>
      <c r="JZ18" s="23"/>
      <c r="KA18" s="23"/>
      <c r="KB18" s="23"/>
      <c r="KC18" s="23"/>
      <c r="KD18" s="23"/>
      <c r="KE18" s="23"/>
      <c r="KF18" s="23"/>
      <c r="KG18" s="23"/>
      <c r="KH18" s="23"/>
      <c r="KI18" s="23"/>
      <c r="KJ18" s="23"/>
      <c r="KK18" s="23"/>
      <c r="KL18" s="23"/>
      <c r="KM18" s="23"/>
      <c r="KN18" s="23"/>
      <c r="KO18" s="23"/>
      <c r="KP18" s="23"/>
      <c r="KQ18" s="23"/>
      <c r="KR18" s="23"/>
      <c r="KS18" s="23"/>
      <c r="KT18" s="23"/>
      <c r="KU18" s="23"/>
      <c r="KV18" s="23"/>
      <c r="KW18" s="23"/>
      <c r="KX18" s="23"/>
      <c r="KY18" s="23"/>
      <c r="KZ18" s="23"/>
      <c r="LA18" s="23"/>
      <c r="LB18" s="23"/>
      <c r="LC18" s="23"/>
      <c r="LD18" s="23"/>
      <c r="LE18" s="23"/>
      <c r="LF18" s="23"/>
      <c r="LG18" s="23"/>
      <c r="LH18" s="23"/>
      <c r="LI18" s="23"/>
      <c r="LJ18" s="23"/>
      <c r="LK18" s="23"/>
      <c r="LL18" s="23"/>
      <c r="LM18" s="23"/>
      <c r="LN18" s="23"/>
      <c r="LO18" s="23"/>
      <c r="LP18" s="23"/>
      <c r="LQ18" s="23"/>
      <c r="LR18" s="23"/>
      <c r="LS18" s="23"/>
      <c r="LT18" s="23"/>
      <c r="LU18" s="23"/>
      <c r="LV18" s="23"/>
      <c r="LW18" s="23"/>
      <c r="LX18" s="23"/>
      <c r="LY18" s="23"/>
      <c r="LZ18" s="23"/>
      <c r="MA18" s="23"/>
      <c r="MB18" s="23"/>
      <c r="MC18" s="23"/>
      <c r="MD18" s="23"/>
      <c r="ME18" s="23"/>
      <c r="MF18" s="23"/>
      <c r="MG18" s="23"/>
      <c r="MH18" s="23"/>
      <c r="MI18" s="23"/>
      <c r="MJ18" s="23"/>
      <c r="MK18" s="23"/>
      <c r="ML18" s="23"/>
      <c r="MM18" s="23"/>
      <c r="MN18" s="23"/>
      <c r="MO18" s="23"/>
      <c r="MP18" s="23"/>
      <c r="MQ18" s="23"/>
      <c r="MR18" s="23"/>
      <c r="MS18" s="23"/>
      <c r="MT18" s="23"/>
      <c r="MU18" s="23"/>
      <c r="MV18" s="23"/>
      <c r="MW18" s="23"/>
      <c r="MX18" s="23"/>
      <c r="MY18" s="23"/>
      <c r="MZ18" s="23"/>
      <c r="NA18" s="23"/>
      <c r="NB18" s="23"/>
      <c r="NC18" s="23"/>
      <c r="ND18" s="23"/>
      <c r="NE18" s="23"/>
      <c r="NF18" s="23"/>
      <c r="NG18" s="23"/>
      <c r="NH18" s="23"/>
      <c r="NI18" s="23"/>
      <c r="NJ18" s="23"/>
      <c r="NK18" s="23"/>
      <c r="NL18" s="23"/>
      <c r="NM18" s="23"/>
      <c r="NN18" s="23"/>
      <c r="NO18" s="23"/>
      <c r="NP18" s="23"/>
      <c r="NQ18" s="23"/>
      <c r="NR18" s="23"/>
      <c r="NS18" s="23"/>
      <c r="NT18" s="23"/>
      <c r="NU18" s="23"/>
      <c r="NV18" s="23"/>
      <c r="NW18" s="23"/>
      <c r="NX18" s="23"/>
      <c r="NY18" s="23"/>
      <c r="NZ18" s="23"/>
      <c r="OA18" s="23"/>
      <c r="OB18" s="23"/>
      <c r="OC18" s="23"/>
      <c r="OD18" s="23"/>
      <c r="OE18" s="23"/>
      <c r="OF18" s="23"/>
      <c r="OG18" s="23"/>
      <c r="OH18" s="23"/>
      <c r="OI18" s="23"/>
      <c r="OJ18" s="23"/>
      <c r="OK18" s="23"/>
      <c r="OL18" s="23"/>
      <c r="OM18" s="23"/>
      <c r="ON18" s="23"/>
      <c r="OO18" s="23"/>
      <c r="OP18" s="23"/>
      <c r="OQ18" s="23"/>
      <c r="OR18" s="23"/>
      <c r="OS18" s="23"/>
      <c r="OT18" s="23"/>
      <c r="OU18" s="23"/>
      <c r="OV18" s="23"/>
      <c r="OW18" s="23"/>
      <c r="OX18" s="23"/>
      <c r="OY18" s="23"/>
      <c r="OZ18" s="23"/>
      <c r="PA18" s="23"/>
      <c r="PB18" s="23"/>
      <c r="PC18" s="23"/>
      <c r="PD18" s="23"/>
      <c r="PE18" s="23"/>
      <c r="PF18" s="23"/>
      <c r="PG18" s="23"/>
      <c r="PH18" s="23"/>
      <c r="PI18" s="23"/>
      <c r="PJ18" s="23"/>
      <c r="PK18" s="23"/>
      <c r="PL18" s="23"/>
      <c r="PM18" s="23"/>
      <c r="PN18" s="23"/>
      <c r="PO18" s="23"/>
      <c r="PP18" s="23"/>
      <c r="PQ18" s="23"/>
      <c r="PR18" s="23"/>
      <c r="PS18" s="23"/>
      <c r="PT18" s="23"/>
      <c r="PU18" s="23"/>
      <c r="PV18" s="23"/>
      <c r="PW18" s="23"/>
      <c r="PX18" s="23"/>
      <c r="PY18" s="23"/>
      <c r="PZ18" s="23"/>
      <c r="QA18" s="23"/>
      <c r="QB18" s="23"/>
      <c r="QC18" s="23"/>
      <c r="QD18" s="23"/>
      <c r="QE18" s="23"/>
      <c r="QF18" s="23"/>
      <c r="QG18" s="23"/>
      <c r="QH18" s="23"/>
      <c r="QI18" s="23"/>
      <c r="QJ18" s="23"/>
      <c r="QK18" s="23"/>
      <c r="QL18" s="23"/>
      <c r="QM18" s="23"/>
      <c r="QN18" s="23"/>
      <c r="QO18" s="23"/>
      <c r="QP18" s="23"/>
      <c r="QQ18" s="23"/>
      <c r="QR18" s="23"/>
      <c r="QS18" s="23"/>
      <c r="QT18" s="23"/>
      <c r="QU18" s="23"/>
      <c r="QV18" s="23"/>
      <c r="QW18" s="23"/>
      <c r="QX18" s="23"/>
      <c r="QY18" s="23"/>
      <c r="QZ18" s="23"/>
      <c r="RA18" s="23"/>
      <c r="RB18" s="23"/>
      <c r="RC18" s="23"/>
      <c r="RD18" s="23"/>
      <c r="RE18" s="23"/>
      <c r="RF18" s="23"/>
      <c r="RG18" s="23"/>
      <c r="RH18" s="23"/>
      <c r="RI18" s="23"/>
      <c r="RJ18" s="23"/>
      <c r="RK18" s="23"/>
      <c r="RL18" s="23"/>
      <c r="RM18" s="23"/>
      <c r="RN18" s="23"/>
      <c r="RO18" s="23"/>
      <c r="RP18" s="23"/>
      <c r="RQ18" s="23"/>
      <c r="RR18" s="23"/>
      <c r="RS18" s="23"/>
      <c r="RT18" s="23"/>
      <c r="RU18" s="23"/>
      <c r="RV18" s="23"/>
      <c r="RW18" s="23"/>
      <c r="RX18" s="23"/>
      <c r="RY18" s="23"/>
      <c r="RZ18" s="23"/>
      <c r="SA18" s="23"/>
      <c r="SB18" s="23"/>
      <c r="SC18" s="23"/>
      <c r="SD18" s="23"/>
      <c r="SE18" s="23"/>
      <c r="SF18" s="23"/>
      <c r="SG18" s="23"/>
      <c r="SH18" s="23"/>
      <c r="SI18" s="23"/>
      <c r="SJ18" s="23"/>
      <c r="SK18" s="23"/>
      <c r="SL18" s="23"/>
      <c r="SM18" s="23"/>
      <c r="SN18" s="23"/>
      <c r="SO18" s="23"/>
      <c r="SP18" s="23"/>
      <c r="SQ18" s="23"/>
      <c r="SR18" s="23"/>
      <c r="SS18" s="23"/>
      <c r="ST18" s="23"/>
      <c r="SU18" s="23"/>
      <c r="SV18" s="23"/>
      <c r="SW18" s="23"/>
      <c r="SX18" s="23"/>
      <c r="SY18" s="23"/>
      <c r="SZ18" s="23"/>
      <c r="TA18" s="23"/>
      <c r="TB18" s="23"/>
      <c r="TC18" s="23"/>
      <c r="TD18" s="23"/>
      <c r="TE18" s="23"/>
      <c r="TF18" s="23"/>
      <c r="TG18" s="23"/>
      <c r="TH18" s="23"/>
      <c r="TI18" s="23"/>
      <c r="TJ18" s="23"/>
      <c r="TK18" s="23"/>
      <c r="TL18" s="23"/>
      <c r="TM18" s="23"/>
      <c r="TN18" s="23"/>
      <c r="TO18" s="23"/>
      <c r="TP18" s="23"/>
      <c r="TQ18" s="23"/>
      <c r="TR18" s="23"/>
      <c r="TS18" s="23"/>
      <c r="TT18" s="23"/>
      <c r="TU18" s="23"/>
      <c r="TV18" s="23"/>
      <c r="TW18" s="23"/>
      <c r="TX18" s="23"/>
      <c r="TY18" s="23"/>
      <c r="TZ18" s="23"/>
      <c r="UA18" s="23"/>
      <c r="UB18" s="23"/>
      <c r="UC18" s="23"/>
      <c r="UD18" s="23"/>
      <c r="UE18" s="23"/>
      <c r="UF18" s="23"/>
      <c r="UG18" s="23"/>
      <c r="UH18" s="23"/>
      <c r="UI18" s="23"/>
      <c r="UJ18" s="23"/>
      <c r="UK18" s="23"/>
      <c r="UL18" s="23"/>
      <c r="UM18" s="23"/>
      <c r="UN18" s="23"/>
      <c r="UO18" s="23"/>
      <c r="UP18" s="23"/>
      <c r="UQ18" s="23"/>
      <c r="UR18" s="23"/>
      <c r="US18" s="23"/>
      <c r="UT18" s="23"/>
      <c r="UU18" s="23"/>
      <c r="UV18" s="23"/>
      <c r="UW18" s="23"/>
      <c r="UX18" s="23"/>
      <c r="UY18" s="23"/>
      <c r="UZ18" s="23"/>
      <c r="VA18" s="23"/>
      <c r="VB18" s="23"/>
      <c r="VC18" s="23"/>
      <c r="VD18" s="23"/>
      <c r="VE18" s="23"/>
      <c r="VF18" s="23"/>
      <c r="VG18" s="23"/>
      <c r="VH18" s="23"/>
      <c r="VI18" s="23"/>
      <c r="VJ18" s="23"/>
      <c r="VK18" s="23"/>
      <c r="VL18" s="23"/>
      <c r="VM18" s="23"/>
      <c r="VN18" s="23"/>
      <c r="VO18" s="23"/>
      <c r="VP18" s="23"/>
      <c r="VQ18" s="23"/>
      <c r="VR18" s="23"/>
      <c r="VS18" s="23"/>
      <c r="VT18" s="23"/>
      <c r="VU18" s="23"/>
      <c r="VV18" s="23"/>
      <c r="VW18" s="23"/>
      <c r="VX18" s="23"/>
      <c r="VY18" s="23"/>
      <c r="VZ18" s="23"/>
      <c r="WA18" s="23"/>
      <c r="WB18" s="23"/>
      <c r="WC18" s="23"/>
      <c r="WD18" s="23"/>
      <c r="WE18" s="23"/>
      <c r="WF18" s="23"/>
      <c r="WG18" s="23"/>
      <c r="WH18" s="23"/>
      <c r="WI18" s="23"/>
      <c r="WJ18" s="23"/>
      <c r="WK18" s="23"/>
      <c r="WL18" s="23"/>
      <c r="WM18" s="23"/>
      <c r="WN18" s="23"/>
      <c r="WO18" s="23"/>
      <c r="WP18" s="23"/>
      <c r="WQ18" s="23"/>
      <c r="WR18" s="23"/>
      <c r="WS18" s="23"/>
      <c r="WT18" s="23"/>
      <c r="WU18" s="23"/>
      <c r="WV18" s="23"/>
      <c r="WW18" s="23"/>
      <c r="WX18" s="23"/>
      <c r="WY18" s="23"/>
      <c r="WZ18" s="23"/>
      <c r="XA18" s="23"/>
      <c r="XB18" s="23"/>
      <c r="XC18" s="23"/>
      <c r="XD18" s="23"/>
      <c r="XE18" s="23"/>
      <c r="XF18" s="23"/>
      <c r="XG18" s="23"/>
      <c r="XH18" s="23"/>
      <c r="XI18" s="23"/>
      <c r="XJ18" s="23"/>
      <c r="XK18" s="23"/>
      <c r="XL18" s="23"/>
      <c r="XM18" s="23"/>
      <c r="XN18" s="23"/>
      <c r="XO18" s="23"/>
      <c r="XP18" s="23"/>
      <c r="XQ18" s="23"/>
      <c r="XR18" s="23"/>
      <c r="XS18" s="23"/>
      <c r="XT18" s="23"/>
      <c r="XU18" s="23"/>
      <c r="XV18" s="23"/>
      <c r="XW18" s="23"/>
      <c r="XX18" s="23"/>
      <c r="XY18" s="23"/>
      <c r="XZ18" s="23"/>
      <c r="YA18" s="23"/>
      <c r="YB18" s="23"/>
      <c r="YC18" s="23"/>
      <c r="YD18" s="23"/>
      <c r="YE18" s="23"/>
      <c r="YF18" s="23"/>
      <c r="YG18" s="23"/>
      <c r="YH18" s="23"/>
      <c r="YI18" s="23"/>
      <c r="YJ18" s="23"/>
      <c r="YK18" s="23"/>
      <c r="YL18" s="23"/>
      <c r="YM18" s="23"/>
      <c r="YN18" s="23"/>
      <c r="YO18" s="23"/>
      <c r="YP18" s="23"/>
      <c r="YQ18" s="23"/>
      <c r="YR18" s="23"/>
      <c r="YS18" s="23"/>
      <c r="YT18" s="23"/>
      <c r="YU18" s="23"/>
      <c r="YV18" s="23"/>
      <c r="YW18" s="23"/>
      <c r="YX18" s="23"/>
      <c r="YY18" s="23"/>
      <c r="YZ18" s="23"/>
      <c r="ZA18" s="23"/>
      <c r="ZB18" s="23"/>
      <c r="ZC18" s="23"/>
      <c r="ZD18" s="23"/>
      <c r="ZE18" s="53"/>
    </row>
    <row r="19" spans="1:682" s="5" customFormat="1" ht="15" customHeight="1" x14ac:dyDescent="0.25">
      <c r="A19" s="30">
        <v>2000</v>
      </c>
      <c r="B19" s="104" t="s">
        <v>30</v>
      </c>
      <c r="C19" s="103" t="s">
        <v>66</v>
      </c>
      <c r="D19" s="5" t="s">
        <v>65</v>
      </c>
      <c r="E19" s="103" t="s">
        <v>49</v>
      </c>
      <c r="F19" s="5" t="s">
        <v>48</v>
      </c>
      <c r="G19" s="56">
        <v>2</v>
      </c>
      <c r="H19" s="46" t="s">
        <v>43</v>
      </c>
      <c r="I19" s="47"/>
      <c r="J19" s="48">
        <f ca="1">OFFSET(MJ_Initialisation!D47,0,2)</f>
        <v>0</v>
      </c>
      <c r="K19" s="48">
        <f ca="1">OFFSET(MJ_Initialisation!E47,0,2)</f>
        <v>0</v>
      </c>
      <c r="L19" s="48">
        <f ca="1">OFFSET(MJ_Initialisation!F47,0,2)</f>
        <v>0</v>
      </c>
      <c r="M19" s="48">
        <f ca="1">OFFSET(MJ_Initialisation!G47,0,2)</f>
        <v>0</v>
      </c>
      <c r="N19" s="48">
        <f ca="1">OFFSET(MJ_Initialisation!H47,0,2)</f>
        <v>0</v>
      </c>
      <c r="O19" s="48">
        <f ca="1">OFFSET(MJ_Initialisation!I47,0,2)</f>
        <v>0</v>
      </c>
      <c r="P19" s="48">
        <f ca="1">OFFSET(MJ_Initialisation!J47,0,2)</f>
        <v>0</v>
      </c>
      <c r="Q19" s="48">
        <f ca="1">OFFSET(MJ_Initialisation!K47,0,2)</f>
        <v>0</v>
      </c>
      <c r="R19" s="48">
        <f ca="1">OFFSET(MJ_Initialisation!L47,0,2)</f>
        <v>0</v>
      </c>
      <c r="S19" s="48">
        <f ca="1">OFFSET(MJ_Initialisation!M47,0,2)</f>
        <v>0</v>
      </c>
      <c r="T19" s="48">
        <f ca="1">OFFSET(MJ_Initialisation!N47,0,2)</f>
        <v>0</v>
      </c>
      <c r="U19" s="48">
        <f ca="1">OFFSET(MJ_Initialisation!O47,0,2)</f>
        <v>0</v>
      </c>
      <c r="V19" s="48">
        <f ca="1">OFFSET(MJ_Initialisation!P47,0,2)</f>
        <v>0</v>
      </c>
      <c r="W19" s="48">
        <f ca="1">OFFSET(MJ_Initialisation!Q47,0,2)</f>
        <v>0</v>
      </c>
      <c r="X19" s="48">
        <f ca="1">OFFSET(MJ_Initialisation!R47,0,2)</f>
        <v>0</v>
      </c>
      <c r="Y19" s="48">
        <f ca="1">OFFSET(MJ_Initialisation!S47,0,2)</f>
        <v>0</v>
      </c>
      <c r="Z19" s="48">
        <f ca="1">OFFSET(MJ_Initialisation!T47,0,2)</f>
        <v>0</v>
      </c>
      <c r="AA19" s="48">
        <f ca="1">OFFSET(MJ_Initialisation!U47,0,2)</f>
        <v>0</v>
      </c>
      <c r="AB19" s="48">
        <f ca="1">OFFSET(MJ_Initialisation!V47,0,2)</f>
        <v>0</v>
      </c>
      <c r="AC19" s="48">
        <f ca="1">OFFSET(MJ_Initialisation!W47,0,2)</f>
        <v>0</v>
      </c>
      <c r="AD19" s="48">
        <f ca="1">OFFSET(MJ_Initialisation!X47,0,2)</f>
        <v>0</v>
      </c>
      <c r="AE19" s="48">
        <f ca="1">OFFSET(MJ_Initialisation!Y47,0,2)</f>
        <v>0</v>
      </c>
      <c r="AF19" s="48">
        <f ca="1">OFFSET(MJ_Initialisation!Z47,0,2)</f>
        <v>0</v>
      </c>
      <c r="AG19" s="48">
        <f ca="1">OFFSET(MJ_Initialisation!AA47,0,2)</f>
        <v>0</v>
      </c>
      <c r="AH19" s="241"/>
      <c r="AI19" s="241"/>
      <c r="AJ19" s="241"/>
      <c r="AK19" s="241"/>
      <c r="AL19" s="23"/>
      <c r="AM19" s="23"/>
      <c r="AN19" s="23"/>
      <c r="AO19" s="23"/>
      <c r="AP19" s="23"/>
      <c r="AQ19" s="23"/>
      <c r="AR19" s="23"/>
      <c r="AS19" s="23"/>
      <c r="AT19" s="23"/>
      <c r="AU19" s="23"/>
      <c r="AV19" s="23"/>
      <c r="AW19" s="23"/>
      <c r="AX19" s="23"/>
      <c r="AY19" s="23"/>
      <c r="AZ19" s="23"/>
      <c r="BA19" s="23"/>
      <c r="BB19" s="23"/>
      <c r="BC19" s="23"/>
      <c r="BD19" s="23"/>
      <c r="BE19" s="23"/>
      <c r="BF19" s="23"/>
      <c r="BG19" s="23"/>
      <c r="BH19" s="23"/>
      <c r="BI19" s="23"/>
      <c r="BJ19" s="23"/>
      <c r="BK19" s="23"/>
      <c r="BL19" s="23"/>
      <c r="BM19" s="23"/>
      <c r="BN19" s="23"/>
      <c r="BO19" s="23"/>
      <c r="BP19" s="23"/>
      <c r="BQ19" s="23"/>
      <c r="BR19" s="23"/>
      <c r="BS19" s="23"/>
      <c r="BT19" s="23"/>
      <c r="BU19" s="23"/>
      <c r="BV19" s="23"/>
      <c r="BW19" s="23"/>
      <c r="BX19" s="23"/>
      <c r="BY19" s="23"/>
      <c r="BZ19" s="23"/>
      <c r="CA19" s="23"/>
      <c r="CB19" s="23"/>
      <c r="CC19" s="23"/>
      <c r="CD19" s="23"/>
      <c r="CE19" s="23"/>
      <c r="CF19" s="23"/>
      <c r="CG19" s="23"/>
      <c r="CH19" s="23"/>
      <c r="CI19" s="23"/>
      <c r="CJ19" s="23"/>
      <c r="CK19" s="23"/>
      <c r="CL19" s="23"/>
      <c r="CM19" s="23"/>
      <c r="CN19" s="23"/>
      <c r="CO19" s="23"/>
      <c r="CP19" s="23"/>
      <c r="CQ19" s="23"/>
      <c r="CR19" s="23"/>
      <c r="CS19" s="23"/>
      <c r="CT19" s="23"/>
      <c r="CU19" s="23"/>
      <c r="CV19" s="23"/>
      <c r="CW19" s="23"/>
      <c r="CX19" s="23"/>
      <c r="CY19" s="23"/>
      <c r="CZ19" s="23"/>
      <c r="DA19" s="23"/>
      <c r="DB19" s="23"/>
      <c r="DC19" s="23"/>
      <c r="DD19" s="23"/>
      <c r="DE19" s="23"/>
      <c r="DF19" s="23"/>
      <c r="DG19" s="23"/>
      <c r="DH19" s="23"/>
      <c r="DI19" s="23"/>
      <c r="DJ19" s="23"/>
      <c r="DK19" s="23"/>
      <c r="DL19" s="23"/>
      <c r="DM19" s="23"/>
      <c r="DN19" s="23"/>
      <c r="DO19" s="23"/>
      <c r="DP19" s="23"/>
      <c r="DQ19" s="23"/>
      <c r="DR19" s="23"/>
      <c r="DS19" s="23"/>
      <c r="DT19" s="23"/>
      <c r="DU19" s="23"/>
      <c r="DV19" s="23"/>
      <c r="DW19" s="23"/>
      <c r="DX19" s="23"/>
      <c r="DY19" s="23"/>
      <c r="DZ19" s="23"/>
      <c r="EA19" s="23"/>
      <c r="EB19" s="23"/>
      <c r="EC19" s="23"/>
      <c r="ED19" s="23"/>
      <c r="EE19" s="23"/>
      <c r="EF19" s="23"/>
      <c r="EG19" s="23"/>
      <c r="EH19" s="23"/>
      <c r="EI19" s="23"/>
      <c r="EJ19" s="23"/>
      <c r="EK19" s="23"/>
      <c r="EL19" s="23"/>
      <c r="EM19" s="23"/>
      <c r="EN19" s="23"/>
      <c r="EO19" s="23"/>
      <c r="EP19" s="23"/>
      <c r="EQ19" s="23"/>
      <c r="ER19" s="23"/>
      <c r="ES19" s="23"/>
      <c r="ET19" s="23"/>
      <c r="EU19" s="23"/>
      <c r="EV19" s="23"/>
      <c r="EW19" s="23"/>
      <c r="EX19" s="23"/>
      <c r="EY19" s="23"/>
      <c r="EZ19" s="23"/>
      <c r="FA19" s="23"/>
      <c r="FB19" s="23"/>
      <c r="FC19" s="23"/>
      <c r="FD19" s="23"/>
      <c r="FE19" s="23"/>
      <c r="FF19" s="23"/>
      <c r="FG19" s="23"/>
      <c r="FH19" s="23"/>
      <c r="FI19" s="23"/>
      <c r="FJ19" s="23"/>
      <c r="FK19" s="23"/>
      <c r="FL19" s="23"/>
      <c r="FM19" s="23"/>
      <c r="FN19" s="23"/>
      <c r="FO19" s="23"/>
      <c r="FP19" s="23"/>
      <c r="FQ19" s="23"/>
      <c r="FR19" s="23"/>
      <c r="FS19" s="23"/>
      <c r="FT19" s="23"/>
      <c r="FU19" s="23"/>
      <c r="FV19" s="23"/>
      <c r="FW19" s="23"/>
      <c r="FX19" s="23"/>
      <c r="FY19" s="23"/>
      <c r="FZ19" s="23"/>
      <c r="GA19" s="23"/>
      <c r="GB19" s="23"/>
      <c r="GC19" s="23"/>
      <c r="GD19" s="23"/>
      <c r="GE19" s="23"/>
      <c r="GF19" s="23"/>
      <c r="GG19" s="23"/>
      <c r="GH19" s="23"/>
      <c r="GI19" s="23"/>
      <c r="GJ19" s="23"/>
      <c r="GK19" s="23"/>
      <c r="GL19" s="23"/>
      <c r="GM19" s="23"/>
      <c r="GN19" s="23"/>
      <c r="GO19" s="23"/>
      <c r="GP19" s="23"/>
      <c r="GQ19" s="23"/>
      <c r="GR19" s="23"/>
      <c r="GS19" s="23"/>
      <c r="GT19" s="23"/>
      <c r="GU19" s="23"/>
      <c r="GV19" s="23"/>
      <c r="GW19" s="23"/>
      <c r="GX19" s="23"/>
      <c r="GY19" s="23"/>
      <c r="GZ19" s="23"/>
      <c r="HA19" s="23"/>
      <c r="HB19" s="23"/>
      <c r="HC19" s="23"/>
      <c r="HD19" s="23"/>
      <c r="HE19" s="23"/>
      <c r="HF19" s="23"/>
      <c r="HG19" s="23"/>
      <c r="HH19" s="23"/>
      <c r="HI19" s="23"/>
      <c r="HJ19" s="23"/>
      <c r="HK19" s="23"/>
      <c r="HL19" s="23"/>
      <c r="HM19" s="23"/>
      <c r="HN19" s="23"/>
      <c r="HO19" s="23"/>
      <c r="HP19" s="23"/>
      <c r="HQ19" s="23"/>
      <c r="HR19" s="23"/>
      <c r="HS19" s="23"/>
      <c r="HT19" s="23"/>
      <c r="HU19" s="23"/>
      <c r="HV19" s="23"/>
      <c r="HW19" s="23"/>
      <c r="HX19" s="23"/>
      <c r="HY19" s="23"/>
      <c r="HZ19" s="23"/>
      <c r="IA19" s="23"/>
      <c r="IB19" s="23"/>
      <c r="IC19" s="23"/>
      <c r="ID19" s="23"/>
      <c r="IE19" s="23"/>
      <c r="IF19" s="23"/>
      <c r="IG19" s="23"/>
      <c r="IH19" s="23"/>
      <c r="II19" s="23"/>
      <c r="IJ19" s="23"/>
      <c r="IK19" s="23"/>
      <c r="IL19" s="23"/>
      <c r="IM19" s="23"/>
      <c r="IN19" s="23"/>
      <c r="IO19" s="23"/>
      <c r="IP19" s="23"/>
      <c r="IQ19" s="23"/>
      <c r="IR19" s="23"/>
      <c r="IS19" s="23"/>
      <c r="IT19" s="23"/>
      <c r="IU19" s="23"/>
      <c r="IV19" s="23"/>
      <c r="IW19" s="23"/>
      <c r="IX19" s="23"/>
      <c r="IY19" s="23"/>
      <c r="IZ19" s="23"/>
      <c r="JA19" s="23"/>
      <c r="JB19" s="23"/>
      <c r="JC19" s="23"/>
      <c r="JD19" s="23"/>
      <c r="JE19" s="23"/>
      <c r="JF19" s="23"/>
      <c r="JG19" s="23"/>
      <c r="JH19" s="23"/>
      <c r="JI19" s="23"/>
      <c r="JJ19" s="23"/>
      <c r="JK19" s="23"/>
      <c r="JL19" s="23"/>
      <c r="JM19" s="23"/>
      <c r="JN19" s="23"/>
      <c r="JO19" s="23"/>
      <c r="JP19" s="23"/>
      <c r="JQ19" s="23"/>
      <c r="JR19" s="23"/>
      <c r="JS19" s="23"/>
      <c r="JT19" s="23"/>
      <c r="JU19" s="23"/>
      <c r="JV19" s="23"/>
      <c r="JW19" s="23"/>
      <c r="JX19" s="23"/>
      <c r="JY19" s="23"/>
      <c r="JZ19" s="23"/>
      <c r="KA19" s="23"/>
      <c r="KB19" s="23"/>
      <c r="KC19" s="23"/>
      <c r="KD19" s="23"/>
      <c r="KE19" s="23"/>
      <c r="KF19" s="23"/>
      <c r="KG19" s="23"/>
      <c r="KH19" s="23"/>
      <c r="KI19" s="23"/>
      <c r="KJ19" s="23"/>
      <c r="KK19" s="23"/>
      <c r="KL19" s="23"/>
      <c r="KM19" s="23"/>
      <c r="KN19" s="23"/>
      <c r="KO19" s="23"/>
      <c r="KP19" s="23"/>
      <c r="KQ19" s="23"/>
      <c r="KR19" s="23"/>
      <c r="KS19" s="23"/>
      <c r="KT19" s="23"/>
      <c r="KU19" s="23"/>
      <c r="KV19" s="23"/>
      <c r="KW19" s="23"/>
      <c r="KX19" s="23"/>
      <c r="KY19" s="23"/>
      <c r="KZ19" s="23"/>
      <c r="LA19" s="23"/>
      <c r="LB19" s="23"/>
      <c r="LC19" s="23"/>
      <c r="LD19" s="23"/>
      <c r="LE19" s="23"/>
      <c r="LF19" s="23"/>
      <c r="LG19" s="23"/>
      <c r="LH19" s="23"/>
      <c r="LI19" s="23"/>
      <c r="LJ19" s="23"/>
      <c r="LK19" s="23"/>
      <c r="LL19" s="23"/>
      <c r="LM19" s="23"/>
      <c r="LN19" s="23"/>
      <c r="LO19" s="23"/>
      <c r="LP19" s="23"/>
      <c r="LQ19" s="23"/>
      <c r="LR19" s="23"/>
      <c r="LS19" s="23"/>
      <c r="LT19" s="23"/>
      <c r="LU19" s="23"/>
      <c r="LV19" s="23"/>
      <c r="LW19" s="23"/>
      <c r="LX19" s="23"/>
      <c r="LY19" s="23"/>
      <c r="LZ19" s="23"/>
      <c r="MA19" s="23"/>
      <c r="MB19" s="23"/>
      <c r="MC19" s="23"/>
      <c r="MD19" s="23"/>
      <c r="ME19" s="23"/>
      <c r="MF19" s="23"/>
      <c r="MG19" s="23"/>
      <c r="MH19" s="23"/>
      <c r="MI19" s="23"/>
      <c r="MJ19" s="23"/>
      <c r="MK19" s="23"/>
      <c r="ML19" s="23"/>
      <c r="MM19" s="23"/>
      <c r="MN19" s="23"/>
      <c r="MO19" s="23"/>
      <c r="MP19" s="23"/>
      <c r="MQ19" s="23"/>
      <c r="MR19" s="23"/>
      <c r="MS19" s="23"/>
      <c r="MT19" s="23"/>
      <c r="MU19" s="23"/>
      <c r="MV19" s="23"/>
      <c r="MW19" s="23"/>
      <c r="MX19" s="23"/>
      <c r="MY19" s="23"/>
      <c r="MZ19" s="23"/>
      <c r="NA19" s="23"/>
      <c r="NB19" s="23"/>
      <c r="NC19" s="23"/>
      <c r="ND19" s="23"/>
      <c r="NE19" s="23"/>
      <c r="NF19" s="23"/>
      <c r="NG19" s="23"/>
      <c r="NH19" s="23"/>
      <c r="NI19" s="23"/>
      <c r="NJ19" s="23"/>
      <c r="NK19" s="23"/>
      <c r="NL19" s="23"/>
      <c r="NM19" s="23"/>
      <c r="NN19" s="23"/>
      <c r="NO19" s="23"/>
      <c r="NP19" s="23"/>
      <c r="NQ19" s="23"/>
      <c r="NR19" s="23"/>
      <c r="NS19" s="23"/>
      <c r="NT19" s="23"/>
      <c r="NU19" s="23"/>
      <c r="NV19" s="23"/>
      <c r="NW19" s="23"/>
      <c r="NX19" s="23"/>
      <c r="NY19" s="23"/>
      <c r="NZ19" s="23"/>
      <c r="OA19" s="23"/>
      <c r="OB19" s="23"/>
      <c r="OC19" s="23"/>
      <c r="OD19" s="23"/>
      <c r="OE19" s="23"/>
      <c r="OF19" s="23"/>
      <c r="OG19" s="23"/>
      <c r="OH19" s="23"/>
      <c r="OI19" s="23"/>
      <c r="OJ19" s="23"/>
      <c r="OK19" s="23"/>
      <c r="OL19" s="23"/>
      <c r="OM19" s="23"/>
      <c r="ON19" s="23"/>
      <c r="OO19" s="23"/>
      <c r="OP19" s="23"/>
      <c r="OQ19" s="23"/>
      <c r="OR19" s="23"/>
      <c r="OS19" s="23"/>
      <c r="OT19" s="23"/>
      <c r="OU19" s="23"/>
      <c r="OV19" s="23"/>
      <c r="OW19" s="23"/>
      <c r="OX19" s="23"/>
      <c r="OY19" s="23"/>
      <c r="OZ19" s="23"/>
      <c r="PA19" s="23"/>
      <c r="PB19" s="23"/>
      <c r="PC19" s="23"/>
      <c r="PD19" s="23"/>
      <c r="PE19" s="23"/>
      <c r="PF19" s="23"/>
      <c r="PG19" s="23"/>
      <c r="PH19" s="23"/>
      <c r="PI19" s="23"/>
      <c r="PJ19" s="23"/>
      <c r="PK19" s="23"/>
      <c r="PL19" s="23"/>
      <c r="PM19" s="23"/>
      <c r="PN19" s="23"/>
      <c r="PO19" s="23"/>
      <c r="PP19" s="23"/>
      <c r="PQ19" s="23"/>
      <c r="PR19" s="23"/>
      <c r="PS19" s="23"/>
      <c r="PT19" s="23"/>
      <c r="PU19" s="23"/>
      <c r="PV19" s="23"/>
      <c r="PW19" s="23"/>
      <c r="PX19" s="23"/>
      <c r="PY19" s="23"/>
      <c r="PZ19" s="23"/>
      <c r="QA19" s="23"/>
      <c r="QB19" s="23"/>
      <c r="QC19" s="23"/>
      <c r="QD19" s="23"/>
      <c r="QE19" s="23"/>
      <c r="QF19" s="23"/>
      <c r="QG19" s="23"/>
      <c r="QH19" s="23"/>
      <c r="QI19" s="23"/>
      <c r="QJ19" s="23"/>
      <c r="QK19" s="23"/>
      <c r="QL19" s="23"/>
      <c r="QM19" s="23"/>
      <c r="QN19" s="23"/>
      <c r="QO19" s="23"/>
      <c r="QP19" s="23"/>
      <c r="QQ19" s="23"/>
      <c r="QR19" s="23"/>
      <c r="QS19" s="23"/>
      <c r="QT19" s="23"/>
      <c r="QU19" s="23"/>
      <c r="QV19" s="23"/>
      <c r="QW19" s="23"/>
      <c r="QX19" s="23"/>
      <c r="QY19" s="23"/>
      <c r="QZ19" s="23"/>
      <c r="RA19" s="23"/>
      <c r="RB19" s="23"/>
      <c r="RC19" s="23"/>
      <c r="RD19" s="23"/>
      <c r="RE19" s="23"/>
      <c r="RF19" s="23"/>
      <c r="RG19" s="23"/>
      <c r="RH19" s="23"/>
      <c r="RI19" s="23"/>
      <c r="RJ19" s="23"/>
      <c r="RK19" s="23"/>
      <c r="RL19" s="23"/>
      <c r="RM19" s="23"/>
      <c r="RN19" s="23"/>
      <c r="RO19" s="23"/>
      <c r="RP19" s="23"/>
      <c r="RQ19" s="23"/>
      <c r="RR19" s="23"/>
      <c r="RS19" s="23"/>
      <c r="RT19" s="23"/>
      <c r="RU19" s="23"/>
      <c r="RV19" s="23"/>
      <c r="RW19" s="23"/>
      <c r="RX19" s="23"/>
      <c r="RY19" s="23"/>
      <c r="RZ19" s="23"/>
      <c r="SA19" s="23"/>
      <c r="SB19" s="23"/>
      <c r="SC19" s="23"/>
      <c r="SD19" s="23"/>
      <c r="SE19" s="23"/>
      <c r="SF19" s="23"/>
      <c r="SG19" s="23"/>
      <c r="SH19" s="23"/>
      <c r="SI19" s="23"/>
      <c r="SJ19" s="23"/>
      <c r="SK19" s="23"/>
      <c r="SL19" s="23"/>
      <c r="SM19" s="23"/>
      <c r="SN19" s="23"/>
      <c r="SO19" s="23"/>
      <c r="SP19" s="23"/>
      <c r="SQ19" s="23"/>
      <c r="SR19" s="23"/>
      <c r="SS19" s="23"/>
      <c r="ST19" s="23"/>
      <c r="SU19" s="23"/>
      <c r="SV19" s="23"/>
      <c r="SW19" s="23"/>
      <c r="SX19" s="23"/>
      <c r="SY19" s="23"/>
      <c r="SZ19" s="23"/>
      <c r="TA19" s="23"/>
      <c r="TB19" s="23"/>
      <c r="TC19" s="23"/>
      <c r="TD19" s="23"/>
      <c r="TE19" s="23"/>
      <c r="TF19" s="23"/>
      <c r="TG19" s="23"/>
      <c r="TH19" s="23"/>
      <c r="TI19" s="23"/>
      <c r="TJ19" s="23"/>
      <c r="TK19" s="23"/>
      <c r="TL19" s="23"/>
      <c r="TM19" s="23"/>
      <c r="TN19" s="23"/>
      <c r="TO19" s="23"/>
      <c r="TP19" s="23"/>
      <c r="TQ19" s="23"/>
      <c r="TR19" s="23"/>
      <c r="TS19" s="23"/>
      <c r="TT19" s="23"/>
      <c r="TU19" s="23"/>
      <c r="TV19" s="23"/>
      <c r="TW19" s="23"/>
      <c r="TX19" s="23"/>
      <c r="TY19" s="23"/>
      <c r="TZ19" s="23"/>
      <c r="UA19" s="23"/>
      <c r="UB19" s="23"/>
      <c r="UC19" s="23"/>
      <c r="UD19" s="23"/>
      <c r="UE19" s="23"/>
      <c r="UF19" s="23"/>
      <c r="UG19" s="23"/>
      <c r="UH19" s="23"/>
      <c r="UI19" s="23"/>
      <c r="UJ19" s="23"/>
      <c r="UK19" s="23"/>
      <c r="UL19" s="23"/>
      <c r="UM19" s="23"/>
      <c r="UN19" s="23"/>
      <c r="UO19" s="23"/>
      <c r="UP19" s="23"/>
      <c r="UQ19" s="23"/>
      <c r="UR19" s="23"/>
      <c r="US19" s="23"/>
      <c r="UT19" s="23"/>
      <c r="UU19" s="23"/>
      <c r="UV19" s="23"/>
      <c r="UW19" s="23"/>
      <c r="UX19" s="23"/>
      <c r="UY19" s="23"/>
      <c r="UZ19" s="23"/>
      <c r="VA19" s="23"/>
      <c r="VB19" s="23"/>
      <c r="VC19" s="23"/>
      <c r="VD19" s="23"/>
      <c r="VE19" s="23"/>
      <c r="VF19" s="23"/>
      <c r="VG19" s="23"/>
      <c r="VH19" s="23"/>
      <c r="VI19" s="23"/>
      <c r="VJ19" s="23"/>
      <c r="VK19" s="23"/>
      <c r="VL19" s="23"/>
      <c r="VM19" s="23"/>
      <c r="VN19" s="23"/>
      <c r="VO19" s="23"/>
      <c r="VP19" s="23"/>
      <c r="VQ19" s="23"/>
      <c r="VR19" s="23"/>
      <c r="VS19" s="23"/>
      <c r="VT19" s="23"/>
      <c r="VU19" s="23"/>
      <c r="VV19" s="23"/>
      <c r="VW19" s="23"/>
      <c r="VX19" s="23"/>
      <c r="VY19" s="23"/>
      <c r="VZ19" s="23"/>
      <c r="WA19" s="23"/>
      <c r="WB19" s="23"/>
      <c r="WC19" s="23"/>
      <c r="WD19" s="23"/>
      <c r="WE19" s="23"/>
      <c r="WF19" s="23"/>
      <c r="WG19" s="23"/>
      <c r="WH19" s="23"/>
      <c r="WI19" s="23"/>
      <c r="WJ19" s="23"/>
      <c r="WK19" s="23"/>
      <c r="WL19" s="23"/>
      <c r="WM19" s="23"/>
      <c r="WN19" s="23"/>
      <c r="WO19" s="23"/>
      <c r="WP19" s="23"/>
      <c r="WQ19" s="23"/>
      <c r="WR19" s="23"/>
      <c r="WS19" s="23"/>
      <c r="WT19" s="23"/>
      <c r="WU19" s="23"/>
      <c r="WV19" s="23"/>
      <c r="WW19" s="23"/>
      <c r="WX19" s="23"/>
      <c r="WY19" s="23"/>
      <c r="WZ19" s="23"/>
      <c r="XA19" s="23"/>
      <c r="XB19" s="23"/>
      <c r="XC19" s="23"/>
      <c r="XD19" s="23"/>
      <c r="XE19" s="23"/>
      <c r="XF19" s="23"/>
      <c r="XG19" s="23"/>
      <c r="XH19" s="23"/>
      <c r="XI19" s="23"/>
      <c r="XJ19" s="23"/>
      <c r="XK19" s="23"/>
      <c r="XL19" s="23"/>
      <c r="XM19" s="23"/>
      <c r="XN19" s="23"/>
      <c r="XO19" s="23"/>
      <c r="XP19" s="23"/>
      <c r="XQ19" s="23"/>
      <c r="XR19" s="23"/>
      <c r="XS19" s="23"/>
      <c r="XT19" s="23"/>
      <c r="XU19" s="23"/>
      <c r="XV19" s="23"/>
      <c r="XW19" s="23"/>
      <c r="XX19" s="23"/>
      <c r="XY19" s="23"/>
      <c r="XZ19" s="23"/>
      <c r="YA19" s="23"/>
      <c r="YB19" s="23"/>
      <c r="YC19" s="23"/>
      <c r="YD19" s="23"/>
      <c r="YE19" s="23"/>
      <c r="YF19" s="23"/>
      <c r="YG19" s="23"/>
      <c r="YH19" s="23"/>
      <c r="YI19" s="23"/>
      <c r="YJ19" s="23"/>
      <c r="YK19" s="23"/>
      <c r="YL19" s="23"/>
      <c r="YM19" s="23"/>
      <c r="YN19" s="23"/>
      <c r="YO19" s="23"/>
      <c r="YP19" s="23"/>
      <c r="YQ19" s="23"/>
      <c r="YR19" s="23"/>
      <c r="YS19" s="23"/>
      <c r="YT19" s="23"/>
      <c r="YU19" s="23"/>
      <c r="YV19" s="23"/>
      <c r="YW19" s="23"/>
      <c r="YX19" s="23"/>
      <c r="YY19" s="23"/>
      <c r="YZ19" s="23"/>
      <c r="ZA19" s="23"/>
      <c r="ZB19" s="23"/>
      <c r="ZC19" s="23"/>
      <c r="ZD19" s="23"/>
      <c r="ZE19" s="33"/>
    </row>
    <row r="20" spans="1:682" s="50" customFormat="1" ht="15" customHeight="1" x14ac:dyDescent="0.25">
      <c r="A20" s="30">
        <v>2000</v>
      </c>
      <c r="B20" s="104" t="s">
        <v>30</v>
      </c>
      <c r="C20" s="103" t="s">
        <v>66</v>
      </c>
      <c r="D20" s="5" t="s">
        <v>65</v>
      </c>
      <c r="E20" s="103" t="s">
        <v>49</v>
      </c>
      <c r="F20" s="5" t="s">
        <v>48</v>
      </c>
      <c r="G20" s="56">
        <v>2</v>
      </c>
      <c r="H20" s="106" t="s">
        <v>47</v>
      </c>
      <c r="I20" s="47"/>
      <c r="J20" s="250">
        <f ca="1">J18</f>
        <v>480</v>
      </c>
      <c r="K20" s="250">
        <f ca="1">K18</f>
        <v>197</v>
      </c>
      <c r="L20" s="246">
        <f ca="1">ROUNDDOWN(IF(L$8&gt;L$5, MIN( ((L17+K22)/L$8)*L$5, MAX(L17+K22,L18)), MAX(L17+K22,L18)),0)</f>
        <v>379</v>
      </c>
      <c r="M20" s="246">
        <f ca="1">ROUNDDOWN(IF(M$8&gt;M$5, MIN( ((M17+L22)/M$8)*M$5, MAX(M17+L22,M18)), MAX(M17+L22,M18)),0)</f>
        <v>295</v>
      </c>
      <c r="N20" s="246">
        <f t="shared" ref="N20:AG20" ca="1" si="5">ROUNDDOWN(IF(N$8&gt;N$5, MIN( ((N17+M22)/N$8)*N$5, MAX(N17+M22,N18)), MAX(N17+M22,N18)),0)</f>
        <v>473</v>
      </c>
      <c r="O20" s="246">
        <f t="shared" ca="1" si="5"/>
        <v>321</v>
      </c>
      <c r="P20" s="246">
        <f t="shared" ca="1" si="5"/>
        <v>374</v>
      </c>
      <c r="Q20" s="246">
        <f t="shared" ca="1" si="5"/>
        <v>297</v>
      </c>
      <c r="R20" s="246">
        <f t="shared" ca="1" si="5"/>
        <v>227</v>
      </c>
      <c r="S20" s="246">
        <f t="shared" ca="1" si="5"/>
        <v>417</v>
      </c>
      <c r="T20" s="246">
        <f t="shared" ca="1" si="5"/>
        <v>296</v>
      </c>
      <c r="U20" s="246">
        <f t="shared" ca="1" si="5"/>
        <v>71</v>
      </c>
      <c r="V20" s="246">
        <f t="shared" ca="1" si="5"/>
        <v>273</v>
      </c>
      <c r="W20" s="246">
        <f t="shared" ca="1" si="5"/>
        <v>450</v>
      </c>
      <c r="X20" s="246">
        <f t="shared" ca="1" si="5"/>
        <v>450</v>
      </c>
      <c r="Y20" s="246">
        <f t="shared" ca="1" si="5"/>
        <v>240</v>
      </c>
      <c r="Z20" s="246">
        <f t="shared" ca="1" si="5"/>
        <v>296</v>
      </c>
      <c r="AA20" s="246">
        <f t="shared" ca="1" si="5"/>
        <v>449</v>
      </c>
      <c r="AB20" s="246">
        <f t="shared" ca="1" si="5"/>
        <v>232</v>
      </c>
      <c r="AC20" s="246">
        <f t="shared" ca="1" si="5"/>
        <v>146</v>
      </c>
      <c r="AD20" s="246">
        <f t="shared" ca="1" si="5"/>
        <v>208</v>
      </c>
      <c r="AE20" s="246">
        <f t="shared" ca="1" si="5"/>
        <v>108</v>
      </c>
      <c r="AF20" s="246">
        <f t="shared" ca="1" si="5"/>
        <v>0</v>
      </c>
      <c r="AG20" s="246">
        <f t="shared" ca="1" si="5"/>
        <v>0</v>
      </c>
      <c r="AH20" s="246"/>
      <c r="AI20" s="246"/>
      <c r="AJ20" s="246"/>
      <c r="AK20" s="246"/>
      <c r="AL20" s="23"/>
      <c r="AM20" s="23"/>
      <c r="AN20" s="23"/>
      <c r="AO20" s="23"/>
      <c r="AP20" s="23"/>
      <c r="AQ20" s="23"/>
      <c r="AR20" s="23"/>
      <c r="AS20" s="23"/>
      <c r="AT20" s="23"/>
      <c r="AU20" s="23"/>
      <c r="AV20" s="23"/>
      <c r="AW20" s="23"/>
      <c r="AX20" s="23"/>
      <c r="AY20" s="23"/>
      <c r="AZ20" s="23"/>
      <c r="BA20" s="23"/>
      <c r="BB20" s="23"/>
      <c r="BC20" s="23"/>
      <c r="BD20" s="23"/>
      <c r="BE20" s="23"/>
      <c r="BF20" s="23"/>
      <c r="BG20" s="23"/>
      <c r="BH20" s="23"/>
      <c r="BI20" s="23"/>
      <c r="BJ20" s="23"/>
      <c r="BK20" s="23"/>
      <c r="BL20" s="23"/>
      <c r="BM20" s="23"/>
      <c r="BN20" s="23"/>
      <c r="BO20" s="23"/>
      <c r="BP20" s="23"/>
      <c r="BQ20" s="23"/>
      <c r="BR20" s="23"/>
      <c r="BS20" s="23"/>
      <c r="BT20" s="23"/>
      <c r="BU20" s="23"/>
      <c r="BV20" s="23"/>
      <c r="BW20" s="23"/>
      <c r="BX20" s="23"/>
      <c r="BY20" s="23"/>
      <c r="BZ20" s="23"/>
      <c r="CA20" s="23"/>
      <c r="CB20" s="23"/>
      <c r="CC20" s="23"/>
      <c r="CD20" s="23"/>
      <c r="CE20" s="23"/>
      <c r="CF20" s="23"/>
      <c r="CG20" s="23"/>
      <c r="CH20" s="23"/>
      <c r="CI20" s="23"/>
      <c r="CJ20" s="23"/>
      <c r="CK20" s="23"/>
      <c r="CL20" s="23"/>
      <c r="CM20" s="23"/>
      <c r="CN20" s="23"/>
      <c r="CO20" s="23"/>
      <c r="CP20" s="23"/>
      <c r="CQ20" s="23"/>
      <c r="CR20" s="23"/>
      <c r="CS20" s="23"/>
      <c r="CT20" s="23"/>
      <c r="CU20" s="23"/>
      <c r="CV20" s="23"/>
      <c r="CW20" s="23"/>
      <c r="CX20" s="23"/>
      <c r="CY20" s="23"/>
      <c r="CZ20" s="23"/>
      <c r="DA20" s="23"/>
      <c r="DB20" s="23"/>
      <c r="DC20" s="23"/>
      <c r="DD20" s="23"/>
      <c r="DE20" s="23"/>
      <c r="DF20" s="23"/>
      <c r="DG20" s="23"/>
      <c r="DH20" s="23"/>
      <c r="DI20" s="23"/>
      <c r="DJ20" s="23"/>
      <c r="DK20" s="23"/>
      <c r="DL20" s="23"/>
      <c r="DM20" s="23"/>
      <c r="DN20" s="23"/>
      <c r="DO20" s="23"/>
      <c r="DP20" s="23"/>
      <c r="DQ20" s="23"/>
      <c r="DR20" s="23"/>
      <c r="DS20" s="23"/>
      <c r="DT20" s="23"/>
      <c r="DU20" s="23"/>
      <c r="DV20" s="23"/>
      <c r="DW20" s="23"/>
      <c r="DX20" s="23"/>
      <c r="DY20" s="23"/>
      <c r="DZ20" s="23"/>
      <c r="EA20" s="23"/>
      <c r="EB20" s="23"/>
      <c r="EC20" s="23"/>
      <c r="ED20" s="23"/>
      <c r="EE20" s="23"/>
      <c r="EF20" s="23"/>
      <c r="EG20" s="23"/>
      <c r="EH20" s="23"/>
      <c r="EI20" s="23"/>
      <c r="EJ20" s="23"/>
      <c r="EK20" s="23"/>
      <c r="EL20" s="23"/>
      <c r="EM20" s="23"/>
      <c r="EN20" s="23"/>
      <c r="EO20" s="23"/>
      <c r="EP20" s="23"/>
      <c r="EQ20" s="23"/>
      <c r="ER20" s="23"/>
      <c r="ES20" s="23"/>
      <c r="ET20" s="23"/>
      <c r="EU20" s="23"/>
      <c r="EV20" s="23"/>
      <c r="EW20" s="23"/>
      <c r="EX20" s="23"/>
      <c r="EY20" s="23"/>
      <c r="EZ20" s="23"/>
      <c r="FA20" s="23"/>
      <c r="FB20" s="23"/>
      <c r="FC20" s="23"/>
      <c r="FD20" s="23"/>
      <c r="FE20" s="23"/>
      <c r="FF20" s="23"/>
      <c r="FG20" s="23"/>
      <c r="FH20" s="23"/>
      <c r="FI20" s="23"/>
      <c r="FJ20" s="23"/>
      <c r="FK20" s="23"/>
      <c r="FL20" s="23"/>
      <c r="FM20" s="23"/>
      <c r="FN20" s="23"/>
      <c r="FO20" s="23"/>
      <c r="FP20" s="23"/>
      <c r="FQ20" s="23"/>
      <c r="FR20" s="23"/>
      <c r="FS20" s="23"/>
      <c r="FT20" s="23"/>
      <c r="FU20" s="23"/>
      <c r="FV20" s="23"/>
      <c r="FW20" s="23"/>
      <c r="FX20" s="23"/>
      <c r="FY20" s="23"/>
      <c r="FZ20" s="23"/>
      <c r="GA20" s="23"/>
      <c r="GB20" s="23"/>
      <c r="GC20" s="23"/>
      <c r="GD20" s="23"/>
      <c r="GE20" s="23"/>
      <c r="GF20" s="23"/>
      <c r="GG20" s="23"/>
      <c r="GH20" s="23"/>
      <c r="GI20" s="23"/>
      <c r="GJ20" s="23"/>
      <c r="GK20" s="23"/>
      <c r="GL20" s="23"/>
      <c r="GM20" s="23"/>
      <c r="GN20" s="23"/>
      <c r="GO20" s="23"/>
      <c r="GP20" s="23"/>
      <c r="GQ20" s="23"/>
      <c r="GR20" s="23"/>
      <c r="GS20" s="23"/>
      <c r="GT20" s="23"/>
      <c r="GU20" s="23"/>
      <c r="GV20" s="23"/>
      <c r="GW20" s="23"/>
      <c r="GX20" s="23"/>
      <c r="GY20" s="23"/>
      <c r="GZ20" s="23"/>
      <c r="HA20" s="23"/>
      <c r="HB20" s="23"/>
      <c r="HC20" s="23"/>
      <c r="HD20" s="23"/>
      <c r="HE20" s="23"/>
      <c r="HF20" s="23"/>
      <c r="HG20" s="23"/>
      <c r="HH20" s="23"/>
      <c r="HI20" s="23"/>
      <c r="HJ20" s="23"/>
      <c r="HK20" s="23"/>
      <c r="HL20" s="23"/>
      <c r="HM20" s="23"/>
      <c r="HN20" s="23"/>
      <c r="HO20" s="23"/>
      <c r="HP20" s="23"/>
      <c r="HQ20" s="23"/>
      <c r="HR20" s="23"/>
      <c r="HS20" s="23"/>
      <c r="HT20" s="23"/>
      <c r="HU20" s="23"/>
      <c r="HV20" s="23"/>
      <c r="HW20" s="23"/>
      <c r="HX20" s="23"/>
      <c r="HY20" s="23"/>
      <c r="HZ20" s="23"/>
      <c r="IA20" s="23"/>
      <c r="IB20" s="23"/>
      <c r="IC20" s="23"/>
      <c r="ID20" s="23"/>
      <c r="IE20" s="23"/>
      <c r="IF20" s="23"/>
      <c r="IG20" s="23"/>
      <c r="IH20" s="23"/>
      <c r="II20" s="23"/>
      <c r="IJ20" s="23"/>
      <c r="IK20" s="23"/>
      <c r="IL20" s="23"/>
      <c r="IM20" s="23"/>
      <c r="IN20" s="23"/>
      <c r="IO20" s="23"/>
      <c r="IP20" s="23"/>
      <c r="IQ20" s="23"/>
      <c r="IR20" s="23"/>
      <c r="IS20" s="23"/>
      <c r="IT20" s="23"/>
      <c r="IU20" s="23"/>
      <c r="IV20" s="23"/>
      <c r="IW20" s="23"/>
      <c r="IX20" s="23"/>
      <c r="IY20" s="23"/>
      <c r="IZ20" s="23"/>
      <c r="JA20" s="23"/>
      <c r="JB20" s="23"/>
      <c r="JC20" s="23"/>
      <c r="JD20" s="23"/>
      <c r="JE20" s="23"/>
      <c r="JF20" s="23"/>
      <c r="JG20" s="23"/>
      <c r="JH20" s="23"/>
      <c r="JI20" s="23"/>
      <c r="JJ20" s="23"/>
      <c r="JK20" s="23"/>
      <c r="JL20" s="23"/>
      <c r="JM20" s="23"/>
      <c r="JN20" s="23"/>
      <c r="JO20" s="23"/>
      <c r="JP20" s="23"/>
      <c r="JQ20" s="23"/>
      <c r="JR20" s="23"/>
      <c r="JS20" s="23"/>
      <c r="JT20" s="23"/>
      <c r="JU20" s="23"/>
      <c r="JV20" s="23"/>
      <c r="JW20" s="23"/>
      <c r="JX20" s="23"/>
      <c r="JY20" s="23"/>
      <c r="JZ20" s="23"/>
      <c r="KA20" s="23"/>
      <c r="KB20" s="23"/>
      <c r="KC20" s="23"/>
      <c r="KD20" s="23"/>
      <c r="KE20" s="23"/>
      <c r="KF20" s="23"/>
      <c r="KG20" s="23"/>
      <c r="KH20" s="23"/>
      <c r="KI20" s="23"/>
      <c r="KJ20" s="23"/>
      <c r="KK20" s="23"/>
      <c r="KL20" s="23"/>
      <c r="KM20" s="23"/>
      <c r="KN20" s="23"/>
      <c r="KO20" s="23"/>
      <c r="KP20" s="23"/>
      <c r="KQ20" s="23"/>
      <c r="KR20" s="23"/>
      <c r="KS20" s="23"/>
      <c r="KT20" s="23"/>
      <c r="KU20" s="23"/>
      <c r="KV20" s="23"/>
      <c r="KW20" s="23"/>
      <c r="KX20" s="23"/>
      <c r="KY20" s="23"/>
      <c r="KZ20" s="23"/>
      <c r="LA20" s="23"/>
      <c r="LB20" s="23"/>
      <c r="LC20" s="23"/>
      <c r="LD20" s="23"/>
      <c r="LE20" s="23"/>
      <c r="LF20" s="23"/>
      <c r="LG20" s="23"/>
      <c r="LH20" s="23"/>
      <c r="LI20" s="23"/>
      <c r="LJ20" s="23"/>
      <c r="LK20" s="23"/>
      <c r="LL20" s="23"/>
      <c r="LM20" s="23"/>
      <c r="LN20" s="23"/>
      <c r="LO20" s="23"/>
      <c r="LP20" s="23"/>
      <c r="LQ20" s="23"/>
      <c r="LR20" s="23"/>
      <c r="LS20" s="23"/>
      <c r="LT20" s="23"/>
      <c r="LU20" s="23"/>
      <c r="LV20" s="23"/>
      <c r="LW20" s="23"/>
      <c r="LX20" s="23"/>
      <c r="LY20" s="23"/>
      <c r="LZ20" s="23"/>
      <c r="MA20" s="23"/>
      <c r="MB20" s="23"/>
      <c r="MC20" s="23"/>
      <c r="MD20" s="23"/>
      <c r="ME20" s="23"/>
      <c r="MF20" s="23"/>
      <c r="MG20" s="23"/>
      <c r="MH20" s="23"/>
      <c r="MI20" s="23"/>
      <c r="MJ20" s="23"/>
      <c r="MK20" s="23"/>
      <c r="ML20" s="23"/>
      <c r="MM20" s="23"/>
      <c r="MN20" s="23"/>
      <c r="MO20" s="23"/>
      <c r="MP20" s="23"/>
      <c r="MQ20" s="23"/>
      <c r="MR20" s="23"/>
      <c r="MS20" s="23"/>
      <c r="MT20" s="23"/>
      <c r="MU20" s="23"/>
      <c r="MV20" s="23"/>
      <c r="MW20" s="23"/>
      <c r="MX20" s="23"/>
      <c r="MY20" s="23"/>
      <c r="MZ20" s="23"/>
      <c r="NA20" s="23"/>
      <c r="NB20" s="23"/>
      <c r="NC20" s="23"/>
      <c r="ND20" s="23"/>
      <c r="NE20" s="23"/>
      <c r="NF20" s="23"/>
      <c r="NG20" s="23"/>
      <c r="NH20" s="23"/>
      <c r="NI20" s="23"/>
      <c r="NJ20" s="23"/>
      <c r="NK20" s="23"/>
      <c r="NL20" s="23"/>
      <c r="NM20" s="23"/>
      <c r="NN20" s="23"/>
      <c r="NO20" s="23"/>
      <c r="NP20" s="23"/>
      <c r="NQ20" s="23"/>
      <c r="NR20" s="23"/>
      <c r="NS20" s="23"/>
      <c r="NT20" s="23"/>
      <c r="NU20" s="23"/>
      <c r="NV20" s="23"/>
      <c r="NW20" s="23"/>
      <c r="NX20" s="23"/>
      <c r="NY20" s="23"/>
      <c r="NZ20" s="23"/>
      <c r="OA20" s="23"/>
      <c r="OB20" s="23"/>
      <c r="OC20" s="23"/>
      <c r="OD20" s="23"/>
      <c r="OE20" s="23"/>
      <c r="OF20" s="23"/>
      <c r="OG20" s="23"/>
      <c r="OH20" s="23"/>
      <c r="OI20" s="23"/>
      <c r="OJ20" s="23"/>
      <c r="OK20" s="23"/>
      <c r="OL20" s="23"/>
      <c r="OM20" s="23"/>
      <c r="ON20" s="23"/>
      <c r="OO20" s="23"/>
      <c r="OP20" s="23"/>
      <c r="OQ20" s="23"/>
      <c r="OR20" s="23"/>
      <c r="OS20" s="23"/>
      <c r="OT20" s="23"/>
      <c r="OU20" s="23"/>
      <c r="OV20" s="23"/>
      <c r="OW20" s="23"/>
      <c r="OX20" s="23"/>
      <c r="OY20" s="23"/>
      <c r="OZ20" s="23"/>
      <c r="PA20" s="23"/>
      <c r="PB20" s="23"/>
      <c r="PC20" s="23"/>
      <c r="PD20" s="23"/>
      <c r="PE20" s="23"/>
      <c r="PF20" s="23"/>
      <c r="PG20" s="23"/>
      <c r="PH20" s="23"/>
      <c r="PI20" s="23"/>
      <c r="PJ20" s="23"/>
      <c r="PK20" s="23"/>
      <c r="PL20" s="23"/>
      <c r="PM20" s="23"/>
      <c r="PN20" s="23"/>
      <c r="PO20" s="23"/>
      <c r="PP20" s="23"/>
      <c r="PQ20" s="23"/>
      <c r="PR20" s="23"/>
      <c r="PS20" s="23"/>
      <c r="PT20" s="23"/>
      <c r="PU20" s="23"/>
      <c r="PV20" s="23"/>
      <c r="PW20" s="23"/>
      <c r="PX20" s="23"/>
      <c r="PY20" s="23"/>
      <c r="PZ20" s="23"/>
      <c r="QA20" s="23"/>
      <c r="QB20" s="23"/>
      <c r="QC20" s="23"/>
      <c r="QD20" s="23"/>
      <c r="QE20" s="23"/>
      <c r="QF20" s="23"/>
      <c r="QG20" s="23"/>
      <c r="QH20" s="23"/>
      <c r="QI20" s="23"/>
      <c r="QJ20" s="23"/>
      <c r="QK20" s="23"/>
      <c r="QL20" s="23"/>
      <c r="QM20" s="23"/>
      <c r="QN20" s="23"/>
      <c r="QO20" s="23"/>
      <c r="QP20" s="23"/>
      <c r="QQ20" s="23"/>
      <c r="QR20" s="23"/>
      <c r="QS20" s="23"/>
      <c r="QT20" s="23"/>
      <c r="QU20" s="23"/>
      <c r="QV20" s="23"/>
      <c r="QW20" s="23"/>
      <c r="QX20" s="23"/>
      <c r="QY20" s="23"/>
      <c r="QZ20" s="23"/>
      <c r="RA20" s="23"/>
      <c r="RB20" s="23"/>
      <c r="RC20" s="23"/>
      <c r="RD20" s="23"/>
      <c r="RE20" s="23"/>
      <c r="RF20" s="23"/>
      <c r="RG20" s="23"/>
      <c r="RH20" s="23"/>
      <c r="RI20" s="23"/>
      <c r="RJ20" s="23"/>
      <c r="RK20" s="23"/>
      <c r="RL20" s="23"/>
      <c r="RM20" s="23"/>
      <c r="RN20" s="23"/>
      <c r="RO20" s="23"/>
      <c r="RP20" s="23"/>
      <c r="RQ20" s="23"/>
      <c r="RR20" s="23"/>
      <c r="RS20" s="23"/>
      <c r="RT20" s="23"/>
      <c r="RU20" s="23"/>
      <c r="RV20" s="23"/>
      <c r="RW20" s="23"/>
      <c r="RX20" s="23"/>
      <c r="RY20" s="23"/>
      <c r="RZ20" s="23"/>
      <c r="SA20" s="23"/>
      <c r="SB20" s="23"/>
      <c r="SC20" s="23"/>
      <c r="SD20" s="23"/>
      <c r="SE20" s="23"/>
      <c r="SF20" s="23"/>
      <c r="SG20" s="23"/>
      <c r="SH20" s="23"/>
      <c r="SI20" s="23"/>
      <c r="SJ20" s="23"/>
      <c r="SK20" s="23"/>
      <c r="SL20" s="23"/>
      <c r="SM20" s="23"/>
      <c r="SN20" s="23"/>
      <c r="SO20" s="23"/>
      <c r="SP20" s="23"/>
      <c r="SQ20" s="23"/>
      <c r="SR20" s="23"/>
      <c r="SS20" s="23"/>
      <c r="ST20" s="23"/>
      <c r="SU20" s="23"/>
      <c r="SV20" s="23"/>
      <c r="SW20" s="23"/>
      <c r="SX20" s="23"/>
      <c r="SY20" s="23"/>
      <c r="SZ20" s="23"/>
      <c r="TA20" s="23"/>
      <c r="TB20" s="23"/>
      <c r="TC20" s="23"/>
      <c r="TD20" s="23"/>
      <c r="TE20" s="23"/>
      <c r="TF20" s="23"/>
      <c r="TG20" s="23"/>
      <c r="TH20" s="23"/>
      <c r="TI20" s="23"/>
      <c r="TJ20" s="23"/>
      <c r="TK20" s="23"/>
      <c r="TL20" s="23"/>
      <c r="TM20" s="23"/>
      <c r="TN20" s="23"/>
      <c r="TO20" s="23"/>
      <c r="TP20" s="23"/>
      <c r="TQ20" s="23"/>
      <c r="TR20" s="23"/>
      <c r="TS20" s="23"/>
      <c r="TT20" s="23"/>
      <c r="TU20" s="23"/>
      <c r="TV20" s="23"/>
      <c r="TW20" s="23"/>
      <c r="TX20" s="23"/>
      <c r="TY20" s="23"/>
      <c r="TZ20" s="23"/>
      <c r="UA20" s="23"/>
      <c r="UB20" s="23"/>
      <c r="UC20" s="23"/>
      <c r="UD20" s="23"/>
      <c r="UE20" s="23"/>
      <c r="UF20" s="23"/>
      <c r="UG20" s="23"/>
      <c r="UH20" s="23"/>
      <c r="UI20" s="23"/>
      <c r="UJ20" s="23"/>
      <c r="UK20" s="23"/>
      <c r="UL20" s="23"/>
      <c r="UM20" s="23"/>
      <c r="UN20" s="23"/>
      <c r="UO20" s="23"/>
      <c r="UP20" s="23"/>
      <c r="UQ20" s="23"/>
      <c r="UR20" s="23"/>
      <c r="US20" s="23"/>
      <c r="UT20" s="23"/>
      <c r="UU20" s="23"/>
      <c r="UV20" s="23"/>
      <c r="UW20" s="23"/>
      <c r="UX20" s="23"/>
      <c r="UY20" s="23"/>
      <c r="UZ20" s="23"/>
      <c r="VA20" s="23"/>
      <c r="VB20" s="23"/>
      <c r="VC20" s="23"/>
      <c r="VD20" s="23"/>
      <c r="VE20" s="23"/>
      <c r="VF20" s="23"/>
      <c r="VG20" s="23"/>
      <c r="VH20" s="23"/>
      <c r="VI20" s="23"/>
      <c r="VJ20" s="23"/>
      <c r="VK20" s="23"/>
      <c r="VL20" s="23"/>
      <c r="VM20" s="23"/>
      <c r="VN20" s="23"/>
      <c r="VO20" s="23"/>
      <c r="VP20" s="23"/>
      <c r="VQ20" s="23"/>
      <c r="VR20" s="23"/>
      <c r="VS20" s="23"/>
      <c r="VT20" s="23"/>
      <c r="VU20" s="23"/>
      <c r="VV20" s="23"/>
      <c r="VW20" s="23"/>
      <c r="VX20" s="23"/>
      <c r="VY20" s="23"/>
      <c r="VZ20" s="23"/>
      <c r="WA20" s="23"/>
      <c r="WB20" s="23"/>
      <c r="WC20" s="23"/>
      <c r="WD20" s="23"/>
      <c r="WE20" s="23"/>
      <c r="WF20" s="23"/>
      <c r="WG20" s="23"/>
      <c r="WH20" s="23"/>
      <c r="WI20" s="23"/>
      <c r="WJ20" s="23"/>
      <c r="WK20" s="23"/>
      <c r="WL20" s="23"/>
      <c r="WM20" s="23"/>
      <c r="WN20" s="23"/>
      <c r="WO20" s="23"/>
      <c r="WP20" s="23"/>
      <c r="WQ20" s="23"/>
      <c r="WR20" s="23"/>
      <c r="WS20" s="23"/>
      <c r="WT20" s="23"/>
      <c r="WU20" s="23"/>
      <c r="WV20" s="23"/>
      <c r="WW20" s="23"/>
      <c r="WX20" s="23"/>
      <c r="WY20" s="23"/>
      <c r="WZ20" s="23"/>
      <c r="XA20" s="23"/>
      <c r="XB20" s="23"/>
      <c r="XC20" s="23"/>
      <c r="XD20" s="23"/>
      <c r="XE20" s="23"/>
      <c r="XF20" s="23"/>
      <c r="XG20" s="23"/>
      <c r="XH20" s="23"/>
      <c r="XI20" s="23"/>
      <c r="XJ20" s="23"/>
      <c r="XK20" s="23"/>
      <c r="XL20" s="23"/>
      <c r="XM20" s="23"/>
      <c r="XN20" s="23"/>
      <c r="XO20" s="23"/>
      <c r="XP20" s="23"/>
      <c r="XQ20" s="23"/>
      <c r="XR20" s="23"/>
      <c r="XS20" s="23"/>
      <c r="XT20" s="23"/>
      <c r="XU20" s="23"/>
      <c r="XV20" s="23"/>
      <c r="XW20" s="23"/>
      <c r="XX20" s="23"/>
      <c r="XY20" s="23"/>
      <c r="XZ20" s="23"/>
      <c r="YA20" s="23"/>
      <c r="YB20" s="23"/>
      <c r="YC20" s="23"/>
      <c r="YD20" s="23"/>
      <c r="YE20" s="23"/>
      <c r="YF20" s="23"/>
      <c r="YG20" s="23"/>
      <c r="YH20" s="23"/>
      <c r="YI20" s="23"/>
      <c r="YJ20" s="23"/>
      <c r="YK20" s="23"/>
      <c r="YL20" s="23"/>
      <c r="YM20" s="23"/>
      <c r="YN20" s="23"/>
      <c r="YO20" s="23"/>
      <c r="YP20" s="23"/>
      <c r="YQ20" s="23"/>
      <c r="YR20" s="23"/>
      <c r="YS20" s="23"/>
      <c r="YT20" s="23"/>
      <c r="YU20" s="23"/>
      <c r="YV20" s="23"/>
      <c r="YW20" s="23"/>
      <c r="YX20" s="23"/>
      <c r="YY20" s="23"/>
      <c r="YZ20" s="23"/>
      <c r="ZA20" s="23"/>
      <c r="ZB20" s="23"/>
      <c r="ZC20" s="23"/>
      <c r="ZD20" s="23"/>
      <c r="ZE20" s="53"/>
    </row>
    <row r="21" spans="1:682" s="50" customFormat="1" ht="15" customHeight="1" x14ac:dyDescent="0.25">
      <c r="A21" s="30">
        <v>2000</v>
      </c>
      <c r="B21" s="104" t="s">
        <v>30</v>
      </c>
      <c r="C21" s="103" t="s">
        <v>66</v>
      </c>
      <c r="D21" s="5" t="s">
        <v>65</v>
      </c>
      <c r="E21" s="103" t="s">
        <v>66</v>
      </c>
      <c r="F21" s="5" t="s">
        <v>65</v>
      </c>
      <c r="G21" s="56">
        <v>2</v>
      </c>
      <c r="H21" s="100" t="s">
        <v>46</v>
      </c>
      <c r="I21" s="131"/>
      <c r="J21" s="250">
        <f ca="1">J20</f>
        <v>480</v>
      </c>
      <c r="K21" s="250">
        <f t="shared" ref="K21" ca="1" si="6">K20</f>
        <v>197</v>
      </c>
      <c r="L21" s="250">
        <f t="shared" ref="L21" ca="1" si="7">L20</f>
        <v>379</v>
      </c>
      <c r="M21" s="250">
        <f t="shared" ref="M21" ca="1" si="8">M20</f>
        <v>295</v>
      </c>
      <c r="N21" s="250">
        <f t="shared" ref="N21" ca="1" si="9">N20</f>
        <v>473</v>
      </c>
      <c r="O21" s="250">
        <f t="shared" ref="O21" ca="1" si="10">O20</f>
        <v>321</v>
      </c>
      <c r="P21" s="250">
        <f t="shared" ref="P21" ca="1" si="11">P20</f>
        <v>374</v>
      </c>
      <c r="Q21" s="250">
        <f t="shared" ref="Q21" ca="1" si="12">Q20</f>
        <v>297</v>
      </c>
      <c r="R21" s="250">
        <f t="shared" ref="R21" ca="1" si="13">R20</f>
        <v>227</v>
      </c>
      <c r="S21" s="250">
        <f t="shared" ref="S21" ca="1" si="14">S20</f>
        <v>417</v>
      </c>
      <c r="T21" s="250">
        <f t="shared" ref="T21" ca="1" si="15">T20</f>
        <v>296</v>
      </c>
      <c r="U21" s="250">
        <f t="shared" ref="U21" ca="1" si="16">U20</f>
        <v>71</v>
      </c>
      <c r="V21" s="250">
        <f t="shared" ref="V21" ca="1" si="17">V20</f>
        <v>273</v>
      </c>
      <c r="W21" s="250">
        <f t="shared" ref="W21" ca="1" si="18">W20</f>
        <v>450</v>
      </c>
      <c r="X21" s="250">
        <f t="shared" ref="X21" ca="1" si="19">X20</f>
        <v>450</v>
      </c>
      <c r="Y21" s="250">
        <f t="shared" ref="Y21" ca="1" si="20">Y20</f>
        <v>240</v>
      </c>
      <c r="Z21" s="250">
        <f t="shared" ref="Z21" ca="1" si="21">Z20</f>
        <v>296</v>
      </c>
      <c r="AA21" s="250">
        <f t="shared" ref="AA21" ca="1" si="22">AA20</f>
        <v>449</v>
      </c>
      <c r="AB21" s="250">
        <f t="shared" ref="AB21" ca="1" si="23">AB20</f>
        <v>232</v>
      </c>
      <c r="AC21" s="250">
        <f t="shared" ref="AC21" ca="1" si="24">AC20</f>
        <v>146</v>
      </c>
      <c r="AD21" s="250">
        <f t="shared" ref="AD21" ca="1" si="25">AD20</f>
        <v>208</v>
      </c>
      <c r="AE21" s="250">
        <f t="shared" ref="AE21" ca="1" si="26">AE20</f>
        <v>108</v>
      </c>
      <c r="AF21" s="250">
        <f t="shared" ref="AF21" ca="1" si="27">AF20</f>
        <v>0</v>
      </c>
      <c r="AG21" s="250">
        <f t="shared" ref="AG21" ca="1" si="28">AG20</f>
        <v>0</v>
      </c>
      <c r="AH21" s="246"/>
      <c r="AI21" s="246"/>
      <c r="AJ21" s="246"/>
      <c r="AK21" s="246"/>
      <c r="AL21" s="23"/>
      <c r="AM21" s="23"/>
      <c r="AN21" s="23"/>
      <c r="AO21" s="23"/>
      <c r="AP21" s="23"/>
      <c r="AQ21" s="23"/>
      <c r="AR21" s="23"/>
      <c r="AS21" s="23"/>
      <c r="AT21" s="23"/>
      <c r="AU21" s="23"/>
      <c r="AV21" s="23"/>
      <c r="AW21" s="23"/>
      <c r="AX21" s="23"/>
      <c r="AY21" s="23"/>
      <c r="AZ21" s="23"/>
      <c r="BA21" s="23"/>
      <c r="BB21" s="23"/>
      <c r="BC21" s="23"/>
      <c r="BD21" s="23"/>
      <c r="BE21" s="23"/>
      <c r="BF21" s="23"/>
      <c r="BG21" s="23"/>
      <c r="BH21" s="23"/>
      <c r="BI21" s="23"/>
      <c r="BJ21" s="23"/>
      <c r="BK21" s="23"/>
      <c r="BL21" s="23"/>
      <c r="BM21" s="23"/>
      <c r="BN21" s="23"/>
      <c r="BO21" s="23"/>
      <c r="BP21" s="23"/>
      <c r="BQ21" s="23"/>
      <c r="BR21" s="23"/>
      <c r="BS21" s="23"/>
      <c r="BT21" s="23"/>
      <c r="BU21" s="23"/>
      <c r="BV21" s="23"/>
      <c r="BW21" s="23"/>
      <c r="BX21" s="23"/>
      <c r="BY21" s="23"/>
      <c r="BZ21" s="23"/>
      <c r="CA21" s="23"/>
      <c r="CB21" s="23"/>
      <c r="CC21" s="23"/>
      <c r="CD21" s="23"/>
      <c r="CE21" s="23"/>
      <c r="CF21" s="23"/>
      <c r="CG21" s="23"/>
      <c r="CH21" s="23"/>
      <c r="CI21" s="23"/>
      <c r="CJ21" s="23"/>
      <c r="CK21" s="23"/>
      <c r="CL21" s="23"/>
      <c r="CM21" s="23"/>
      <c r="CN21" s="23"/>
      <c r="CO21" s="23"/>
      <c r="CP21" s="23"/>
      <c r="CQ21" s="23"/>
      <c r="CR21" s="23"/>
      <c r="CS21" s="23"/>
      <c r="CT21" s="23"/>
      <c r="CU21" s="23"/>
      <c r="CV21" s="23"/>
      <c r="CW21" s="23"/>
      <c r="CX21" s="23"/>
      <c r="CY21" s="23"/>
      <c r="CZ21" s="23"/>
      <c r="DA21" s="23"/>
      <c r="DB21" s="23"/>
      <c r="DC21" s="23"/>
      <c r="DD21" s="23"/>
      <c r="DE21" s="23"/>
      <c r="DF21" s="23"/>
      <c r="DG21" s="23"/>
      <c r="DH21" s="23"/>
      <c r="DI21" s="23"/>
      <c r="DJ21" s="23"/>
      <c r="DK21" s="23"/>
      <c r="DL21" s="23"/>
      <c r="DM21" s="23"/>
      <c r="DN21" s="23"/>
      <c r="DO21" s="23"/>
      <c r="DP21" s="23"/>
      <c r="DQ21" s="23"/>
      <c r="DR21" s="23"/>
      <c r="DS21" s="23"/>
      <c r="DT21" s="23"/>
      <c r="DU21" s="23"/>
      <c r="DV21" s="23"/>
      <c r="DW21" s="23"/>
      <c r="DX21" s="23"/>
      <c r="DY21" s="23"/>
      <c r="DZ21" s="23"/>
      <c r="EA21" s="23"/>
      <c r="EB21" s="23"/>
      <c r="EC21" s="23"/>
      <c r="ED21" s="23"/>
      <c r="EE21" s="23"/>
      <c r="EF21" s="23"/>
      <c r="EG21" s="23"/>
      <c r="EH21" s="23"/>
      <c r="EI21" s="23"/>
      <c r="EJ21" s="23"/>
      <c r="EK21" s="23"/>
      <c r="EL21" s="23"/>
      <c r="EM21" s="23"/>
      <c r="EN21" s="23"/>
      <c r="EO21" s="23"/>
      <c r="EP21" s="23"/>
      <c r="EQ21" s="23"/>
      <c r="ER21" s="23"/>
      <c r="ES21" s="23"/>
      <c r="ET21" s="23"/>
      <c r="EU21" s="23"/>
      <c r="EV21" s="23"/>
      <c r="EW21" s="23"/>
      <c r="EX21" s="23"/>
      <c r="EY21" s="23"/>
      <c r="EZ21" s="23"/>
      <c r="FA21" s="23"/>
      <c r="FB21" s="23"/>
      <c r="FC21" s="23"/>
      <c r="FD21" s="23"/>
      <c r="FE21" s="23"/>
      <c r="FF21" s="23"/>
      <c r="FG21" s="23"/>
      <c r="FH21" s="23"/>
      <c r="FI21" s="23"/>
      <c r="FJ21" s="23"/>
      <c r="FK21" s="23"/>
      <c r="FL21" s="23"/>
      <c r="FM21" s="23"/>
      <c r="FN21" s="23"/>
      <c r="FO21" s="23"/>
      <c r="FP21" s="23"/>
      <c r="FQ21" s="23"/>
      <c r="FR21" s="23"/>
      <c r="FS21" s="23"/>
      <c r="FT21" s="23"/>
      <c r="FU21" s="23"/>
      <c r="FV21" s="23"/>
      <c r="FW21" s="23"/>
      <c r="FX21" s="23"/>
      <c r="FY21" s="23"/>
      <c r="FZ21" s="23"/>
      <c r="GA21" s="23"/>
      <c r="GB21" s="23"/>
      <c r="GC21" s="23"/>
      <c r="GD21" s="23"/>
      <c r="GE21" s="23"/>
      <c r="GF21" s="23"/>
      <c r="GG21" s="23"/>
      <c r="GH21" s="23"/>
      <c r="GI21" s="23"/>
      <c r="GJ21" s="23"/>
      <c r="GK21" s="23"/>
      <c r="GL21" s="23"/>
      <c r="GM21" s="23"/>
      <c r="GN21" s="23"/>
      <c r="GO21" s="23"/>
      <c r="GP21" s="23"/>
      <c r="GQ21" s="23"/>
      <c r="GR21" s="23"/>
      <c r="GS21" s="23"/>
      <c r="GT21" s="23"/>
      <c r="GU21" s="23"/>
      <c r="GV21" s="23"/>
      <c r="GW21" s="23"/>
      <c r="GX21" s="23"/>
      <c r="GY21" s="23"/>
      <c r="GZ21" s="23"/>
      <c r="HA21" s="23"/>
      <c r="HB21" s="23"/>
      <c r="HC21" s="23"/>
      <c r="HD21" s="23"/>
      <c r="HE21" s="23"/>
      <c r="HF21" s="23"/>
      <c r="HG21" s="23"/>
      <c r="HH21" s="23"/>
      <c r="HI21" s="23"/>
      <c r="HJ21" s="23"/>
      <c r="HK21" s="23"/>
      <c r="HL21" s="23"/>
      <c r="HM21" s="23"/>
      <c r="HN21" s="23"/>
      <c r="HO21" s="23"/>
      <c r="HP21" s="23"/>
      <c r="HQ21" s="23"/>
      <c r="HR21" s="23"/>
      <c r="HS21" s="23"/>
      <c r="HT21" s="23"/>
      <c r="HU21" s="23"/>
      <c r="HV21" s="23"/>
      <c r="HW21" s="23"/>
      <c r="HX21" s="23"/>
      <c r="HY21" s="23"/>
      <c r="HZ21" s="23"/>
      <c r="IA21" s="23"/>
      <c r="IB21" s="23"/>
      <c r="IC21" s="23"/>
      <c r="ID21" s="23"/>
      <c r="IE21" s="23"/>
      <c r="IF21" s="23"/>
      <c r="IG21" s="23"/>
      <c r="IH21" s="23"/>
      <c r="II21" s="23"/>
      <c r="IJ21" s="23"/>
      <c r="IK21" s="23"/>
      <c r="IL21" s="23"/>
      <c r="IM21" s="23"/>
      <c r="IN21" s="23"/>
      <c r="IO21" s="23"/>
      <c r="IP21" s="23"/>
      <c r="IQ21" s="23"/>
      <c r="IR21" s="23"/>
      <c r="IS21" s="23"/>
      <c r="IT21" s="23"/>
      <c r="IU21" s="23"/>
      <c r="IV21" s="23"/>
      <c r="IW21" s="23"/>
      <c r="IX21" s="23"/>
      <c r="IY21" s="23"/>
      <c r="IZ21" s="23"/>
      <c r="JA21" s="23"/>
      <c r="JB21" s="23"/>
      <c r="JC21" s="23"/>
      <c r="JD21" s="23"/>
      <c r="JE21" s="23"/>
      <c r="JF21" s="23"/>
      <c r="JG21" s="23"/>
      <c r="JH21" s="23"/>
      <c r="JI21" s="23"/>
      <c r="JJ21" s="23"/>
      <c r="JK21" s="23"/>
      <c r="JL21" s="23"/>
      <c r="JM21" s="23"/>
      <c r="JN21" s="23"/>
      <c r="JO21" s="23"/>
      <c r="JP21" s="23"/>
      <c r="JQ21" s="23"/>
      <c r="JR21" s="23"/>
      <c r="JS21" s="23"/>
      <c r="JT21" s="23"/>
      <c r="JU21" s="23"/>
      <c r="JV21" s="23"/>
      <c r="JW21" s="23"/>
      <c r="JX21" s="23"/>
      <c r="JY21" s="23"/>
      <c r="JZ21" s="23"/>
      <c r="KA21" s="23"/>
      <c r="KB21" s="23"/>
      <c r="KC21" s="23"/>
      <c r="KD21" s="23"/>
      <c r="KE21" s="23"/>
      <c r="KF21" s="23"/>
      <c r="KG21" s="23"/>
      <c r="KH21" s="23"/>
      <c r="KI21" s="23"/>
      <c r="KJ21" s="23"/>
      <c r="KK21" s="23"/>
      <c r="KL21" s="23"/>
      <c r="KM21" s="23"/>
      <c r="KN21" s="23"/>
      <c r="KO21" s="23"/>
      <c r="KP21" s="23"/>
      <c r="KQ21" s="23"/>
      <c r="KR21" s="23"/>
      <c r="KS21" s="23"/>
      <c r="KT21" s="23"/>
      <c r="KU21" s="23"/>
      <c r="KV21" s="23"/>
      <c r="KW21" s="23"/>
      <c r="KX21" s="23"/>
      <c r="KY21" s="23"/>
      <c r="KZ21" s="23"/>
      <c r="LA21" s="23"/>
      <c r="LB21" s="23"/>
      <c r="LC21" s="23"/>
      <c r="LD21" s="23"/>
      <c r="LE21" s="23"/>
      <c r="LF21" s="23"/>
      <c r="LG21" s="23"/>
      <c r="LH21" s="23"/>
      <c r="LI21" s="23"/>
      <c r="LJ21" s="23"/>
      <c r="LK21" s="23"/>
      <c r="LL21" s="23"/>
      <c r="LM21" s="23"/>
      <c r="LN21" s="23"/>
      <c r="LO21" s="23"/>
      <c r="LP21" s="23"/>
      <c r="LQ21" s="23"/>
      <c r="LR21" s="23"/>
      <c r="LS21" s="23"/>
      <c r="LT21" s="23"/>
      <c r="LU21" s="23"/>
      <c r="LV21" s="23"/>
      <c r="LW21" s="23"/>
      <c r="LX21" s="23"/>
      <c r="LY21" s="23"/>
      <c r="LZ21" s="23"/>
      <c r="MA21" s="23"/>
      <c r="MB21" s="23"/>
      <c r="MC21" s="23"/>
      <c r="MD21" s="23"/>
      <c r="ME21" s="23"/>
      <c r="MF21" s="23"/>
      <c r="MG21" s="23"/>
      <c r="MH21" s="23"/>
      <c r="MI21" s="23"/>
      <c r="MJ21" s="23"/>
      <c r="MK21" s="23"/>
      <c r="ML21" s="23"/>
      <c r="MM21" s="23"/>
      <c r="MN21" s="23"/>
      <c r="MO21" s="23"/>
      <c r="MP21" s="23"/>
      <c r="MQ21" s="23"/>
      <c r="MR21" s="23"/>
      <c r="MS21" s="23"/>
      <c r="MT21" s="23"/>
      <c r="MU21" s="23"/>
      <c r="MV21" s="23"/>
      <c r="MW21" s="23"/>
      <c r="MX21" s="23"/>
      <c r="MY21" s="23"/>
      <c r="MZ21" s="23"/>
      <c r="NA21" s="23"/>
      <c r="NB21" s="23"/>
      <c r="NC21" s="23"/>
      <c r="ND21" s="23"/>
      <c r="NE21" s="23"/>
      <c r="NF21" s="23"/>
      <c r="NG21" s="23"/>
      <c r="NH21" s="23"/>
      <c r="NI21" s="23"/>
      <c r="NJ21" s="23"/>
      <c r="NK21" s="23"/>
      <c r="NL21" s="23"/>
      <c r="NM21" s="23"/>
      <c r="NN21" s="23"/>
      <c r="NO21" s="23"/>
      <c r="NP21" s="23"/>
      <c r="NQ21" s="23"/>
      <c r="NR21" s="23"/>
      <c r="NS21" s="23"/>
      <c r="NT21" s="23"/>
      <c r="NU21" s="23"/>
      <c r="NV21" s="23"/>
      <c r="NW21" s="23"/>
      <c r="NX21" s="23"/>
      <c r="NY21" s="23"/>
      <c r="NZ21" s="23"/>
      <c r="OA21" s="23"/>
      <c r="OB21" s="23"/>
      <c r="OC21" s="23"/>
      <c r="OD21" s="23"/>
      <c r="OE21" s="23"/>
      <c r="OF21" s="23"/>
      <c r="OG21" s="23"/>
      <c r="OH21" s="23"/>
      <c r="OI21" s="23"/>
      <c r="OJ21" s="23"/>
      <c r="OK21" s="23"/>
      <c r="OL21" s="23"/>
      <c r="OM21" s="23"/>
      <c r="ON21" s="23"/>
      <c r="OO21" s="23"/>
      <c r="OP21" s="23"/>
      <c r="OQ21" s="23"/>
      <c r="OR21" s="23"/>
      <c r="OS21" s="23"/>
      <c r="OT21" s="23"/>
      <c r="OU21" s="23"/>
      <c r="OV21" s="23"/>
      <c r="OW21" s="23"/>
      <c r="OX21" s="23"/>
      <c r="OY21" s="23"/>
      <c r="OZ21" s="23"/>
      <c r="PA21" s="23"/>
      <c r="PB21" s="23"/>
      <c r="PC21" s="23"/>
      <c r="PD21" s="23"/>
      <c r="PE21" s="23"/>
      <c r="PF21" s="23"/>
      <c r="PG21" s="23"/>
      <c r="PH21" s="23"/>
      <c r="PI21" s="23"/>
      <c r="PJ21" s="23"/>
      <c r="PK21" s="23"/>
      <c r="PL21" s="23"/>
      <c r="PM21" s="23"/>
      <c r="PN21" s="23"/>
      <c r="PO21" s="23"/>
      <c r="PP21" s="23"/>
      <c r="PQ21" s="23"/>
      <c r="PR21" s="23"/>
      <c r="PS21" s="23"/>
      <c r="PT21" s="23"/>
      <c r="PU21" s="23"/>
      <c r="PV21" s="23"/>
      <c r="PW21" s="23"/>
      <c r="PX21" s="23"/>
      <c r="PY21" s="23"/>
      <c r="PZ21" s="23"/>
      <c r="QA21" s="23"/>
      <c r="QB21" s="23"/>
      <c r="QC21" s="23"/>
      <c r="QD21" s="23"/>
      <c r="QE21" s="23"/>
      <c r="QF21" s="23"/>
      <c r="QG21" s="23"/>
      <c r="QH21" s="23"/>
      <c r="QI21" s="23"/>
      <c r="QJ21" s="23"/>
      <c r="QK21" s="23"/>
      <c r="QL21" s="23"/>
      <c r="QM21" s="23"/>
      <c r="QN21" s="23"/>
      <c r="QO21" s="23"/>
      <c r="QP21" s="23"/>
      <c r="QQ21" s="23"/>
      <c r="QR21" s="23"/>
      <c r="QS21" s="23"/>
      <c r="QT21" s="23"/>
      <c r="QU21" s="23"/>
      <c r="QV21" s="23"/>
      <c r="QW21" s="23"/>
      <c r="QX21" s="23"/>
      <c r="QY21" s="23"/>
      <c r="QZ21" s="23"/>
      <c r="RA21" s="23"/>
      <c r="RB21" s="23"/>
      <c r="RC21" s="23"/>
      <c r="RD21" s="23"/>
      <c r="RE21" s="23"/>
      <c r="RF21" s="23"/>
      <c r="RG21" s="23"/>
      <c r="RH21" s="23"/>
      <c r="RI21" s="23"/>
      <c r="RJ21" s="23"/>
      <c r="RK21" s="23"/>
      <c r="RL21" s="23"/>
      <c r="RM21" s="23"/>
      <c r="RN21" s="23"/>
      <c r="RO21" s="23"/>
      <c r="RP21" s="23"/>
      <c r="RQ21" s="23"/>
      <c r="RR21" s="23"/>
      <c r="RS21" s="23"/>
      <c r="RT21" s="23"/>
      <c r="RU21" s="23"/>
      <c r="RV21" s="23"/>
      <c r="RW21" s="23"/>
      <c r="RX21" s="23"/>
      <c r="RY21" s="23"/>
      <c r="RZ21" s="23"/>
      <c r="SA21" s="23"/>
      <c r="SB21" s="23"/>
      <c r="SC21" s="23"/>
      <c r="SD21" s="23"/>
      <c r="SE21" s="23"/>
      <c r="SF21" s="23"/>
      <c r="SG21" s="23"/>
      <c r="SH21" s="23"/>
      <c r="SI21" s="23"/>
      <c r="SJ21" s="23"/>
      <c r="SK21" s="23"/>
      <c r="SL21" s="23"/>
      <c r="SM21" s="23"/>
      <c r="SN21" s="23"/>
      <c r="SO21" s="23"/>
      <c r="SP21" s="23"/>
      <c r="SQ21" s="23"/>
      <c r="SR21" s="23"/>
      <c r="SS21" s="23"/>
      <c r="ST21" s="23"/>
      <c r="SU21" s="23"/>
      <c r="SV21" s="23"/>
      <c r="SW21" s="23"/>
      <c r="SX21" s="23"/>
      <c r="SY21" s="23"/>
      <c r="SZ21" s="23"/>
      <c r="TA21" s="23"/>
      <c r="TB21" s="23"/>
      <c r="TC21" s="23"/>
      <c r="TD21" s="23"/>
      <c r="TE21" s="23"/>
      <c r="TF21" s="23"/>
      <c r="TG21" s="23"/>
      <c r="TH21" s="23"/>
      <c r="TI21" s="23"/>
      <c r="TJ21" s="23"/>
      <c r="TK21" s="23"/>
      <c r="TL21" s="23"/>
      <c r="TM21" s="23"/>
      <c r="TN21" s="23"/>
      <c r="TO21" s="23"/>
      <c r="TP21" s="23"/>
      <c r="TQ21" s="23"/>
      <c r="TR21" s="23"/>
      <c r="TS21" s="23"/>
      <c r="TT21" s="23"/>
      <c r="TU21" s="23"/>
      <c r="TV21" s="23"/>
      <c r="TW21" s="23"/>
      <c r="TX21" s="23"/>
      <c r="TY21" s="23"/>
      <c r="TZ21" s="23"/>
      <c r="UA21" s="23"/>
      <c r="UB21" s="23"/>
      <c r="UC21" s="23"/>
      <c r="UD21" s="23"/>
      <c r="UE21" s="23"/>
      <c r="UF21" s="23"/>
      <c r="UG21" s="23"/>
      <c r="UH21" s="23"/>
      <c r="UI21" s="23"/>
      <c r="UJ21" s="23"/>
      <c r="UK21" s="23"/>
      <c r="UL21" s="23"/>
      <c r="UM21" s="23"/>
      <c r="UN21" s="23"/>
      <c r="UO21" s="23"/>
      <c r="UP21" s="23"/>
      <c r="UQ21" s="23"/>
      <c r="UR21" s="23"/>
      <c r="US21" s="23"/>
      <c r="UT21" s="23"/>
      <c r="UU21" s="23"/>
      <c r="UV21" s="23"/>
      <c r="UW21" s="23"/>
      <c r="UX21" s="23"/>
      <c r="UY21" s="23"/>
      <c r="UZ21" s="23"/>
      <c r="VA21" s="23"/>
      <c r="VB21" s="23"/>
      <c r="VC21" s="23"/>
      <c r="VD21" s="23"/>
      <c r="VE21" s="23"/>
      <c r="VF21" s="23"/>
      <c r="VG21" s="23"/>
      <c r="VH21" s="23"/>
      <c r="VI21" s="23"/>
      <c r="VJ21" s="23"/>
      <c r="VK21" s="23"/>
      <c r="VL21" s="23"/>
      <c r="VM21" s="23"/>
      <c r="VN21" s="23"/>
      <c r="VO21" s="23"/>
      <c r="VP21" s="23"/>
      <c r="VQ21" s="23"/>
      <c r="VR21" s="23"/>
      <c r="VS21" s="23"/>
      <c r="VT21" s="23"/>
      <c r="VU21" s="23"/>
      <c r="VV21" s="23"/>
      <c r="VW21" s="23"/>
      <c r="VX21" s="23"/>
      <c r="VY21" s="23"/>
      <c r="VZ21" s="23"/>
      <c r="WA21" s="23"/>
      <c r="WB21" s="23"/>
      <c r="WC21" s="23"/>
      <c r="WD21" s="23"/>
      <c r="WE21" s="23"/>
      <c r="WF21" s="23"/>
      <c r="WG21" s="23"/>
      <c r="WH21" s="23"/>
      <c r="WI21" s="23"/>
      <c r="WJ21" s="23"/>
      <c r="WK21" s="23"/>
      <c r="WL21" s="23"/>
      <c r="WM21" s="23"/>
      <c r="WN21" s="23"/>
      <c r="WO21" s="23"/>
      <c r="WP21" s="23"/>
      <c r="WQ21" s="23"/>
      <c r="WR21" s="23"/>
      <c r="WS21" s="23"/>
      <c r="WT21" s="23"/>
      <c r="WU21" s="23"/>
      <c r="WV21" s="23"/>
      <c r="WW21" s="23"/>
      <c r="WX21" s="23"/>
      <c r="WY21" s="23"/>
      <c r="WZ21" s="23"/>
      <c r="XA21" s="23"/>
      <c r="XB21" s="23"/>
      <c r="XC21" s="23"/>
      <c r="XD21" s="23"/>
      <c r="XE21" s="23"/>
      <c r="XF21" s="23"/>
      <c r="XG21" s="23"/>
      <c r="XH21" s="23"/>
      <c r="XI21" s="23"/>
      <c r="XJ21" s="23"/>
      <c r="XK21" s="23"/>
      <c r="XL21" s="23"/>
      <c r="XM21" s="23"/>
      <c r="XN21" s="23"/>
      <c r="XO21" s="23"/>
      <c r="XP21" s="23"/>
      <c r="XQ21" s="23"/>
      <c r="XR21" s="23"/>
      <c r="XS21" s="23"/>
      <c r="XT21" s="23"/>
      <c r="XU21" s="23"/>
      <c r="XV21" s="23"/>
      <c r="XW21" s="23"/>
      <c r="XX21" s="23"/>
      <c r="XY21" s="23"/>
      <c r="XZ21" s="23"/>
      <c r="YA21" s="23"/>
      <c r="YB21" s="23"/>
      <c r="YC21" s="23"/>
      <c r="YD21" s="23"/>
      <c r="YE21" s="23"/>
      <c r="YF21" s="23"/>
      <c r="YG21" s="23"/>
      <c r="YH21" s="23"/>
      <c r="YI21" s="23"/>
      <c r="YJ21" s="23"/>
      <c r="YK21" s="23"/>
      <c r="YL21" s="23"/>
      <c r="YM21" s="23"/>
      <c r="YN21" s="23"/>
      <c r="YO21" s="23"/>
      <c r="YP21" s="23"/>
      <c r="YQ21" s="23"/>
      <c r="YR21" s="23"/>
      <c r="YS21" s="23"/>
      <c r="YT21" s="23"/>
      <c r="YU21" s="23"/>
      <c r="YV21" s="23"/>
      <c r="YW21" s="23"/>
      <c r="YX21" s="23"/>
      <c r="YY21" s="23"/>
      <c r="YZ21" s="23"/>
      <c r="ZA21" s="23"/>
      <c r="ZB21" s="23"/>
      <c r="ZC21" s="23"/>
      <c r="ZD21" s="23"/>
      <c r="ZE21" s="53"/>
    </row>
    <row r="22" spans="1:682" s="2" customFormat="1" ht="15" customHeight="1" x14ac:dyDescent="0.25">
      <c r="A22" s="30">
        <v>2000</v>
      </c>
      <c r="B22" s="104" t="s">
        <v>30</v>
      </c>
      <c r="C22" s="103" t="s">
        <v>66</v>
      </c>
      <c r="D22" s="5" t="s">
        <v>65</v>
      </c>
      <c r="E22" s="103" t="s">
        <v>66</v>
      </c>
      <c r="F22" s="5" t="s">
        <v>65</v>
      </c>
      <c r="G22" s="56">
        <v>2</v>
      </c>
      <c r="H22" s="100" t="s">
        <v>60</v>
      </c>
      <c r="I22" s="131"/>
      <c r="J22" s="97">
        <f t="shared" ref="J22:AG22" ca="1" si="29">J17+I22-J20</f>
        <v>0</v>
      </c>
      <c r="K22" s="97">
        <f t="shared" ca="1" si="29"/>
        <v>0</v>
      </c>
      <c r="L22" s="97">
        <f t="shared" ca="1" si="29"/>
        <v>0</v>
      </c>
      <c r="M22" s="97">
        <f t="shared" ca="1" si="29"/>
        <v>0</v>
      </c>
      <c r="N22" s="97">
        <f t="shared" ca="1" si="29"/>
        <v>0</v>
      </c>
      <c r="O22" s="97">
        <f t="shared" ca="1" si="29"/>
        <v>0</v>
      </c>
      <c r="P22" s="97">
        <f t="shared" ca="1" si="29"/>
        <v>0</v>
      </c>
      <c r="Q22" s="97">
        <f t="shared" ca="1" si="29"/>
        <v>0</v>
      </c>
      <c r="R22" s="97">
        <f t="shared" ca="1" si="29"/>
        <v>0</v>
      </c>
      <c r="S22" s="97">
        <f t="shared" ca="1" si="29"/>
        <v>0</v>
      </c>
      <c r="T22" s="97">
        <f t="shared" ca="1" si="29"/>
        <v>0</v>
      </c>
      <c r="U22" s="97">
        <f t="shared" ca="1" si="29"/>
        <v>0</v>
      </c>
      <c r="V22" s="97">
        <f t="shared" ca="1" si="29"/>
        <v>0</v>
      </c>
      <c r="W22" s="97">
        <f t="shared" ca="1" si="29"/>
        <v>0</v>
      </c>
      <c r="X22" s="97">
        <f t="shared" ca="1" si="29"/>
        <v>0</v>
      </c>
      <c r="Y22" s="97">
        <f t="shared" ca="1" si="29"/>
        <v>0</v>
      </c>
      <c r="Z22" s="97">
        <f t="shared" ca="1" si="29"/>
        <v>0</v>
      </c>
      <c r="AA22" s="97">
        <f t="shared" ca="1" si="29"/>
        <v>0</v>
      </c>
      <c r="AB22" s="97">
        <f t="shared" ca="1" si="29"/>
        <v>0</v>
      </c>
      <c r="AC22" s="97">
        <f t="shared" ca="1" si="29"/>
        <v>0</v>
      </c>
      <c r="AD22" s="97">
        <f t="shared" ca="1" si="29"/>
        <v>0</v>
      </c>
      <c r="AE22" s="97">
        <f t="shared" ca="1" si="29"/>
        <v>0</v>
      </c>
      <c r="AF22" s="97">
        <f t="shared" ca="1" si="29"/>
        <v>0</v>
      </c>
      <c r="AG22" s="97">
        <f t="shared" ca="1" si="29"/>
        <v>0</v>
      </c>
      <c r="AH22" s="250"/>
      <c r="AI22" s="250"/>
      <c r="AJ22" s="250"/>
      <c r="AK22" s="250"/>
      <c r="AL22" s="23"/>
      <c r="AM22" s="23"/>
      <c r="AN22" s="23"/>
      <c r="AO22" s="23"/>
      <c r="AP22" s="23"/>
      <c r="AQ22" s="23"/>
      <c r="AR22" s="23"/>
      <c r="AS22" s="23"/>
      <c r="AT22" s="23"/>
      <c r="AU22" s="23"/>
      <c r="AV22" s="23"/>
      <c r="AW22" s="23"/>
      <c r="AX22" s="23"/>
      <c r="AY22" s="23"/>
      <c r="AZ22" s="23"/>
      <c r="BA22" s="23"/>
      <c r="BB22" s="23"/>
      <c r="BC22" s="23"/>
      <c r="BD22" s="23"/>
      <c r="BE22" s="23"/>
      <c r="BF22" s="23"/>
      <c r="BG22" s="23"/>
      <c r="BH22" s="23"/>
      <c r="BI22" s="23"/>
      <c r="BJ22" s="23"/>
      <c r="BK22" s="23"/>
      <c r="BL22" s="23"/>
      <c r="BM22" s="23"/>
      <c r="BN22" s="23"/>
      <c r="BO22" s="23"/>
      <c r="BP22" s="23"/>
      <c r="BQ22" s="23"/>
      <c r="BR22" s="23"/>
      <c r="BS22" s="23"/>
      <c r="BT22" s="23"/>
      <c r="BU22" s="23"/>
      <c r="BV22" s="23"/>
      <c r="BW22" s="23"/>
      <c r="BX22" s="23"/>
      <c r="BY22" s="23"/>
      <c r="BZ22" s="23"/>
      <c r="CA22" s="23"/>
      <c r="CB22" s="23"/>
      <c r="CC22" s="23"/>
      <c r="CD22" s="23"/>
      <c r="CE22" s="23"/>
      <c r="CF22" s="23"/>
      <c r="CG22" s="23"/>
      <c r="CH22" s="23"/>
      <c r="CI22" s="23"/>
      <c r="CJ22" s="23"/>
      <c r="CK22" s="23"/>
      <c r="CL22" s="23"/>
      <c r="CM22" s="23"/>
      <c r="CN22" s="23"/>
      <c r="CO22" s="23"/>
      <c r="CP22" s="23"/>
      <c r="CQ22" s="23"/>
      <c r="CR22" s="23"/>
      <c r="CS22" s="23"/>
      <c r="CT22" s="23"/>
      <c r="CU22" s="23"/>
      <c r="CV22" s="23"/>
      <c r="CW22" s="23"/>
      <c r="CX22" s="23"/>
      <c r="CY22" s="23"/>
      <c r="CZ22" s="23"/>
      <c r="DA22" s="23"/>
      <c r="DB22" s="23"/>
      <c r="DC22" s="23"/>
      <c r="DD22" s="23"/>
      <c r="DE22" s="23"/>
      <c r="DF22" s="23"/>
      <c r="DG22" s="23"/>
      <c r="DH22" s="23"/>
      <c r="DI22" s="23"/>
      <c r="DJ22" s="23"/>
      <c r="DK22" s="23"/>
      <c r="DL22" s="23"/>
      <c r="DM22" s="23"/>
      <c r="DN22" s="23"/>
      <c r="DO22" s="23"/>
      <c r="DP22" s="23"/>
      <c r="DQ22" s="23"/>
      <c r="DR22" s="23"/>
      <c r="DS22" s="23"/>
      <c r="DT22" s="23"/>
      <c r="DU22" s="23"/>
      <c r="DV22" s="23"/>
      <c r="DW22" s="23"/>
      <c r="DX22" s="23"/>
      <c r="DY22" s="23"/>
      <c r="DZ22" s="23"/>
      <c r="EA22" s="23"/>
      <c r="EB22" s="23"/>
      <c r="EC22" s="23"/>
      <c r="ED22" s="23"/>
      <c r="EE22" s="23"/>
      <c r="EF22" s="23"/>
      <c r="EG22" s="23"/>
      <c r="EH22" s="23"/>
      <c r="EI22" s="23"/>
      <c r="EJ22" s="23"/>
      <c r="EK22" s="23"/>
      <c r="EL22" s="23"/>
      <c r="EM22" s="23"/>
      <c r="EN22" s="23"/>
      <c r="EO22" s="23"/>
      <c r="EP22" s="23"/>
      <c r="EQ22" s="23"/>
      <c r="ER22" s="23"/>
      <c r="ES22" s="23"/>
      <c r="ET22" s="23"/>
      <c r="EU22" s="23"/>
      <c r="EV22" s="23"/>
      <c r="EW22" s="23"/>
      <c r="EX22" s="23"/>
      <c r="EY22" s="23"/>
      <c r="EZ22" s="23"/>
      <c r="FA22" s="23"/>
      <c r="FB22" s="23"/>
      <c r="FC22" s="23"/>
      <c r="FD22" s="23"/>
      <c r="FE22" s="23"/>
      <c r="FF22" s="23"/>
      <c r="FG22" s="23"/>
      <c r="FH22" s="23"/>
      <c r="FI22" s="23"/>
      <c r="FJ22" s="23"/>
      <c r="FK22" s="23"/>
      <c r="FL22" s="23"/>
      <c r="FM22" s="23"/>
      <c r="FN22" s="23"/>
      <c r="FO22" s="23"/>
      <c r="FP22" s="23"/>
      <c r="FQ22" s="23"/>
      <c r="FR22" s="23"/>
      <c r="FS22" s="23"/>
      <c r="FT22" s="23"/>
      <c r="FU22" s="23"/>
      <c r="FV22" s="23"/>
      <c r="FW22" s="23"/>
      <c r="FX22" s="23"/>
      <c r="FY22" s="23"/>
      <c r="FZ22" s="23"/>
      <c r="GA22" s="23"/>
      <c r="GB22" s="23"/>
      <c r="GC22" s="23"/>
      <c r="GD22" s="23"/>
      <c r="GE22" s="23"/>
      <c r="GF22" s="23"/>
      <c r="GG22" s="23"/>
      <c r="GH22" s="23"/>
      <c r="GI22" s="23"/>
      <c r="GJ22" s="23"/>
      <c r="GK22" s="23"/>
      <c r="GL22" s="23"/>
      <c r="GM22" s="23"/>
      <c r="GN22" s="23"/>
      <c r="GO22" s="23"/>
      <c r="GP22" s="23"/>
      <c r="GQ22" s="23"/>
      <c r="GR22" s="23"/>
      <c r="GS22" s="23"/>
      <c r="GT22" s="23"/>
      <c r="GU22" s="23"/>
      <c r="GV22" s="23"/>
      <c r="GW22" s="23"/>
      <c r="GX22" s="23"/>
      <c r="GY22" s="23"/>
      <c r="GZ22" s="23"/>
      <c r="HA22" s="23"/>
      <c r="HB22" s="23"/>
      <c r="HC22" s="23"/>
      <c r="HD22" s="23"/>
      <c r="HE22" s="23"/>
      <c r="HF22" s="23"/>
      <c r="HG22" s="23"/>
      <c r="HH22" s="23"/>
      <c r="HI22" s="23"/>
      <c r="HJ22" s="23"/>
      <c r="HK22" s="23"/>
      <c r="HL22" s="23"/>
      <c r="HM22" s="23"/>
      <c r="HN22" s="23"/>
      <c r="HO22" s="23"/>
      <c r="HP22" s="23"/>
      <c r="HQ22" s="23"/>
      <c r="HR22" s="23"/>
      <c r="HS22" s="23"/>
      <c r="HT22" s="23"/>
      <c r="HU22" s="23"/>
      <c r="HV22" s="23"/>
      <c r="HW22" s="23"/>
      <c r="HX22" s="23"/>
      <c r="HY22" s="23"/>
      <c r="HZ22" s="23"/>
      <c r="IA22" s="23"/>
      <c r="IB22" s="23"/>
      <c r="IC22" s="23"/>
      <c r="ID22" s="23"/>
      <c r="IE22" s="23"/>
      <c r="IF22" s="23"/>
      <c r="IG22" s="23"/>
      <c r="IH22" s="23"/>
      <c r="II22" s="23"/>
      <c r="IJ22" s="23"/>
      <c r="IK22" s="23"/>
      <c r="IL22" s="23"/>
      <c r="IM22" s="23"/>
      <c r="IN22" s="23"/>
      <c r="IO22" s="23"/>
      <c r="IP22" s="23"/>
      <c r="IQ22" s="23"/>
      <c r="IR22" s="23"/>
      <c r="IS22" s="23"/>
      <c r="IT22" s="23"/>
      <c r="IU22" s="23"/>
      <c r="IV22" s="23"/>
      <c r="IW22" s="23"/>
      <c r="IX22" s="23"/>
      <c r="IY22" s="23"/>
      <c r="IZ22" s="23"/>
      <c r="JA22" s="23"/>
      <c r="JB22" s="23"/>
      <c r="JC22" s="23"/>
      <c r="JD22" s="23"/>
      <c r="JE22" s="23"/>
      <c r="JF22" s="23"/>
      <c r="JG22" s="23"/>
      <c r="JH22" s="23"/>
      <c r="JI22" s="23"/>
      <c r="JJ22" s="23"/>
      <c r="JK22" s="23"/>
      <c r="JL22" s="23"/>
      <c r="JM22" s="23"/>
      <c r="JN22" s="23"/>
      <c r="JO22" s="23"/>
      <c r="JP22" s="23"/>
      <c r="JQ22" s="23"/>
      <c r="JR22" s="23"/>
      <c r="JS22" s="23"/>
      <c r="JT22" s="23"/>
      <c r="JU22" s="23"/>
      <c r="JV22" s="23"/>
      <c r="JW22" s="23"/>
      <c r="JX22" s="23"/>
      <c r="JY22" s="23"/>
      <c r="JZ22" s="23"/>
      <c r="KA22" s="23"/>
      <c r="KB22" s="23"/>
      <c r="KC22" s="23"/>
      <c r="KD22" s="23"/>
      <c r="KE22" s="23"/>
      <c r="KF22" s="23"/>
      <c r="KG22" s="23"/>
      <c r="KH22" s="23"/>
      <c r="KI22" s="23"/>
      <c r="KJ22" s="23"/>
      <c r="KK22" s="23"/>
      <c r="KL22" s="23"/>
      <c r="KM22" s="23"/>
      <c r="KN22" s="23"/>
      <c r="KO22" s="23"/>
      <c r="KP22" s="23"/>
      <c r="KQ22" s="23"/>
      <c r="KR22" s="23"/>
      <c r="KS22" s="23"/>
      <c r="KT22" s="23"/>
      <c r="KU22" s="23"/>
      <c r="KV22" s="23"/>
      <c r="KW22" s="23"/>
      <c r="KX22" s="23"/>
      <c r="KY22" s="23"/>
      <c r="KZ22" s="23"/>
      <c r="LA22" s="23"/>
      <c r="LB22" s="23"/>
      <c r="LC22" s="23"/>
      <c r="LD22" s="23"/>
      <c r="LE22" s="23"/>
      <c r="LF22" s="23"/>
      <c r="LG22" s="23"/>
      <c r="LH22" s="23"/>
      <c r="LI22" s="23"/>
      <c r="LJ22" s="23"/>
      <c r="LK22" s="23"/>
      <c r="LL22" s="23"/>
      <c r="LM22" s="23"/>
      <c r="LN22" s="23"/>
      <c r="LO22" s="23"/>
      <c r="LP22" s="23"/>
      <c r="LQ22" s="23"/>
      <c r="LR22" s="23"/>
      <c r="LS22" s="23"/>
      <c r="LT22" s="23"/>
      <c r="LU22" s="23"/>
      <c r="LV22" s="23"/>
      <c r="LW22" s="23"/>
      <c r="LX22" s="23"/>
      <c r="LY22" s="23"/>
      <c r="LZ22" s="23"/>
      <c r="MA22" s="23"/>
      <c r="MB22" s="23"/>
      <c r="MC22" s="23"/>
      <c r="MD22" s="23"/>
      <c r="ME22" s="23"/>
      <c r="MF22" s="23"/>
      <c r="MG22" s="23"/>
      <c r="MH22" s="23"/>
      <c r="MI22" s="23"/>
      <c r="MJ22" s="23"/>
      <c r="MK22" s="23"/>
      <c r="ML22" s="23"/>
      <c r="MM22" s="23"/>
      <c r="MN22" s="23"/>
      <c r="MO22" s="23"/>
      <c r="MP22" s="23"/>
      <c r="MQ22" s="23"/>
      <c r="MR22" s="23"/>
      <c r="MS22" s="23"/>
      <c r="MT22" s="23"/>
      <c r="MU22" s="23"/>
      <c r="MV22" s="23"/>
      <c r="MW22" s="23"/>
      <c r="MX22" s="23"/>
      <c r="MY22" s="23"/>
      <c r="MZ22" s="23"/>
      <c r="NA22" s="23"/>
      <c r="NB22" s="23"/>
      <c r="NC22" s="23"/>
      <c r="ND22" s="23"/>
      <c r="NE22" s="23"/>
      <c r="NF22" s="23"/>
      <c r="NG22" s="23"/>
      <c r="NH22" s="23"/>
      <c r="NI22" s="23"/>
      <c r="NJ22" s="23"/>
      <c r="NK22" s="23"/>
      <c r="NL22" s="23"/>
      <c r="NM22" s="23"/>
      <c r="NN22" s="23"/>
      <c r="NO22" s="23"/>
      <c r="NP22" s="23"/>
      <c r="NQ22" s="23"/>
      <c r="NR22" s="23"/>
      <c r="NS22" s="23"/>
      <c r="NT22" s="23"/>
      <c r="NU22" s="23"/>
      <c r="NV22" s="23"/>
      <c r="NW22" s="23"/>
      <c r="NX22" s="23"/>
      <c r="NY22" s="23"/>
      <c r="NZ22" s="23"/>
      <c r="OA22" s="23"/>
      <c r="OB22" s="23"/>
      <c r="OC22" s="23"/>
      <c r="OD22" s="23"/>
      <c r="OE22" s="23"/>
      <c r="OF22" s="23"/>
      <c r="OG22" s="23"/>
      <c r="OH22" s="23"/>
      <c r="OI22" s="23"/>
      <c r="OJ22" s="23"/>
      <c r="OK22" s="23"/>
      <c r="OL22" s="23"/>
      <c r="OM22" s="23"/>
      <c r="ON22" s="23"/>
      <c r="OO22" s="23"/>
      <c r="OP22" s="23"/>
      <c r="OQ22" s="23"/>
      <c r="OR22" s="23"/>
      <c r="OS22" s="23"/>
      <c r="OT22" s="23"/>
      <c r="OU22" s="23"/>
      <c r="OV22" s="23"/>
      <c r="OW22" s="23"/>
      <c r="OX22" s="23"/>
      <c r="OY22" s="23"/>
      <c r="OZ22" s="23"/>
      <c r="PA22" s="23"/>
      <c r="PB22" s="23"/>
      <c r="PC22" s="23"/>
      <c r="PD22" s="23"/>
      <c r="PE22" s="23"/>
      <c r="PF22" s="23"/>
      <c r="PG22" s="23"/>
      <c r="PH22" s="23"/>
      <c r="PI22" s="23"/>
      <c r="PJ22" s="23"/>
      <c r="PK22" s="23"/>
      <c r="PL22" s="23"/>
      <c r="PM22" s="23"/>
      <c r="PN22" s="23"/>
      <c r="PO22" s="23"/>
      <c r="PP22" s="23"/>
      <c r="PQ22" s="23"/>
      <c r="PR22" s="23"/>
      <c r="PS22" s="23"/>
      <c r="PT22" s="23"/>
      <c r="PU22" s="23"/>
      <c r="PV22" s="23"/>
      <c r="PW22" s="23"/>
      <c r="PX22" s="23"/>
      <c r="PY22" s="23"/>
      <c r="PZ22" s="23"/>
      <c r="QA22" s="23"/>
      <c r="QB22" s="23"/>
      <c r="QC22" s="23"/>
      <c r="QD22" s="23"/>
      <c r="QE22" s="23"/>
      <c r="QF22" s="23"/>
      <c r="QG22" s="23"/>
      <c r="QH22" s="23"/>
      <c r="QI22" s="23"/>
      <c r="QJ22" s="23"/>
      <c r="QK22" s="23"/>
      <c r="QL22" s="23"/>
      <c r="QM22" s="23"/>
      <c r="QN22" s="23"/>
      <c r="QO22" s="23"/>
      <c r="QP22" s="23"/>
      <c r="QQ22" s="23"/>
      <c r="QR22" s="23"/>
      <c r="QS22" s="23"/>
      <c r="QT22" s="23"/>
      <c r="QU22" s="23"/>
      <c r="QV22" s="23"/>
      <c r="QW22" s="23"/>
      <c r="QX22" s="23"/>
      <c r="QY22" s="23"/>
      <c r="QZ22" s="23"/>
      <c r="RA22" s="23"/>
      <c r="RB22" s="23"/>
      <c r="RC22" s="23"/>
      <c r="RD22" s="23"/>
      <c r="RE22" s="23"/>
      <c r="RF22" s="23"/>
      <c r="RG22" s="23"/>
      <c r="RH22" s="23"/>
      <c r="RI22" s="23"/>
      <c r="RJ22" s="23"/>
      <c r="RK22" s="23"/>
      <c r="RL22" s="23"/>
      <c r="RM22" s="23"/>
      <c r="RN22" s="23"/>
      <c r="RO22" s="23"/>
      <c r="RP22" s="23"/>
      <c r="RQ22" s="23"/>
      <c r="RR22" s="23"/>
      <c r="RS22" s="23"/>
      <c r="RT22" s="23"/>
      <c r="RU22" s="23"/>
      <c r="RV22" s="23"/>
      <c r="RW22" s="23"/>
      <c r="RX22" s="23"/>
      <c r="RY22" s="23"/>
      <c r="RZ22" s="23"/>
      <c r="SA22" s="23"/>
      <c r="SB22" s="23"/>
      <c r="SC22" s="23"/>
      <c r="SD22" s="23"/>
      <c r="SE22" s="23"/>
      <c r="SF22" s="23"/>
      <c r="SG22" s="23"/>
      <c r="SH22" s="23"/>
      <c r="SI22" s="23"/>
      <c r="SJ22" s="23"/>
      <c r="SK22" s="23"/>
      <c r="SL22" s="23"/>
      <c r="SM22" s="23"/>
      <c r="SN22" s="23"/>
      <c r="SO22" s="23"/>
      <c r="SP22" s="23"/>
      <c r="SQ22" s="23"/>
      <c r="SR22" s="23"/>
      <c r="SS22" s="23"/>
      <c r="ST22" s="23"/>
      <c r="SU22" s="23"/>
      <c r="SV22" s="23"/>
      <c r="SW22" s="23"/>
      <c r="SX22" s="23"/>
      <c r="SY22" s="23"/>
      <c r="SZ22" s="23"/>
      <c r="TA22" s="23"/>
      <c r="TB22" s="23"/>
      <c r="TC22" s="23"/>
      <c r="TD22" s="23"/>
      <c r="TE22" s="23"/>
      <c r="TF22" s="23"/>
      <c r="TG22" s="23"/>
      <c r="TH22" s="23"/>
      <c r="TI22" s="23"/>
      <c r="TJ22" s="23"/>
      <c r="TK22" s="23"/>
      <c r="TL22" s="23"/>
      <c r="TM22" s="23"/>
      <c r="TN22" s="23"/>
      <c r="TO22" s="23"/>
      <c r="TP22" s="23"/>
      <c r="TQ22" s="23"/>
      <c r="TR22" s="23"/>
      <c r="TS22" s="23"/>
      <c r="TT22" s="23"/>
      <c r="TU22" s="23"/>
      <c r="TV22" s="23"/>
      <c r="TW22" s="23"/>
      <c r="TX22" s="23"/>
      <c r="TY22" s="23"/>
      <c r="TZ22" s="23"/>
      <c r="UA22" s="23"/>
      <c r="UB22" s="23"/>
      <c r="UC22" s="23"/>
      <c r="UD22" s="23"/>
      <c r="UE22" s="23"/>
      <c r="UF22" s="23"/>
      <c r="UG22" s="23"/>
      <c r="UH22" s="23"/>
      <c r="UI22" s="23"/>
      <c r="UJ22" s="23"/>
      <c r="UK22" s="23"/>
      <c r="UL22" s="23"/>
      <c r="UM22" s="23"/>
      <c r="UN22" s="23"/>
      <c r="UO22" s="23"/>
      <c r="UP22" s="23"/>
      <c r="UQ22" s="23"/>
      <c r="UR22" s="23"/>
      <c r="US22" s="23"/>
      <c r="UT22" s="23"/>
      <c r="UU22" s="23"/>
      <c r="UV22" s="23"/>
      <c r="UW22" s="23"/>
      <c r="UX22" s="23"/>
      <c r="UY22" s="23"/>
      <c r="UZ22" s="23"/>
      <c r="VA22" s="23"/>
      <c r="VB22" s="23"/>
      <c r="VC22" s="23"/>
      <c r="VD22" s="23"/>
      <c r="VE22" s="23"/>
      <c r="VF22" s="23"/>
      <c r="VG22" s="23"/>
      <c r="VH22" s="23"/>
      <c r="VI22" s="23"/>
      <c r="VJ22" s="23"/>
      <c r="VK22" s="23"/>
      <c r="VL22" s="23"/>
      <c r="VM22" s="23"/>
      <c r="VN22" s="23"/>
      <c r="VO22" s="23"/>
      <c r="VP22" s="23"/>
      <c r="VQ22" s="23"/>
      <c r="VR22" s="23"/>
      <c r="VS22" s="23"/>
      <c r="VT22" s="23"/>
      <c r="VU22" s="23"/>
      <c r="VV22" s="23"/>
      <c r="VW22" s="23"/>
      <c r="VX22" s="23"/>
      <c r="VY22" s="23"/>
      <c r="VZ22" s="23"/>
      <c r="WA22" s="23"/>
      <c r="WB22" s="23"/>
      <c r="WC22" s="23"/>
      <c r="WD22" s="23"/>
      <c r="WE22" s="23"/>
      <c r="WF22" s="23"/>
      <c r="WG22" s="23"/>
      <c r="WH22" s="23"/>
      <c r="WI22" s="23"/>
      <c r="WJ22" s="23"/>
      <c r="WK22" s="23"/>
      <c r="WL22" s="23"/>
      <c r="WM22" s="23"/>
      <c r="WN22" s="23"/>
      <c r="WO22" s="23"/>
      <c r="WP22" s="23"/>
      <c r="WQ22" s="23"/>
      <c r="WR22" s="23"/>
      <c r="WS22" s="23"/>
      <c r="WT22" s="23"/>
      <c r="WU22" s="23"/>
      <c r="WV22" s="23"/>
      <c r="WW22" s="23"/>
      <c r="WX22" s="23"/>
      <c r="WY22" s="23"/>
      <c r="WZ22" s="23"/>
      <c r="XA22" s="23"/>
      <c r="XB22" s="23"/>
      <c r="XC22" s="23"/>
      <c r="XD22" s="23"/>
      <c r="XE22" s="23"/>
      <c r="XF22" s="23"/>
      <c r="XG22" s="23"/>
      <c r="XH22" s="23"/>
      <c r="XI22" s="23"/>
      <c r="XJ22" s="23"/>
      <c r="XK22" s="23"/>
      <c r="XL22" s="23"/>
      <c r="XM22" s="23"/>
      <c r="XN22" s="23"/>
      <c r="XO22" s="23"/>
      <c r="XP22" s="23"/>
      <c r="XQ22" s="23"/>
      <c r="XR22" s="23"/>
      <c r="XS22" s="23"/>
      <c r="XT22" s="23"/>
      <c r="XU22" s="23"/>
      <c r="XV22" s="23"/>
      <c r="XW22" s="23"/>
      <c r="XX22" s="23"/>
      <c r="XY22" s="23"/>
      <c r="XZ22" s="23"/>
      <c r="YA22" s="23"/>
      <c r="YB22" s="23"/>
      <c r="YC22" s="23"/>
      <c r="YD22" s="23"/>
      <c r="YE22" s="23"/>
      <c r="YF22" s="23"/>
      <c r="YG22" s="23"/>
      <c r="YH22" s="23"/>
      <c r="YI22" s="23"/>
      <c r="YJ22" s="23"/>
      <c r="YK22" s="23"/>
      <c r="YL22" s="23"/>
      <c r="YM22" s="23"/>
      <c r="YN22" s="23"/>
      <c r="YO22" s="23"/>
      <c r="YP22" s="23"/>
      <c r="YQ22" s="23"/>
      <c r="YR22" s="23"/>
      <c r="YS22" s="23"/>
      <c r="YT22" s="23"/>
      <c r="YU22" s="23"/>
      <c r="YV22" s="23"/>
      <c r="YW22" s="23"/>
      <c r="YX22" s="23"/>
      <c r="YY22" s="23"/>
      <c r="YZ22" s="23"/>
      <c r="ZA22" s="23"/>
      <c r="ZB22" s="23"/>
      <c r="ZC22" s="23"/>
      <c r="ZD22" s="23"/>
      <c r="ZE22" s="54"/>
    </row>
    <row r="23" spans="1:682" s="58" customFormat="1" ht="14.25" customHeight="1" x14ac:dyDescent="0.25">
      <c r="A23" s="77"/>
      <c r="B23" s="128"/>
      <c r="C23" s="77"/>
      <c r="D23" s="77"/>
      <c r="E23" s="77"/>
      <c r="F23" s="77"/>
      <c r="G23" s="136"/>
      <c r="H23" s="134"/>
      <c r="I23" s="77"/>
      <c r="J23" s="77"/>
      <c r="K23" s="77"/>
      <c r="L23" s="135"/>
      <c r="M23" s="135"/>
      <c r="N23" s="135"/>
      <c r="O23" s="135"/>
      <c r="P23" s="135"/>
      <c r="Q23" s="135"/>
      <c r="R23" s="135"/>
      <c r="S23" s="135"/>
      <c r="T23" s="135"/>
      <c r="U23" s="135"/>
      <c r="V23" s="135"/>
      <c r="W23" s="135"/>
      <c r="X23" s="135"/>
      <c r="Y23" s="135"/>
      <c r="Z23" s="135"/>
      <c r="AA23" s="135"/>
      <c r="AB23" s="135"/>
      <c r="AC23" s="135"/>
      <c r="AD23" s="135"/>
      <c r="AE23" s="135"/>
      <c r="AF23" s="135"/>
      <c r="AG23" s="135"/>
      <c r="AH23" s="253"/>
      <c r="AI23" s="253"/>
      <c r="AJ23" s="253"/>
      <c r="AK23" s="253"/>
      <c r="AL23" s="23"/>
      <c r="AM23" s="23"/>
      <c r="AN23" s="23"/>
      <c r="AO23" s="23"/>
      <c r="AP23" s="23"/>
      <c r="AQ23" s="23"/>
      <c r="AR23" s="23"/>
      <c r="AS23" s="23"/>
      <c r="AT23" s="23"/>
      <c r="AU23" s="23"/>
      <c r="AV23" s="23"/>
      <c r="AW23" s="23"/>
      <c r="AX23" s="23"/>
      <c r="AY23" s="23"/>
      <c r="AZ23" s="23"/>
      <c r="BA23" s="23"/>
      <c r="BB23" s="23"/>
      <c r="BC23" s="23"/>
      <c r="BD23" s="23"/>
      <c r="BE23" s="23"/>
      <c r="BF23" s="23"/>
      <c r="BG23" s="23"/>
      <c r="BH23" s="23"/>
      <c r="BI23" s="23"/>
      <c r="BJ23" s="23"/>
      <c r="BK23" s="23"/>
      <c r="BL23" s="23"/>
      <c r="BM23" s="23"/>
      <c r="BN23" s="23"/>
      <c r="BO23" s="23"/>
      <c r="BP23" s="23"/>
      <c r="BQ23" s="23"/>
      <c r="BR23" s="23"/>
      <c r="BS23" s="23"/>
      <c r="BT23" s="23"/>
      <c r="BU23" s="23"/>
      <c r="BV23" s="23"/>
      <c r="BW23" s="23"/>
      <c r="BX23" s="23"/>
      <c r="BY23" s="23"/>
      <c r="BZ23" s="23"/>
      <c r="CA23" s="23"/>
      <c r="CB23" s="23"/>
      <c r="CC23" s="23"/>
      <c r="CD23" s="23"/>
      <c r="CE23" s="23"/>
      <c r="CF23" s="23"/>
      <c r="CG23" s="23"/>
      <c r="CH23" s="23"/>
      <c r="CI23" s="23"/>
      <c r="CJ23" s="23"/>
      <c r="CK23" s="23"/>
      <c r="CL23" s="23"/>
      <c r="CM23" s="23"/>
      <c r="CN23" s="23"/>
      <c r="CO23" s="23"/>
      <c r="CP23" s="23"/>
      <c r="CQ23" s="23"/>
      <c r="CR23" s="23"/>
      <c r="CS23" s="23"/>
      <c r="CT23" s="23"/>
      <c r="CU23" s="23"/>
      <c r="CV23" s="23"/>
      <c r="CW23" s="23"/>
      <c r="CX23" s="23"/>
      <c r="CY23" s="23"/>
      <c r="CZ23" s="23"/>
      <c r="DA23" s="23"/>
      <c r="DB23" s="23"/>
      <c r="DC23" s="23"/>
      <c r="DD23" s="23"/>
      <c r="DE23" s="23"/>
      <c r="DF23" s="23"/>
      <c r="DG23" s="23"/>
      <c r="DH23" s="23"/>
      <c r="DI23" s="23"/>
      <c r="DJ23" s="23"/>
      <c r="DK23" s="23"/>
      <c r="DL23" s="23"/>
      <c r="DM23" s="23"/>
      <c r="DN23" s="23"/>
      <c r="DO23" s="23"/>
      <c r="DP23" s="23"/>
      <c r="DQ23" s="23"/>
      <c r="DR23" s="23"/>
      <c r="DS23" s="23"/>
      <c r="DT23" s="23"/>
      <c r="DU23" s="23"/>
      <c r="DV23" s="23"/>
      <c r="DW23" s="23"/>
      <c r="DX23" s="23"/>
      <c r="DY23" s="23"/>
      <c r="DZ23" s="23"/>
      <c r="EA23" s="23"/>
      <c r="EB23" s="23"/>
      <c r="EC23" s="23"/>
      <c r="ED23" s="23"/>
      <c r="EE23" s="23"/>
      <c r="EF23" s="23"/>
      <c r="EG23" s="23"/>
      <c r="EH23" s="23"/>
      <c r="EI23" s="23"/>
      <c r="EJ23" s="23"/>
      <c r="EK23" s="23"/>
      <c r="EL23" s="23"/>
      <c r="EM23" s="23"/>
      <c r="EN23" s="23"/>
      <c r="EO23" s="23"/>
      <c r="EP23" s="23"/>
      <c r="EQ23" s="23"/>
      <c r="ER23" s="23"/>
      <c r="ES23" s="23"/>
      <c r="ET23" s="23"/>
      <c r="EU23" s="23"/>
      <c r="EV23" s="23"/>
      <c r="EW23" s="23"/>
      <c r="EX23" s="23"/>
      <c r="EY23" s="23"/>
      <c r="EZ23" s="23"/>
      <c r="FA23" s="23"/>
      <c r="FB23" s="23"/>
      <c r="FC23" s="23"/>
      <c r="FD23" s="23"/>
      <c r="FE23" s="23"/>
      <c r="FF23" s="23"/>
      <c r="FG23" s="23"/>
      <c r="FH23" s="23"/>
      <c r="FI23" s="23"/>
      <c r="FJ23" s="23"/>
      <c r="FK23" s="23"/>
      <c r="FL23" s="23"/>
      <c r="FM23" s="23"/>
      <c r="FN23" s="23"/>
      <c r="FO23" s="23"/>
      <c r="FP23" s="23"/>
      <c r="FQ23" s="23"/>
      <c r="FR23" s="23"/>
      <c r="FS23" s="23"/>
      <c r="FT23" s="23"/>
      <c r="FU23" s="23"/>
      <c r="FV23" s="23"/>
      <c r="FW23" s="23"/>
      <c r="FX23" s="23"/>
      <c r="FY23" s="23"/>
      <c r="FZ23" s="23"/>
      <c r="GA23" s="23"/>
      <c r="GB23" s="23"/>
      <c r="GC23" s="23"/>
      <c r="GD23" s="23"/>
      <c r="GE23" s="23"/>
      <c r="GF23" s="23"/>
      <c r="GG23" s="23"/>
      <c r="GH23" s="23"/>
      <c r="GI23" s="23"/>
      <c r="GJ23" s="23"/>
      <c r="GK23" s="23"/>
      <c r="GL23" s="23"/>
      <c r="GM23" s="23"/>
      <c r="GN23" s="23"/>
      <c r="GO23" s="23"/>
      <c r="GP23" s="23"/>
      <c r="GQ23" s="23"/>
      <c r="GR23" s="23"/>
      <c r="GS23" s="23"/>
      <c r="GT23" s="23"/>
      <c r="GU23" s="23"/>
      <c r="GV23" s="23"/>
      <c r="GW23" s="23"/>
      <c r="GX23" s="23"/>
      <c r="GY23" s="23"/>
      <c r="GZ23" s="23"/>
      <c r="HA23" s="23"/>
      <c r="HB23" s="23"/>
      <c r="HC23" s="23"/>
      <c r="HD23" s="23"/>
      <c r="HE23" s="23"/>
      <c r="HF23" s="23"/>
      <c r="HG23" s="23"/>
      <c r="HH23" s="23"/>
      <c r="HI23" s="23"/>
      <c r="HJ23" s="23"/>
      <c r="HK23" s="23"/>
      <c r="HL23" s="23"/>
      <c r="HM23" s="23"/>
      <c r="HN23" s="23"/>
      <c r="HO23" s="23"/>
      <c r="HP23" s="23"/>
      <c r="HQ23" s="23"/>
      <c r="HR23" s="23"/>
      <c r="HS23" s="23"/>
      <c r="HT23" s="23"/>
      <c r="HU23" s="23"/>
      <c r="HV23" s="23"/>
      <c r="HW23" s="23"/>
      <c r="HX23" s="23"/>
      <c r="HY23" s="23"/>
      <c r="HZ23" s="23"/>
      <c r="IA23" s="23"/>
      <c r="IB23" s="61"/>
    </row>
    <row r="24" spans="1:682" s="50" customFormat="1" ht="15" customHeight="1" thickBot="1" x14ac:dyDescent="0.3">
      <c r="A24" s="108">
        <v>3000</v>
      </c>
      <c r="B24" s="109" t="s">
        <v>31</v>
      </c>
      <c r="C24" s="103" t="s">
        <v>66</v>
      </c>
      <c r="D24" s="5" t="s">
        <v>65</v>
      </c>
      <c r="E24" s="103" t="s">
        <v>49</v>
      </c>
      <c r="F24" s="5" t="s">
        <v>48</v>
      </c>
      <c r="G24" s="56">
        <v>2</v>
      </c>
      <c r="H24" s="172" t="s">
        <v>119</v>
      </c>
      <c r="I24" s="173"/>
      <c r="J24" s="173"/>
      <c r="K24" s="173"/>
      <c r="L24" s="173"/>
      <c r="M24" s="173"/>
      <c r="N24" s="173"/>
      <c r="O24" s="173"/>
      <c r="P24" s="173"/>
      <c r="Q24" s="173"/>
      <c r="R24" s="173"/>
      <c r="S24" s="173"/>
      <c r="T24" s="173"/>
      <c r="U24" s="173"/>
      <c r="V24" s="173"/>
      <c r="W24" s="173"/>
      <c r="X24" s="173"/>
      <c r="Y24" s="173"/>
      <c r="Z24" s="173"/>
      <c r="AA24" s="173"/>
      <c r="AB24" s="173"/>
      <c r="AC24" s="173"/>
      <c r="AD24" s="173"/>
      <c r="AE24" s="173"/>
      <c r="AF24" s="173"/>
      <c r="AG24" s="173"/>
      <c r="AH24" s="265"/>
      <c r="AI24" s="265"/>
      <c r="AJ24" s="265"/>
      <c r="AK24" s="265"/>
      <c r="AL24" s="24"/>
      <c r="AM24" s="24"/>
      <c r="AN24" s="24"/>
      <c r="AO24" s="24"/>
      <c r="AP24" s="24"/>
      <c r="AQ24" s="24"/>
      <c r="AR24" s="24"/>
      <c r="AS24" s="24"/>
      <c r="AT24" s="24"/>
      <c r="AU24" s="24"/>
      <c r="AV24" s="24"/>
      <c r="AW24" s="24"/>
      <c r="AX24" s="24"/>
      <c r="AY24" s="24"/>
      <c r="AZ24" s="24"/>
      <c r="BA24" s="24"/>
      <c r="BB24" s="24"/>
      <c r="BC24" s="24"/>
      <c r="BD24" s="24"/>
      <c r="BE24" s="24"/>
      <c r="BF24" s="24"/>
      <c r="BG24" s="24"/>
      <c r="BH24" s="24"/>
      <c r="BI24" s="24"/>
      <c r="BJ24" s="24"/>
      <c r="BK24" s="24"/>
      <c r="BL24" s="24"/>
      <c r="BM24" s="24"/>
      <c r="BN24" s="24"/>
      <c r="BO24" s="24"/>
      <c r="BP24" s="24"/>
      <c r="BQ24" s="24"/>
      <c r="BR24" s="24"/>
      <c r="BS24" s="24"/>
      <c r="BT24" s="24"/>
      <c r="BU24" s="24"/>
      <c r="BV24" s="24"/>
      <c r="BW24" s="24"/>
      <c r="BX24" s="24"/>
      <c r="BY24" s="24"/>
      <c r="BZ24" s="24"/>
      <c r="CA24" s="24"/>
      <c r="CB24" s="24"/>
      <c r="CC24" s="24"/>
      <c r="CD24" s="24"/>
      <c r="CE24" s="24"/>
      <c r="CF24" s="24"/>
      <c r="CG24" s="24"/>
      <c r="CH24" s="24"/>
      <c r="CI24" s="24"/>
      <c r="CJ24" s="24"/>
      <c r="CK24" s="24"/>
      <c r="CL24" s="24"/>
      <c r="CM24" s="24"/>
      <c r="CN24" s="24"/>
      <c r="CO24" s="24"/>
      <c r="CP24" s="24"/>
      <c r="CQ24" s="24"/>
      <c r="CR24" s="24"/>
      <c r="CS24" s="24"/>
      <c r="CT24" s="24"/>
      <c r="CU24" s="24"/>
      <c r="CV24" s="24"/>
      <c r="CW24" s="24"/>
      <c r="CX24" s="24"/>
      <c r="CY24" s="24"/>
      <c r="CZ24" s="24"/>
      <c r="DA24" s="24"/>
      <c r="DB24" s="24"/>
      <c r="DC24" s="24"/>
      <c r="DD24" s="24"/>
      <c r="DE24" s="24"/>
      <c r="DF24" s="24"/>
      <c r="DG24" s="24"/>
      <c r="DH24" s="24"/>
      <c r="DI24" s="24"/>
      <c r="DJ24" s="24"/>
      <c r="DK24" s="24"/>
      <c r="DL24" s="24"/>
      <c r="DM24" s="24"/>
      <c r="DN24" s="24"/>
      <c r="DO24" s="24"/>
      <c r="DP24" s="24"/>
      <c r="DQ24" s="24"/>
      <c r="DR24" s="24"/>
      <c r="DS24" s="24"/>
      <c r="DT24" s="24"/>
      <c r="DU24" s="24"/>
      <c r="DV24" s="24"/>
      <c r="DW24" s="24"/>
      <c r="DX24" s="24"/>
      <c r="DY24" s="24"/>
      <c r="DZ24" s="24"/>
      <c r="EA24" s="24"/>
      <c r="EB24" s="24"/>
      <c r="EC24" s="24"/>
      <c r="ED24" s="24"/>
      <c r="EE24" s="24"/>
      <c r="EF24" s="24"/>
      <c r="EG24" s="24"/>
      <c r="EH24" s="24"/>
      <c r="EI24" s="24"/>
      <c r="EJ24" s="24"/>
      <c r="EK24" s="24"/>
      <c r="EL24" s="24"/>
      <c r="EM24" s="24"/>
      <c r="EN24" s="24"/>
      <c r="EO24" s="24"/>
      <c r="EP24" s="24"/>
      <c r="EQ24" s="24"/>
      <c r="ER24" s="24"/>
      <c r="ES24" s="24"/>
      <c r="ET24" s="24"/>
      <c r="EU24" s="24"/>
      <c r="EV24" s="24"/>
      <c r="EW24" s="24"/>
      <c r="EX24" s="24"/>
      <c r="EY24" s="24"/>
      <c r="EZ24" s="24"/>
      <c r="FA24" s="24"/>
      <c r="FB24" s="24"/>
      <c r="FC24" s="24"/>
      <c r="FD24" s="24"/>
      <c r="FE24" s="24"/>
      <c r="FF24" s="24"/>
      <c r="FG24" s="24"/>
      <c r="FH24" s="24"/>
      <c r="FI24" s="24"/>
      <c r="FJ24" s="24"/>
      <c r="FK24" s="24"/>
      <c r="FL24" s="24"/>
      <c r="FM24" s="24"/>
      <c r="FN24" s="24"/>
      <c r="FO24" s="24"/>
      <c r="FP24" s="24"/>
      <c r="FQ24" s="24"/>
      <c r="FR24" s="24"/>
      <c r="FS24" s="24"/>
      <c r="FT24" s="24"/>
      <c r="FU24" s="24"/>
      <c r="FV24" s="24"/>
      <c r="FW24" s="24"/>
      <c r="FX24" s="24"/>
      <c r="FY24" s="24"/>
      <c r="FZ24" s="24"/>
      <c r="GA24" s="24"/>
      <c r="GB24" s="24"/>
      <c r="GC24" s="24"/>
      <c r="GD24" s="24"/>
      <c r="GE24" s="24"/>
      <c r="GF24" s="24"/>
      <c r="GG24" s="24"/>
      <c r="GH24" s="24"/>
      <c r="GI24" s="24"/>
      <c r="GJ24" s="24"/>
      <c r="GK24" s="24"/>
      <c r="GL24" s="24"/>
      <c r="GM24" s="24"/>
      <c r="GN24" s="24"/>
      <c r="GO24" s="24"/>
      <c r="GP24" s="24"/>
      <c r="GQ24" s="24"/>
      <c r="GR24" s="24"/>
      <c r="GS24" s="24"/>
      <c r="GT24" s="24"/>
      <c r="GU24" s="24"/>
      <c r="GV24" s="24"/>
      <c r="GW24" s="24"/>
      <c r="GX24" s="24"/>
      <c r="GY24" s="24"/>
      <c r="GZ24" s="24"/>
      <c r="HA24" s="24"/>
      <c r="HB24" s="24"/>
      <c r="HC24" s="24"/>
      <c r="HD24" s="24"/>
      <c r="HE24" s="24"/>
      <c r="HF24" s="24"/>
      <c r="HG24" s="24"/>
      <c r="HH24" s="24"/>
      <c r="HI24" s="24"/>
      <c r="HJ24" s="24"/>
      <c r="HK24" s="24"/>
      <c r="HL24" s="24"/>
      <c r="HM24" s="24"/>
      <c r="HN24" s="24"/>
      <c r="HO24" s="24"/>
      <c r="HP24" s="24"/>
      <c r="HQ24" s="24"/>
      <c r="HR24" s="24"/>
      <c r="HS24" s="24"/>
      <c r="HT24" s="24"/>
      <c r="HU24" s="24"/>
      <c r="HV24" s="24"/>
      <c r="HW24" s="24"/>
      <c r="HX24" s="24"/>
      <c r="HY24" s="24"/>
      <c r="HZ24" s="24"/>
      <c r="IA24" s="24"/>
      <c r="IB24" s="24"/>
      <c r="IC24" s="24"/>
      <c r="ID24" s="24"/>
      <c r="IE24" s="24"/>
      <c r="IF24" s="24"/>
      <c r="IG24" s="24"/>
      <c r="IH24" s="24"/>
      <c r="II24" s="24"/>
      <c r="IJ24" s="24"/>
      <c r="IK24" s="24"/>
      <c r="IL24" s="24"/>
      <c r="IM24" s="24"/>
      <c r="IN24" s="24"/>
      <c r="IO24" s="24"/>
      <c r="IP24" s="24"/>
      <c r="IQ24" s="24"/>
      <c r="IR24" s="24"/>
      <c r="IS24" s="24"/>
      <c r="IT24" s="24"/>
      <c r="IU24" s="24"/>
      <c r="IV24" s="24"/>
      <c r="IW24" s="24"/>
      <c r="IX24" s="24"/>
      <c r="IY24" s="24"/>
      <c r="IZ24" s="24"/>
      <c r="JA24" s="24"/>
      <c r="JB24" s="24"/>
      <c r="JC24" s="24"/>
      <c r="JD24" s="24"/>
      <c r="JE24" s="24"/>
      <c r="JF24" s="24"/>
      <c r="JG24" s="24"/>
      <c r="JH24" s="24"/>
      <c r="JI24" s="24"/>
      <c r="JJ24" s="24"/>
      <c r="JK24" s="24"/>
      <c r="JL24" s="24"/>
      <c r="JM24" s="24"/>
      <c r="JN24" s="24"/>
      <c r="JO24" s="24"/>
      <c r="JP24" s="24"/>
      <c r="JQ24" s="24"/>
      <c r="JR24" s="24"/>
      <c r="JS24" s="24"/>
      <c r="JT24" s="24"/>
      <c r="JU24" s="24"/>
      <c r="JV24" s="24"/>
      <c r="JW24" s="24"/>
      <c r="JX24" s="24"/>
      <c r="JY24" s="24"/>
      <c r="JZ24" s="24"/>
      <c r="KA24" s="24"/>
      <c r="KB24" s="24"/>
      <c r="KC24" s="24"/>
      <c r="KD24" s="24"/>
      <c r="KE24" s="24"/>
      <c r="KF24" s="24"/>
      <c r="KG24" s="24"/>
      <c r="KH24" s="24"/>
      <c r="KI24" s="24"/>
      <c r="KJ24" s="24"/>
      <c r="KK24" s="24"/>
      <c r="KL24" s="24"/>
      <c r="KM24" s="24"/>
      <c r="KN24" s="24"/>
      <c r="KO24" s="24"/>
      <c r="KP24" s="24"/>
      <c r="KQ24" s="24"/>
      <c r="KR24" s="24"/>
      <c r="KS24" s="24"/>
      <c r="KT24" s="24"/>
      <c r="KU24" s="24"/>
      <c r="KV24" s="24"/>
      <c r="KW24" s="24"/>
      <c r="KX24" s="24"/>
      <c r="KY24" s="24"/>
      <c r="KZ24" s="24"/>
      <c r="LA24" s="24"/>
      <c r="LB24" s="24"/>
      <c r="LC24" s="24"/>
      <c r="LD24" s="24"/>
      <c r="LE24" s="24"/>
      <c r="LF24" s="24"/>
      <c r="LG24" s="24"/>
      <c r="LH24" s="24"/>
      <c r="LI24" s="24"/>
      <c r="LJ24" s="24"/>
      <c r="LK24" s="24"/>
      <c r="LL24" s="24"/>
      <c r="LM24" s="24"/>
      <c r="LN24" s="24"/>
      <c r="LO24" s="24"/>
      <c r="LP24" s="24"/>
      <c r="LQ24" s="24"/>
      <c r="LR24" s="24"/>
      <c r="LS24" s="24"/>
      <c r="LT24" s="24"/>
      <c r="LU24" s="24"/>
      <c r="LV24" s="24"/>
      <c r="LW24" s="24"/>
      <c r="LX24" s="24"/>
      <c r="LY24" s="24"/>
      <c r="LZ24" s="24"/>
      <c r="MA24" s="24"/>
      <c r="MB24" s="24"/>
      <c r="MC24" s="24"/>
      <c r="MD24" s="24"/>
      <c r="ME24" s="24"/>
      <c r="MF24" s="24"/>
      <c r="MG24" s="24"/>
      <c r="MH24" s="24"/>
      <c r="MI24" s="24"/>
      <c r="MJ24" s="24"/>
      <c r="MK24" s="24"/>
      <c r="ML24" s="24"/>
      <c r="MM24" s="24"/>
      <c r="MN24" s="24"/>
      <c r="MO24" s="24"/>
      <c r="MP24" s="24"/>
      <c r="MQ24" s="24"/>
      <c r="MR24" s="24"/>
      <c r="MS24" s="24"/>
      <c r="MT24" s="24"/>
      <c r="MU24" s="24"/>
      <c r="MV24" s="24"/>
      <c r="MW24" s="24"/>
      <c r="MX24" s="24"/>
      <c r="MY24" s="24"/>
      <c r="MZ24" s="24"/>
      <c r="NA24" s="24"/>
      <c r="NB24" s="24"/>
      <c r="NC24" s="24"/>
      <c r="ND24" s="24"/>
      <c r="NE24" s="24"/>
      <c r="NF24" s="24"/>
      <c r="NG24" s="24"/>
      <c r="NH24" s="24"/>
      <c r="NI24" s="24"/>
      <c r="NJ24" s="24"/>
      <c r="NK24" s="24"/>
      <c r="NL24" s="24"/>
      <c r="NM24" s="24"/>
      <c r="NN24" s="24"/>
      <c r="NO24" s="24"/>
      <c r="NP24" s="24"/>
      <c r="NQ24" s="24"/>
      <c r="NR24" s="24"/>
      <c r="NS24" s="24"/>
      <c r="NT24" s="24"/>
      <c r="NU24" s="24"/>
      <c r="NV24" s="24"/>
      <c r="NW24" s="24"/>
      <c r="NX24" s="24"/>
      <c r="NY24" s="24"/>
      <c r="NZ24" s="24"/>
      <c r="OA24" s="24"/>
      <c r="OB24" s="24"/>
      <c r="OC24" s="24"/>
      <c r="OD24" s="24"/>
      <c r="OE24" s="24"/>
      <c r="OF24" s="24"/>
      <c r="OG24" s="24"/>
      <c r="OH24" s="24"/>
      <c r="OI24" s="24"/>
      <c r="OJ24" s="24"/>
      <c r="OK24" s="24"/>
      <c r="OL24" s="24"/>
      <c r="OM24" s="24"/>
      <c r="ON24" s="24"/>
      <c r="OO24" s="24"/>
      <c r="OP24" s="24"/>
      <c r="OQ24" s="24"/>
      <c r="OR24" s="24"/>
      <c r="OS24" s="24"/>
      <c r="OT24" s="24"/>
      <c r="OU24" s="24"/>
      <c r="OV24" s="24"/>
      <c r="OW24" s="24"/>
      <c r="OX24" s="24"/>
      <c r="OY24" s="24"/>
      <c r="OZ24" s="24"/>
      <c r="PA24" s="24"/>
      <c r="PB24" s="24"/>
      <c r="PC24" s="24"/>
      <c r="PD24" s="24"/>
      <c r="PE24" s="24"/>
      <c r="PF24" s="24"/>
      <c r="PG24" s="24"/>
      <c r="PH24" s="24"/>
      <c r="PI24" s="24"/>
      <c r="PJ24" s="24"/>
      <c r="PK24" s="24"/>
      <c r="PL24" s="24"/>
      <c r="PM24" s="24"/>
      <c r="PN24" s="24"/>
      <c r="PO24" s="24"/>
      <c r="PP24" s="24"/>
      <c r="PQ24" s="24"/>
      <c r="PR24" s="24"/>
      <c r="PS24" s="24"/>
      <c r="PT24" s="24"/>
      <c r="PU24" s="24"/>
      <c r="PV24" s="24"/>
      <c r="PW24" s="24"/>
      <c r="PX24" s="24"/>
      <c r="PY24" s="24"/>
      <c r="PZ24" s="24"/>
      <c r="QA24" s="24"/>
      <c r="QB24" s="24"/>
      <c r="QC24" s="24"/>
      <c r="QD24" s="24"/>
      <c r="QE24" s="24"/>
      <c r="QF24" s="24"/>
      <c r="QG24" s="24"/>
      <c r="QH24" s="24"/>
      <c r="QI24" s="24"/>
      <c r="QJ24" s="24"/>
      <c r="QK24" s="24"/>
      <c r="QL24" s="24"/>
      <c r="QM24" s="24"/>
      <c r="QN24" s="24"/>
      <c r="QO24" s="24"/>
      <c r="QP24" s="24"/>
      <c r="QQ24" s="24"/>
      <c r="QR24" s="24"/>
      <c r="QS24" s="24"/>
      <c r="QT24" s="24"/>
      <c r="QU24" s="24"/>
      <c r="QV24" s="24"/>
      <c r="QW24" s="24"/>
      <c r="QX24" s="24"/>
      <c r="QY24" s="24"/>
      <c r="QZ24" s="24"/>
      <c r="RA24" s="24"/>
      <c r="RB24" s="24"/>
      <c r="RC24" s="24"/>
      <c r="RD24" s="24"/>
      <c r="RE24" s="24"/>
      <c r="RF24" s="24"/>
      <c r="RG24" s="24"/>
      <c r="RH24" s="24"/>
      <c r="RI24" s="24"/>
      <c r="RJ24" s="24"/>
      <c r="RK24" s="24"/>
      <c r="RL24" s="24"/>
      <c r="RM24" s="24"/>
      <c r="RN24" s="24"/>
      <c r="RO24" s="24"/>
      <c r="RP24" s="24"/>
      <c r="RQ24" s="24"/>
      <c r="RR24" s="24"/>
      <c r="RS24" s="24"/>
      <c r="RT24" s="24"/>
      <c r="RU24" s="24"/>
      <c r="RV24" s="24"/>
      <c r="RW24" s="24"/>
      <c r="RX24" s="24"/>
      <c r="RY24" s="24"/>
      <c r="RZ24" s="24"/>
      <c r="SA24" s="24"/>
      <c r="SB24" s="24"/>
      <c r="SC24" s="24"/>
      <c r="SD24" s="24"/>
      <c r="SE24" s="24"/>
      <c r="SF24" s="24"/>
      <c r="SG24" s="24"/>
      <c r="SH24" s="24"/>
      <c r="SI24" s="24"/>
      <c r="SJ24" s="24"/>
      <c r="SK24" s="24"/>
      <c r="SL24" s="24"/>
      <c r="SM24" s="24"/>
      <c r="SN24" s="24"/>
      <c r="SO24" s="24"/>
      <c r="SP24" s="24"/>
      <c r="SQ24" s="24"/>
      <c r="SR24" s="24"/>
      <c r="SS24" s="24"/>
      <c r="ST24" s="24"/>
      <c r="SU24" s="24"/>
      <c r="SV24" s="24"/>
      <c r="SW24" s="24"/>
      <c r="SX24" s="24"/>
      <c r="SY24" s="24"/>
      <c r="SZ24" s="24"/>
      <c r="TA24" s="24"/>
      <c r="TB24" s="24"/>
      <c r="TC24" s="24"/>
      <c r="TD24" s="24"/>
      <c r="TE24" s="24"/>
      <c r="TF24" s="24"/>
      <c r="TG24" s="24"/>
      <c r="TH24" s="24"/>
      <c r="TI24" s="24"/>
      <c r="TJ24" s="24"/>
      <c r="TK24" s="24"/>
      <c r="TL24" s="24"/>
      <c r="TM24" s="24"/>
      <c r="TN24" s="24"/>
      <c r="TO24" s="24"/>
      <c r="TP24" s="24"/>
      <c r="TQ24" s="24"/>
      <c r="TR24" s="24"/>
      <c r="TS24" s="24"/>
      <c r="TT24" s="24"/>
      <c r="TU24" s="24"/>
      <c r="TV24" s="24"/>
      <c r="TW24" s="24"/>
      <c r="TX24" s="24"/>
      <c r="TY24" s="24"/>
      <c r="TZ24" s="24"/>
      <c r="UA24" s="24"/>
      <c r="UB24" s="24"/>
      <c r="UC24" s="24"/>
      <c r="UD24" s="24"/>
      <c r="UE24" s="24"/>
      <c r="UF24" s="24"/>
      <c r="UG24" s="24"/>
      <c r="UH24" s="24"/>
      <c r="UI24" s="24"/>
      <c r="UJ24" s="24"/>
      <c r="UK24" s="24"/>
      <c r="UL24" s="24"/>
      <c r="UM24" s="24"/>
      <c r="UN24" s="24"/>
      <c r="UO24" s="24"/>
      <c r="UP24" s="24"/>
      <c r="UQ24" s="24"/>
      <c r="UR24" s="24"/>
      <c r="US24" s="24"/>
      <c r="UT24" s="24"/>
      <c r="UU24" s="24"/>
      <c r="UV24" s="24"/>
      <c r="UW24" s="24"/>
      <c r="UX24" s="24"/>
      <c r="UY24" s="24"/>
      <c r="UZ24" s="24"/>
      <c r="VA24" s="24"/>
      <c r="VB24" s="24"/>
      <c r="VC24" s="24"/>
      <c r="VD24" s="24"/>
      <c r="VE24" s="24"/>
      <c r="VF24" s="24"/>
      <c r="VG24" s="24"/>
      <c r="VH24" s="24"/>
      <c r="VI24" s="24"/>
      <c r="VJ24" s="24"/>
      <c r="VK24" s="24"/>
      <c r="VL24" s="24"/>
      <c r="VM24" s="24"/>
      <c r="VN24" s="24"/>
      <c r="VO24" s="24"/>
      <c r="VP24" s="24"/>
      <c r="VQ24" s="24"/>
      <c r="VR24" s="24"/>
      <c r="VS24" s="24"/>
      <c r="VT24" s="24"/>
      <c r="VU24" s="24"/>
      <c r="VV24" s="24"/>
      <c r="VW24" s="24"/>
      <c r="VX24" s="24"/>
      <c r="VY24" s="24"/>
      <c r="VZ24" s="24"/>
      <c r="WA24" s="24"/>
      <c r="WB24" s="24"/>
      <c r="WC24" s="24"/>
      <c r="WD24" s="24"/>
      <c r="WE24" s="24"/>
      <c r="WF24" s="24"/>
      <c r="WG24" s="24"/>
      <c r="WH24" s="24"/>
      <c r="WI24" s="24"/>
      <c r="WJ24" s="24"/>
      <c r="WK24" s="24"/>
      <c r="WL24" s="24"/>
      <c r="WM24" s="24"/>
      <c r="WN24" s="24"/>
      <c r="WO24" s="24"/>
      <c r="WP24" s="24"/>
      <c r="WQ24" s="24"/>
      <c r="WR24" s="24"/>
      <c r="WS24" s="24"/>
      <c r="WT24" s="24"/>
      <c r="WU24" s="24"/>
      <c r="WV24" s="24"/>
      <c r="WW24" s="24"/>
      <c r="WX24" s="24"/>
      <c r="WY24" s="24"/>
      <c r="WZ24" s="24"/>
      <c r="XA24" s="24"/>
      <c r="XB24" s="24"/>
      <c r="XC24" s="24"/>
      <c r="XD24" s="24"/>
      <c r="XE24" s="24"/>
      <c r="XF24" s="24"/>
      <c r="XG24" s="24"/>
      <c r="XH24" s="24"/>
      <c r="XI24" s="24"/>
      <c r="XJ24" s="24"/>
      <c r="XK24" s="24"/>
      <c r="XL24" s="24"/>
      <c r="XM24" s="24"/>
      <c r="XN24" s="24"/>
      <c r="XO24" s="24"/>
      <c r="XP24" s="24"/>
      <c r="XQ24" s="24"/>
      <c r="XR24" s="24"/>
      <c r="XS24" s="24"/>
      <c r="XT24" s="24"/>
      <c r="XU24" s="24"/>
      <c r="XV24" s="24"/>
      <c r="XW24" s="24"/>
      <c r="XX24" s="24"/>
      <c r="XY24" s="24"/>
      <c r="XZ24" s="24"/>
      <c r="YA24" s="24"/>
      <c r="YB24" s="24"/>
      <c r="YC24" s="24"/>
      <c r="YD24" s="24"/>
      <c r="YE24" s="24"/>
      <c r="YF24" s="24"/>
      <c r="YG24" s="24"/>
      <c r="YH24" s="24"/>
      <c r="YI24" s="24"/>
      <c r="YJ24" s="24"/>
      <c r="YK24" s="24"/>
      <c r="YL24" s="24"/>
      <c r="YM24" s="24"/>
      <c r="YN24" s="24"/>
      <c r="YO24" s="24"/>
      <c r="YP24" s="24"/>
      <c r="YQ24" s="24"/>
      <c r="YR24" s="24"/>
      <c r="YS24" s="24"/>
      <c r="YT24" s="24"/>
      <c r="YU24" s="24"/>
      <c r="YV24" s="24"/>
      <c r="YW24" s="24"/>
      <c r="YX24" s="24"/>
      <c r="YY24" s="24"/>
      <c r="YZ24" s="24"/>
      <c r="ZA24" s="24"/>
      <c r="ZB24" s="24"/>
      <c r="ZC24" s="24"/>
      <c r="ZD24" s="24"/>
      <c r="ZE24" s="24"/>
      <c r="ZF24" s="53"/>
    </row>
    <row r="25" spans="1:682" s="45" customFormat="1" ht="15" customHeight="1" x14ac:dyDescent="0.25">
      <c r="A25" s="108">
        <v>3000</v>
      </c>
      <c r="B25" s="109" t="s">
        <v>31</v>
      </c>
      <c r="C25" s="103" t="s">
        <v>49</v>
      </c>
      <c r="D25" s="5" t="s">
        <v>48</v>
      </c>
      <c r="E25" s="103" t="s">
        <v>66</v>
      </c>
      <c r="F25" s="5" t="s">
        <v>65</v>
      </c>
      <c r="G25" s="56">
        <v>2</v>
      </c>
      <c r="H25" s="46" t="s">
        <v>25</v>
      </c>
      <c r="I25" s="47"/>
      <c r="J25" s="48">
        <f ca="1">OFFSET(CBN_CDC!I45,0,2)</f>
        <v>310</v>
      </c>
      <c r="K25" s="241">
        <f ca="1">OFFSET(CBN_CDC!J45,0,2)</f>
        <v>210</v>
      </c>
      <c r="L25" s="241">
        <f ca="1">OFFSET(CBN_CDC!K45,0,2)</f>
        <v>300</v>
      </c>
      <c r="M25" s="241">
        <f ca="1">OFFSET(CBN_CDC!L45,0,2)</f>
        <v>330</v>
      </c>
      <c r="N25" s="241">
        <f ca="1">OFFSET(CBN_CDC!M45,0,2)</f>
        <v>380</v>
      </c>
      <c r="O25" s="241">
        <f ca="1">OFFSET(CBN_CDC!N45,0,2)</f>
        <v>270</v>
      </c>
      <c r="P25" s="241">
        <f ca="1">OFFSET(CBN_CDC!O45,0,2)</f>
        <v>196</v>
      </c>
      <c r="Q25" s="241">
        <f ca="1">OFFSET(CBN_CDC!P45,0,2)</f>
        <v>251</v>
      </c>
      <c r="R25" s="241">
        <f ca="1">OFFSET(CBN_CDC!Q45,0,2)</f>
        <v>303</v>
      </c>
      <c r="S25" s="241">
        <f ca="1">OFFSET(CBN_CDC!R45,0,2)</f>
        <v>173</v>
      </c>
      <c r="T25" s="241">
        <f ca="1">OFFSET(CBN_CDC!S45,0,2)</f>
        <v>83</v>
      </c>
      <c r="U25" s="241">
        <f ca="1">OFFSET(CBN_CDC!T45,0,2)</f>
        <v>281</v>
      </c>
      <c r="V25" s="241">
        <f ca="1">OFFSET(CBN_CDC!U45,0,2)</f>
        <v>248</v>
      </c>
      <c r="W25" s="241">
        <f ca="1">OFFSET(CBN_CDC!V45,0,2)</f>
        <v>259</v>
      </c>
      <c r="X25" s="241">
        <f ca="1">OFFSET(CBN_CDC!W45,0,2)</f>
        <v>189</v>
      </c>
      <c r="Y25" s="241">
        <f ca="1">OFFSET(CBN_CDC!X45,0,2)</f>
        <v>119</v>
      </c>
      <c r="Z25" s="241">
        <f ca="1">OFFSET(CBN_CDC!Y45,0,2)</f>
        <v>256</v>
      </c>
      <c r="AA25" s="241">
        <f ca="1">OFFSET(CBN_CDC!Z45,0,2)</f>
        <v>379</v>
      </c>
      <c r="AB25" s="241">
        <f ca="1">OFFSET(CBN_CDC!AA45,0,2)</f>
        <v>178</v>
      </c>
      <c r="AC25" s="241">
        <f ca="1">OFFSET(CBN_CDC!AB45,0,2)</f>
        <v>323</v>
      </c>
      <c r="AD25" s="241">
        <f ca="1">OFFSET(CBN_CDC!AC45,0,2)</f>
        <v>131</v>
      </c>
      <c r="AE25" s="241">
        <f ca="1">OFFSET(CBN_CDC!AD45,0,2)</f>
        <v>138</v>
      </c>
      <c r="AF25" s="241">
        <f ca="1">OFFSET(CBN_CDC!AE45,0,2)</f>
        <v>0</v>
      </c>
      <c r="AG25" s="241">
        <f ca="1">OFFSET(CBN_CDC!AF45,0,2)</f>
        <v>0</v>
      </c>
      <c r="AH25" s="241"/>
      <c r="AI25" s="241"/>
      <c r="AJ25" s="241"/>
      <c r="AK25" s="241"/>
      <c r="AL25" s="23"/>
      <c r="AM25" s="23"/>
      <c r="AN25" s="23"/>
      <c r="AO25" s="23"/>
      <c r="AP25" s="23"/>
      <c r="AQ25" s="23"/>
      <c r="AR25" s="23"/>
      <c r="AS25" s="23"/>
      <c r="AT25" s="23"/>
      <c r="AU25" s="23"/>
      <c r="AV25" s="23"/>
      <c r="AW25" s="23"/>
      <c r="AX25" s="23"/>
      <c r="AY25" s="23"/>
      <c r="AZ25" s="23"/>
      <c r="BA25" s="23"/>
      <c r="BB25" s="23"/>
      <c r="BC25" s="23"/>
      <c r="BD25" s="23"/>
      <c r="BE25" s="23"/>
      <c r="BF25" s="23"/>
      <c r="BG25" s="23"/>
      <c r="BH25" s="23"/>
      <c r="BI25" s="23"/>
      <c r="BJ25" s="23"/>
      <c r="BK25" s="23"/>
      <c r="BL25" s="23"/>
      <c r="BM25" s="23"/>
      <c r="BN25" s="23"/>
      <c r="BO25" s="23"/>
      <c r="BP25" s="23"/>
      <c r="BQ25" s="23"/>
      <c r="BR25" s="23"/>
      <c r="BS25" s="23"/>
      <c r="BT25" s="23"/>
      <c r="BU25" s="23"/>
      <c r="BV25" s="23"/>
      <c r="BW25" s="23"/>
      <c r="BX25" s="23"/>
      <c r="BY25" s="23"/>
      <c r="BZ25" s="23"/>
      <c r="CA25" s="23"/>
      <c r="CB25" s="23"/>
      <c r="CC25" s="23"/>
      <c r="CD25" s="23"/>
      <c r="CE25" s="23"/>
      <c r="CF25" s="23"/>
      <c r="CG25" s="23"/>
      <c r="CH25" s="23"/>
      <c r="CI25" s="23"/>
      <c r="CJ25" s="23"/>
      <c r="CK25" s="23"/>
      <c r="CL25" s="23"/>
      <c r="CM25" s="23"/>
      <c r="CN25" s="23"/>
      <c r="CO25" s="23"/>
      <c r="CP25" s="23"/>
      <c r="CQ25" s="23"/>
      <c r="CR25" s="23"/>
      <c r="CS25" s="23"/>
      <c r="CT25" s="23"/>
      <c r="CU25" s="23"/>
      <c r="CV25" s="23"/>
      <c r="CW25" s="23"/>
      <c r="CX25" s="23"/>
      <c r="CY25" s="23"/>
      <c r="CZ25" s="23"/>
      <c r="DA25" s="23"/>
      <c r="DB25" s="23"/>
      <c r="DC25" s="23"/>
      <c r="DD25" s="23"/>
      <c r="DE25" s="23"/>
      <c r="DF25" s="23"/>
      <c r="DG25" s="23"/>
      <c r="DH25" s="23"/>
      <c r="DI25" s="23"/>
      <c r="DJ25" s="23"/>
      <c r="DK25" s="23"/>
      <c r="DL25" s="23"/>
      <c r="DM25" s="23"/>
      <c r="DN25" s="23"/>
      <c r="DO25" s="23"/>
      <c r="DP25" s="23"/>
      <c r="DQ25" s="23"/>
      <c r="DR25" s="23"/>
      <c r="DS25" s="23"/>
      <c r="DT25" s="23"/>
      <c r="DU25" s="23"/>
      <c r="DV25" s="23"/>
      <c r="DW25" s="23"/>
      <c r="DX25" s="23"/>
      <c r="DY25" s="23"/>
      <c r="DZ25" s="23"/>
      <c r="EA25" s="23"/>
      <c r="EB25" s="23"/>
      <c r="EC25" s="23"/>
      <c r="ED25" s="23"/>
      <c r="EE25" s="23"/>
      <c r="EF25" s="23"/>
      <c r="EG25" s="23"/>
      <c r="EH25" s="23"/>
      <c r="EI25" s="23"/>
      <c r="EJ25" s="23"/>
      <c r="EK25" s="23"/>
      <c r="EL25" s="23"/>
      <c r="EM25" s="23"/>
      <c r="EN25" s="23"/>
      <c r="EO25" s="23"/>
      <c r="EP25" s="23"/>
      <c r="EQ25" s="23"/>
      <c r="ER25" s="23"/>
      <c r="ES25" s="23"/>
      <c r="ET25" s="23"/>
      <c r="EU25" s="23"/>
      <c r="EV25" s="23"/>
      <c r="EW25" s="23"/>
      <c r="EX25" s="23"/>
      <c r="EY25" s="23"/>
      <c r="EZ25" s="23"/>
      <c r="FA25" s="23"/>
      <c r="FB25" s="23"/>
      <c r="FC25" s="23"/>
      <c r="FD25" s="23"/>
      <c r="FE25" s="23"/>
      <c r="FF25" s="23"/>
      <c r="FG25" s="23"/>
      <c r="FH25" s="23"/>
      <c r="FI25" s="23"/>
      <c r="FJ25" s="23"/>
      <c r="FK25" s="23"/>
      <c r="FL25" s="23"/>
      <c r="FM25" s="23"/>
      <c r="FN25" s="23"/>
      <c r="FO25" s="23"/>
      <c r="FP25" s="23"/>
      <c r="FQ25" s="23"/>
      <c r="FR25" s="23"/>
      <c r="FS25" s="23"/>
      <c r="FT25" s="23"/>
      <c r="FU25" s="23"/>
      <c r="FV25" s="23"/>
      <c r="FW25" s="23"/>
      <c r="FX25" s="23"/>
      <c r="FY25" s="23"/>
      <c r="FZ25" s="23"/>
      <c r="GA25" s="23"/>
      <c r="GB25" s="23"/>
      <c r="GC25" s="23"/>
      <c r="GD25" s="23"/>
      <c r="GE25" s="23"/>
      <c r="GF25" s="23"/>
      <c r="GG25" s="23"/>
      <c r="GH25" s="23"/>
      <c r="GI25" s="23"/>
      <c r="GJ25" s="23"/>
      <c r="GK25" s="23"/>
      <c r="GL25" s="23"/>
      <c r="GM25" s="23"/>
      <c r="GN25" s="23"/>
      <c r="GO25" s="23"/>
      <c r="GP25" s="23"/>
      <c r="GQ25" s="23"/>
      <c r="GR25" s="23"/>
      <c r="GS25" s="23"/>
      <c r="GT25" s="23"/>
      <c r="GU25" s="23"/>
      <c r="GV25" s="23"/>
      <c r="GW25" s="23"/>
      <c r="GX25" s="23"/>
      <c r="GY25" s="23"/>
      <c r="GZ25" s="23"/>
      <c r="HA25" s="23"/>
      <c r="HB25" s="23"/>
      <c r="HC25" s="23"/>
      <c r="HD25" s="23"/>
      <c r="HE25" s="23"/>
      <c r="HF25" s="23"/>
      <c r="HG25" s="23"/>
      <c r="HH25" s="23"/>
      <c r="HI25" s="23"/>
      <c r="HJ25" s="23"/>
      <c r="HK25" s="23"/>
      <c r="HL25" s="23"/>
      <c r="HM25" s="23"/>
      <c r="HN25" s="23"/>
      <c r="HO25" s="23"/>
      <c r="HP25" s="23"/>
      <c r="HQ25" s="23"/>
      <c r="HR25" s="23"/>
      <c r="HS25" s="23"/>
      <c r="HT25" s="23"/>
      <c r="HU25" s="23"/>
      <c r="HV25" s="23"/>
      <c r="HW25" s="23"/>
      <c r="HX25" s="23"/>
      <c r="HY25" s="23"/>
      <c r="HZ25" s="23"/>
      <c r="IA25" s="23"/>
      <c r="IB25" s="23"/>
      <c r="IC25" s="23"/>
      <c r="ID25" s="23"/>
      <c r="IE25" s="23"/>
      <c r="IF25" s="23"/>
      <c r="IG25" s="23"/>
      <c r="IH25" s="23"/>
      <c r="II25" s="23"/>
      <c r="IJ25" s="23"/>
      <c r="IK25" s="23"/>
      <c r="IL25" s="23"/>
      <c r="IM25" s="23"/>
      <c r="IN25" s="23"/>
      <c r="IO25" s="23"/>
      <c r="IP25" s="23"/>
      <c r="IQ25" s="23"/>
      <c r="IR25" s="23"/>
      <c r="IS25" s="23"/>
      <c r="IT25" s="23"/>
      <c r="IU25" s="23"/>
      <c r="IV25" s="23"/>
      <c r="IW25" s="23"/>
      <c r="IX25" s="23"/>
      <c r="IY25" s="23"/>
      <c r="IZ25" s="23"/>
      <c r="JA25" s="23"/>
      <c r="JB25" s="23"/>
      <c r="JC25" s="23"/>
      <c r="JD25" s="23"/>
      <c r="JE25" s="23"/>
      <c r="JF25" s="23"/>
      <c r="JG25" s="23"/>
      <c r="JH25" s="23"/>
      <c r="JI25" s="23"/>
      <c r="JJ25" s="23"/>
      <c r="JK25" s="23"/>
      <c r="JL25" s="23"/>
      <c r="JM25" s="23"/>
      <c r="JN25" s="23"/>
      <c r="JO25" s="23"/>
      <c r="JP25" s="23"/>
      <c r="JQ25" s="23"/>
      <c r="JR25" s="23"/>
      <c r="JS25" s="23"/>
      <c r="JT25" s="23"/>
      <c r="JU25" s="23"/>
      <c r="JV25" s="23"/>
      <c r="JW25" s="23"/>
      <c r="JX25" s="23"/>
      <c r="JY25" s="23"/>
      <c r="JZ25" s="23"/>
      <c r="KA25" s="23"/>
      <c r="KB25" s="23"/>
      <c r="KC25" s="23"/>
      <c r="KD25" s="23"/>
      <c r="KE25" s="23"/>
      <c r="KF25" s="23"/>
      <c r="KG25" s="23"/>
      <c r="KH25" s="23"/>
      <c r="KI25" s="23"/>
      <c r="KJ25" s="23"/>
      <c r="KK25" s="23"/>
      <c r="KL25" s="23"/>
      <c r="KM25" s="23"/>
      <c r="KN25" s="23"/>
      <c r="KO25" s="23"/>
      <c r="KP25" s="23"/>
      <c r="KQ25" s="23"/>
      <c r="KR25" s="23"/>
      <c r="KS25" s="23"/>
      <c r="KT25" s="23"/>
      <c r="KU25" s="23"/>
      <c r="KV25" s="23"/>
      <c r="KW25" s="23"/>
      <c r="KX25" s="23"/>
      <c r="KY25" s="23"/>
      <c r="KZ25" s="23"/>
      <c r="LA25" s="23"/>
      <c r="LB25" s="23"/>
      <c r="LC25" s="23"/>
      <c r="LD25" s="23"/>
      <c r="LE25" s="23"/>
      <c r="LF25" s="23"/>
      <c r="LG25" s="23"/>
      <c r="LH25" s="23"/>
      <c r="LI25" s="23"/>
      <c r="LJ25" s="23"/>
      <c r="LK25" s="23"/>
      <c r="LL25" s="23"/>
      <c r="LM25" s="23"/>
      <c r="LN25" s="23"/>
      <c r="LO25" s="23"/>
      <c r="LP25" s="23"/>
      <c r="LQ25" s="23"/>
      <c r="LR25" s="23"/>
      <c r="LS25" s="23"/>
      <c r="LT25" s="23"/>
      <c r="LU25" s="23"/>
      <c r="LV25" s="23"/>
      <c r="LW25" s="23"/>
      <c r="LX25" s="23"/>
      <c r="LY25" s="23"/>
      <c r="LZ25" s="23"/>
      <c r="MA25" s="23"/>
      <c r="MB25" s="23"/>
      <c r="MC25" s="23"/>
      <c r="MD25" s="23"/>
      <c r="ME25" s="23"/>
      <c r="MF25" s="23"/>
      <c r="MG25" s="23"/>
      <c r="MH25" s="23"/>
      <c r="MI25" s="23"/>
      <c r="MJ25" s="23"/>
      <c r="MK25" s="23"/>
      <c r="ML25" s="23"/>
      <c r="MM25" s="23"/>
      <c r="MN25" s="23"/>
      <c r="MO25" s="23"/>
      <c r="MP25" s="23"/>
      <c r="MQ25" s="23"/>
      <c r="MR25" s="23"/>
      <c r="MS25" s="23"/>
      <c r="MT25" s="23"/>
      <c r="MU25" s="23"/>
      <c r="MV25" s="23"/>
      <c r="MW25" s="23"/>
      <c r="MX25" s="23"/>
      <c r="MY25" s="23"/>
      <c r="MZ25" s="23"/>
      <c r="NA25" s="23"/>
      <c r="NB25" s="23"/>
      <c r="NC25" s="23"/>
      <c r="ND25" s="23"/>
      <c r="NE25" s="23"/>
      <c r="NF25" s="23"/>
      <c r="NG25" s="23"/>
      <c r="NH25" s="23"/>
      <c r="NI25" s="23"/>
      <c r="NJ25" s="23"/>
      <c r="NK25" s="23"/>
      <c r="NL25" s="23"/>
      <c r="NM25" s="23"/>
      <c r="NN25" s="23"/>
      <c r="NO25" s="23"/>
      <c r="NP25" s="23"/>
      <c r="NQ25" s="23"/>
      <c r="NR25" s="23"/>
      <c r="NS25" s="23"/>
      <c r="NT25" s="23"/>
      <c r="NU25" s="23"/>
      <c r="NV25" s="23"/>
      <c r="NW25" s="23"/>
      <c r="NX25" s="23"/>
      <c r="NY25" s="23"/>
      <c r="NZ25" s="23"/>
      <c r="OA25" s="23"/>
      <c r="OB25" s="23"/>
      <c r="OC25" s="23"/>
      <c r="OD25" s="23"/>
      <c r="OE25" s="23"/>
      <c r="OF25" s="23"/>
      <c r="OG25" s="23"/>
      <c r="OH25" s="23"/>
      <c r="OI25" s="23"/>
      <c r="OJ25" s="23"/>
      <c r="OK25" s="23"/>
      <c r="OL25" s="23"/>
      <c r="OM25" s="23"/>
      <c r="ON25" s="23"/>
      <c r="OO25" s="23"/>
      <c r="OP25" s="23"/>
      <c r="OQ25" s="23"/>
      <c r="OR25" s="23"/>
      <c r="OS25" s="23"/>
      <c r="OT25" s="23"/>
      <c r="OU25" s="23"/>
      <c r="OV25" s="23"/>
      <c r="OW25" s="23"/>
      <c r="OX25" s="23"/>
      <c r="OY25" s="23"/>
      <c r="OZ25" s="23"/>
      <c r="PA25" s="23"/>
      <c r="PB25" s="23"/>
      <c r="PC25" s="23"/>
      <c r="PD25" s="23"/>
      <c r="PE25" s="23"/>
      <c r="PF25" s="23"/>
      <c r="PG25" s="23"/>
      <c r="PH25" s="23"/>
      <c r="PI25" s="23"/>
      <c r="PJ25" s="23"/>
      <c r="PK25" s="23"/>
      <c r="PL25" s="23"/>
      <c r="PM25" s="23"/>
      <c r="PN25" s="23"/>
      <c r="PO25" s="23"/>
      <c r="PP25" s="23"/>
      <c r="PQ25" s="23"/>
      <c r="PR25" s="23"/>
      <c r="PS25" s="23"/>
      <c r="PT25" s="23"/>
      <c r="PU25" s="23"/>
      <c r="PV25" s="23"/>
      <c r="PW25" s="23"/>
      <c r="PX25" s="23"/>
      <c r="PY25" s="23"/>
      <c r="PZ25" s="23"/>
      <c r="QA25" s="23"/>
      <c r="QB25" s="23"/>
      <c r="QC25" s="23"/>
      <c r="QD25" s="23"/>
      <c r="QE25" s="23"/>
      <c r="QF25" s="23"/>
      <c r="QG25" s="23"/>
      <c r="QH25" s="23"/>
      <c r="QI25" s="23"/>
      <c r="QJ25" s="23"/>
      <c r="QK25" s="23"/>
      <c r="QL25" s="23"/>
      <c r="QM25" s="23"/>
      <c r="QN25" s="23"/>
      <c r="QO25" s="23"/>
      <c r="QP25" s="23"/>
      <c r="QQ25" s="23"/>
      <c r="QR25" s="23"/>
      <c r="QS25" s="23"/>
      <c r="QT25" s="23"/>
      <c r="QU25" s="23"/>
      <c r="QV25" s="23"/>
      <c r="QW25" s="23"/>
      <c r="QX25" s="23"/>
      <c r="QY25" s="23"/>
      <c r="QZ25" s="23"/>
      <c r="RA25" s="23"/>
      <c r="RB25" s="23"/>
      <c r="RC25" s="23"/>
      <c r="RD25" s="23"/>
      <c r="RE25" s="23"/>
      <c r="RF25" s="23"/>
      <c r="RG25" s="23"/>
      <c r="RH25" s="23"/>
      <c r="RI25" s="23"/>
      <c r="RJ25" s="23"/>
      <c r="RK25" s="23"/>
      <c r="RL25" s="23"/>
      <c r="RM25" s="23"/>
      <c r="RN25" s="23"/>
      <c r="RO25" s="23"/>
      <c r="RP25" s="23"/>
      <c r="RQ25" s="23"/>
      <c r="RR25" s="23"/>
      <c r="RS25" s="23"/>
      <c r="RT25" s="23"/>
      <c r="RU25" s="23"/>
      <c r="RV25" s="23"/>
      <c r="RW25" s="23"/>
      <c r="RX25" s="23"/>
      <c r="RY25" s="23"/>
      <c r="RZ25" s="23"/>
      <c r="SA25" s="23"/>
      <c r="SB25" s="23"/>
      <c r="SC25" s="23"/>
      <c r="SD25" s="23"/>
      <c r="SE25" s="23"/>
      <c r="SF25" s="23"/>
      <c r="SG25" s="23"/>
      <c r="SH25" s="23"/>
      <c r="SI25" s="23"/>
      <c r="SJ25" s="23"/>
      <c r="SK25" s="23"/>
      <c r="SL25" s="23"/>
      <c r="SM25" s="23"/>
      <c r="SN25" s="23"/>
      <c r="SO25" s="23"/>
      <c r="SP25" s="23"/>
      <c r="SQ25" s="23"/>
      <c r="SR25" s="23"/>
      <c r="SS25" s="23"/>
      <c r="ST25" s="23"/>
      <c r="SU25" s="23"/>
      <c r="SV25" s="23"/>
      <c r="SW25" s="23"/>
      <c r="SX25" s="23"/>
      <c r="SY25" s="23"/>
      <c r="SZ25" s="23"/>
      <c r="TA25" s="23"/>
      <c r="TB25" s="23"/>
      <c r="TC25" s="23"/>
      <c r="TD25" s="23"/>
      <c r="TE25" s="23"/>
      <c r="TF25" s="23"/>
      <c r="TG25" s="23"/>
      <c r="TH25" s="23"/>
      <c r="TI25" s="23"/>
      <c r="TJ25" s="23"/>
      <c r="TK25" s="23"/>
      <c r="TL25" s="23"/>
      <c r="TM25" s="23"/>
      <c r="TN25" s="23"/>
      <c r="TO25" s="23"/>
      <c r="TP25" s="23"/>
      <c r="TQ25" s="23"/>
      <c r="TR25" s="23"/>
      <c r="TS25" s="23"/>
      <c r="TT25" s="23"/>
      <c r="TU25" s="23"/>
      <c r="TV25" s="23"/>
      <c r="TW25" s="23"/>
      <c r="TX25" s="23"/>
      <c r="TY25" s="23"/>
      <c r="TZ25" s="23"/>
      <c r="UA25" s="23"/>
      <c r="UB25" s="23"/>
      <c r="UC25" s="23"/>
      <c r="UD25" s="23"/>
      <c r="UE25" s="23"/>
      <c r="UF25" s="23"/>
      <c r="UG25" s="23"/>
      <c r="UH25" s="23"/>
      <c r="UI25" s="23"/>
      <c r="UJ25" s="23"/>
      <c r="UK25" s="23"/>
      <c r="UL25" s="23"/>
      <c r="UM25" s="23"/>
      <c r="UN25" s="23"/>
      <c r="UO25" s="23"/>
      <c r="UP25" s="23"/>
      <c r="UQ25" s="23"/>
      <c r="UR25" s="23"/>
      <c r="US25" s="23"/>
      <c r="UT25" s="23"/>
      <c r="UU25" s="23"/>
      <c r="UV25" s="23"/>
      <c r="UW25" s="23"/>
      <c r="UX25" s="23"/>
      <c r="UY25" s="23"/>
      <c r="UZ25" s="23"/>
      <c r="VA25" s="23"/>
      <c r="VB25" s="23"/>
      <c r="VC25" s="23"/>
      <c r="VD25" s="23"/>
      <c r="VE25" s="23"/>
      <c r="VF25" s="23"/>
      <c r="VG25" s="23"/>
      <c r="VH25" s="23"/>
      <c r="VI25" s="23"/>
      <c r="VJ25" s="23"/>
      <c r="VK25" s="23"/>
      <c r="VL25" s="23"/>
      <c r="VM25" s="23"/>
      <c r="VN25" s="23"/>
      <c r="VO25" s="23"/>
      <c r="VP25" s="23"/>
      <c r="VQ25" s="23"/>
      <c r="VR25" s="23"/>
      <c r="VS25" s="23"/>
      <c r="VT25" s="23"/>
      <c r="VU25" s="23"/>
      <c r="VV25" s="23"/>
      <c r="VW25" s="23"/>
      <c r="VX25" s="23"/>
      <c r="VY25" s="23"/>
      <c r="VZ25" s="23"/>
      <c r="WA25" s="23"/>
      <c r="WB25" s="23"/>
      <c r="WC25" s="23"/>
      <c r="WD25" s="23"/>
      <c r="WE25" s="23"/>
      <c r="WF25" s="23"/>
      <c r="WG25" s="23"/>
      <c r="WH25" s="23"/>
      <c r="WI25" s="23"/>
      <c r="WJ25" s="23"/>
      <c r="WK25" s="23"/>
      <c r="WL25" s="23"/>
      <c r="WM25" s="23"/>
      <c r="WN25" s="23"/>
      <c r="WO25" s="23"/>
      <c r="WP25" s="23"/>
      <c r="WQ25" s="23"/>
      <c r="WR25" s="23"/>
      <c r="WS25" s="23"/>
      <c r="WT25" s="23"/>
      <c r="WU25" s="23"/>
      <c r="WV25" s="23"/>
      <c r="WW25" s="23"/>
      <c r="WX25" s="23"/>
      <c r="WY25" s="23"/>
      <c r="WZ25" s="23"/>
      <c r="XA25" s="23"/>
      <c r="XB25" s="23"/>
      <c r="XC25" s="23"/>
      <c r="XD25" s="23"/>
      <c r="XE25" s="23"/>
      <c r="XF25" s="23"/>
      <c r="XG25" s="23"/>
      <c r="XH25" s="23"/>
      <c r="XI25" s="23"/>
      <c r="XJ25" s="23"/>
      <c r="XK25" s="23"/>
      <c r="XL25" s="23"/>
      <c r="XM25" s="23"/>
      <c r="XN25" s="23"/>
      <c r="XO25" s="23"/>
      <c r="XP25" s="23"/>
      <c r="XQ25" s="23"/>
      <c r="XR25" s="23"/>
      <c r="XS25" s="23"/>
      <c r="XT25" s="23"/>
      <c r="XU25" s="23"/>
      <c r="XV25" s="23"/>
      <c r="XW25" s="23"/>
      <c r="XX25" s="23"/>
      <c r="XY25" s="23"/>
      <c r="XZ25" s="23"/>
      <c r="YA25" s="23"/>
      <c r="YB25" s="23"/>
      <c r="YC25" s="23"/>
      <c r="YD25" s="23"/>
      <c r="YE25" s="23"/>
      <c r="YF25" s="23"/>
      <c r="YG25" s="23"/>
      <c r="YH25" s="23"/>
      <c r="YI25" s="23"/>
      <c r="YJ25" s="23"/>
      <c r="YK25" s="23"/>
      <c r="YL25" s="23"/>
      <c r="YM25" s="23"/>
      <c r="YN25" s="23"/>
      <c r="YO25" s="23"/>
      <c r="YP25" s="23"/>
      <c r="YQ25" s="23"/>
      <c r="YR25" s="23"/>
      <c r="YS25" s="23"/>
      <c r="YT25" s="23"/>
      <c r="YU25" s="23"/>
      <c r="YV25" s="23"/>
      <c r="YW25" s="23"/>
      <c r="YX25" s="23"/>
      <c r="YY25" s="23"/>
      <c r="YZ25" s="23"/>
      <c r="ZA25" s="23"/>
      <c r="ZB25" s="23"/>
      <c r="ZC25" s="23"/>
      <c r="ZD25" s="23"/>
      <c r="ZE25" s="52"/>
    </row>
    <row r="26" spans="1:682" s="50" customFormat="1" x14ac:dyDescent="0.25">
      <c r="A26" s="108">
        <v>3000</v>
      </c>
      <c r="B26" s="109" t="s">
        <v>31</v>
      </c>
      <c r="C26" s="103" t="s">
        <v>66</v>
      </c>
      <c r="D26" s="5" t="s">
        <v>65</v>
      </c>
      <c r="E26" s="103" t="s">
        <v>49</v>
      </c>
      <c r="F26" s="5" t="s">
        <v>48</v>
      </c>
      <c r="G26" s="56">
        <v>2</v>
      </c>
      <c r="H26" s="46" t="s">
        <v>42</v>
      </c>
      <c r="I26" s="47"/>
      <c r="J26" s="48">
        <f ca="1">OFFSET(MJ_Initialisation!D48,0,2)</f>
        <v>310</v>
      </c>
      <c r="K26" s="48">
        <f ca="1">OFFSET(MJ_Initialisation!E48,0,2)</f>
        <v>210</v>
      </c>
      <c r="L26" s="48">
        <f ca="1">OFFSET(MJ_Initialisation!F48,0,2)</f>
        <v>300</v>
      </c>
      <c r="M26" s="48">
        <f ca="1">OFFSET(MJ_Initialisation!G48,0,2)</f>
        <v>330</v>
      </c>
      <c r="N26" s="48">
        <f ca="1">OFFSET(MJ_Initialisation!H48,0,2)</f>
        <v>380</v>
      </c>
      <c r="O26" s="48">
        <f ca="1">OFFSET(MJ_Initialisation!I48,0,2)</f>
        <v>270</v>
      </c>
      <c r="P26" s="48">
        <f ca="1">OFFSET(MJ_Initialisation!J48,0,2)</f>
        <v>196</v>
      </c>
      <c r="Q26" s="48">
        <f ca="1">OFFSET(MJ_Initialisation!K48,0,2)</f>
        <v>251</v>
      </c>
      <c r="R26" s="48">
        <f ca="1">OFFSET(MJ_Initialisation!L48,0,2)</f>
        <v>303</v>
      </c>
      <c r="S26" s="48">
        <f ca="1">OFFSET(MJ_Initialisation!M48,0,2)</f>
        <v>173</v>
      </c>
      <c r="T26" s="48">
        <f ca="1">OFFSET(MJ_Initialisation!N48,0,2)</f>
        <v>83</v>
      </c>
      <c r="U26" s="48">
        <f ca="1">OFFSET(MJ_Initialisation!O48,0,2)</f>
        <v>281</v>
      </c>
      <c r="V26" s="48">
        <f ca="1">OFFSET(MJ_Initialisation!P48,0,2)</f>
        <v>248</v>
      </c>
      <c r="W26" s="48">
        <f ca="1">OFFSET(MJ_Initialisation!Q48,0,2)</f>
        <v>259</v>
      </c>
      <c r="X26" s="48">
        <f ca="1">OFFSET(MJ_Initialisation!R48,0,2)</f>
        <v>189</v>
      </c>
      <c r="Y26" s="48">
        <f ca="1">OFFSET(MJ_Initialisation!S48,0,2)</f>
        <v>119</v>
      </c>
      <c r="Z26" s="48">
        <f ca="1">OFFSET(MJ_Initialisation!T48,0,2)</f>
        <v>256</v>
      </c>
      <c r="AA26" s="48">
        <f ca="1">OFFSET(MJ_Initialisation!U48,0,2)</f>
        <v>379</v>
      </c>
      <c r="AB26" s="48">
        <f ca="1">OFFSET(MJ_Initialisation!V48,0,2)</f>
        <v>178</v>
      </c>
      <c r="AC26" s="48">
        <f ca="1">OFFSET(MJ_Initialisation!W48,0,2)</f>
        <v>323</v>
      </c>
      <c r="AD26" s="48">
        <f ca="1">OFFSET(MJ_Initialisation!X48,0,2)</f>
        <v>131</v>
      </c>
      <c r="AE26" s="48">
        <f ca="1">OFFSET(MJ_Initialisation!Y48,0,2)</f>
        <v>138</v>
      </c>
      <c r="AF26" s="48">
        <f ca="1">OFFSET(MJ_Initialisation!Z48,0,2)</f>
        <v>0</v>
      </c>
      <c r="AG26" s="48">
        <f ca="1">OFFSET(MJ_Initialisation!AA48,0,2)</f>
        <v>0</v>
      </c>
      <c r="AH26" s="241"/>
      <c r="AI26" s="241"/>
      <c r="AJ26" s="241"/>
      <c r="AK26" s="241"/>
      <c r="AL26" s="23"/>
      <c r="AM26" s="23"/>
      <c r="AN26" s="23"/>
      <c r="AO26" s="23"/>
      <c r="AP26" s="23"/>
      <c r="AQ26" s="23"/>
      <c r="AR26" s="23"/>
      <c r="AS26" s="23"/>
      <c r="AT26" s="23"/>
      <c r="AU26" s="23"/>
      <c r="AV26" s="23"/>
      <c r="AW26" s="23"/>
      <c r="AX26" s="23"/>
      <c r="AY26" s="23"/>
      <c r="AZ26" s="23"/>
      <c r="BA26" s="23"/>
      <c r="BB26" s="23"/>
      <c r="BC26" s="23"/>
      <c r="BD26" s="23"/>
      <c r="BE26" s="23"/>
      <c r="BF26" s="23"/>
      <c r="BG26" s="23"/>
      <c r="BH26" s="23"/>
      <c r="BI26" s="23"/>
      <c r="BJ26" s="23"/>
      <c r="BK26" s="23"/>
      <c r="BL26" s="23"/>
      <c r="BM26" s="23"/>
      <c r="BN26" s="23"/>
      <c r="BO26" s="23"/>
      <c r="BP26" s="23"/>
      <c r="BQ26" s="23"/>
      <c r="BR26" s="23"/>
      <c r="BS26" s="23"/>
      <c r="BT26" s="23"/>
      <c r="BU26" s="23"/>
      <c r="BV26" s="23"/>
      <c r="BW26" s="23"/>
      <c r="BX26" s="23"/>
      <c r="BY26" s="23"/>
      <c r="BZ26" s="23"/>
      <c r="CA26" s="23"/>
      <c r="CB26" s="23"/>
      <c r="CC26" s="23"/>
      <c r="CD26" s="23"/>
      <c r="CE26" s="23"/>
      <c r="CF26" s="23"/>
      <c r="CG26" s="23"/>
      <c r="CH26" s="23"/>
      <c r="CI26" s="23"/>
      <c r="CJ26" s="23"/>
      <c r="CK26" s="23"/>
      <c r="CL26" s="23"/>
      <c r="CM26" s="23"/>
      <c r="CN26" s="23"/>
      <c r="CO26" s="23"/>
      <c r="CP26" s="23"/>
      <c r="CQ26" s="23"/>
      <c r="CR26" s="23"/>
      <c r="CS26" s="23"/>
      <c r="CT26" s="23"/>
      <c r="CU26" s="23"/>
      <c r="CV26" s="23"/>
      <c r="CW26" s="23"/>
      <c r="CX26" s="23"/>
      <c r="CY26" s="23"/>
      <c r="CZ26" s="23"/>
      <c r="DA26" s="23"/>
      <c r="DB26" s="23"/>
      <c r="DC26" s="23"/>
      <c r="DD26" s="23"/>
      <c r="DE26" s="23"/>
      <c r="DF26" s="23"/>
      <c r="DG26" s="23"/>
      <c r="DH26" s="23"/>
      <c r="DI26" s="23"/>
      <c r="DJ26" s="23"/>
      <c r="DK26" s="23"/>
      <c r="DL26" s="23"/>
      <c r="DM26" s="23"/>
      <c r="DN26" s="23"/>
      <c r="DO26" s="23"/>
      <c r="DP26" s="23"/>
      <c r="DQ26" s="23"/>
      <c r="DR26" s="23"/>
      <c r="DS26" s="23"/>
      <c r="DT26" s="23"/>
      <c r="DU26" s="23"/>
      <c r="DV26" s="23"/>
      <c r="DW26" s="23"/>
      <c r="DX26" s="23"/>
      <c r="DY26" s="23"/>
      <c r="DZ26" s="23"/>
      <c r="EA26" s="23"/>
      <c r="EB26" s="23"/>
      <c r="EC26" s="23"/>
      <c r="ED26" s="23"/>
      <c r="EE26" s="23"/>
      <c r="EF26" s="23"/>
      <c r="EG26" s="23"/>
      <c r="EH26" s="23"/>
      <c r="EI26" s="23"/>
      <c r="EJ26" s="23"/>
      <c r="EK26" s="23"/>
      <c r="EL26" s="23"/>
      <c r="EM26" s="23"/>
      <c r="EN26" s="23"/>
      <c r="EO26" s="23"/>
      <c r="EP26" s="23"/>
      <c r="EQ26" s="23"/>
      <c r="ER26" s="23"/>
      <c r="ES26" s="23"/>
      <c r="ET26" s="23"/>
      <c r="EU26" s="23"/>
      <c r="EV26" s="23"/>
      <c r="EW26" s="23"/>
      <c r="EX26" s="23"/>
      <c r="EY26" s="23"/>
      <c r="EZ26" s="23"/>
      <c r="FA26" s="23"/>
      <c r="FB26" s="23"/>
      <c r="FC26" s="23"/>
      <c r="FD26" s="23"/>
      <c r="FE26" s="23"/>
      <c r="FF26" s="23"/>
      <c r="FG26" s="23"/>
      <c r="FH26" s="23"/>
      <c r="FI26" s="23"/>
      <c r="FJ26" s="23"/>
      <c r="FK26" s="23"/>
      <c r="FL26" s="23"/>
      <c r="FM26" s="23"/>
      <c r="FN26" s="23"/>
      <c r="FO26" s="23"/>
      <c r="FP26" s="23"/>
      <c r="FQ26" s="23"/>
      <c r="FR26" s="23"/>
      <c r="FS26" s="23"/>
      <c r="FT26" s="23"/>
      <c r="FU26" s="23"/>
      <c r="FV26" s="23"/>
      <c r="FW26" s="23"/>
      <c r="FX26" s="23"/>
      <c r="FY26" s="23"/>
      <c r="FZ26" s="23"/>
      <c r="GA26" s="23"/>
      <c r="GB26" s="23"/>
      <c r="GC26" s="23"/>
      <c r="GD26" s="23"/>
      <c r="GE26" s="23"/>
      <c r="GF26" s="23"/>
      <c r="GG26" s="23"/>
      <c r="GH26" s="23"/>
      <c r="GI26" s="23"/>
      <c r="GJ26" s="23"/>
      <c r="GK26" s="23"/>
      <c r="GL26" s="23"/>
      <c r="GM26" s="23"/>
      <c r="GN26" s="23"/>
      <c r="GO26" s="23"/>
      <c r="GP26" s="23"/>
      <c r="GQ26" s="23"/>
      <c r="GR26" s="23"/>
      <c r="GS26" s="23"/>
      <c r="GT26" s="23"/>
      <c r="GU26" s="23"/>
      <c r="GV26" s="23"/>
      <c r="GW26" s="23"/>
      <c r="GX26" s="23"/>
      <c r="GY26" s="23"/>
      <c r="GZ26" s="23"/>
      <c r="HA26" s="23"/>
      <c r="HB26" s="23"/>
      <c r="HC26" s="23"/>
      <c r="HD26" s="23"/>
      <c r="HE26" s="23"/>
      <c r="HF26" s="23"/>
      <c r="HG26" s="23"/>
      <c r="HH26" s="23"/>
      <c r="HI26" s="23"/>
      <c r="HJ26" s="23"/>
      <c r="HK26" s="23"/>
      <c r="HL26" s="23"/>
      <c r="HM26" s="23"/>
      <c r="HN26" s="23"/>
      <c r="HO26" s="23"/>
      <c r="HP26" s="23"/>
      <c r="HQ26" s="23"/>
      <c r="HR26" s="23"/>
      <c r="HS26" s="23"/>
      <c r="HT26" s="23"/>
      <c r="HU26" s="23"/>
      <c r="HV26" s="23"/>
      <c r="HW26" s="23"/>
      <c r="HX26" s="23"/>
      <c r="HY26" s="23"/>
      <c r="HZ26" s="23"/>
      <c r="IA26" s="23"/>
      <c r="IB26" s="23"/>
      <c r="IC26" s="23"/>
      <c r="ID26" s="23"/>
      <c r="IE26" s="23"/>
      <c r="IF26" s="23"/>
      <c r="IG26" s="23"/>
      <c r="IH26" s="23"/>
      <c r="II26" s="23"/>
      <c r="IJ26" s="23"/>
      <c r="IK26" s="23"/>
      <c r="IL26" s="23"/>
      <c r="IM26" s="23"/>
      <c r="IN26" s="23"/>
      <c r="IO26" s="23"/>
      <c r="IP26" s="23"/>
      <c r="IQ26" s="23"/>
      <c r="IR26" s="23"/>
      <c r="IS26" s="23"/>
      <c r="IT26" s="23"/>
      <c r="IU26" s="23"/>
      <c r="IV26" s="23"/>
      <c r="IW26" s="23"/>
      <c r="IX26" s="23"/>
      <c r="IY26" s="23"/>
      <c r="IZ26" s="23"/>
      <c r="JA26" s="23"/>
      <c r="JB26" s="23"/>
      <c r="JC26" s="23"/>
      <c r="JD26" s="23"/>
      <c r="JE26" s="23"/>
      <c r="JF26" s="23"/>
      <c r="JG26" s="23"/>
      <c r="JH26" s="23"/>
      <c r="JI26" s="23"/>
      <c r="JJ26" s="23"/>
      <c r="JK26" s="23"/>
      <c r="JL26" s="23"/>
      <c r="JM26" s="23"/>
      <c r="JN26" s="23"/>
      <c r="JO26" s="23"/>
      <c r="JP26" s="23"/>
      <c r="JQ26" s="23"/>
      <c r="JR26" s="23"/>
      <c r="JS26" s="23"/>
      <c r="JT26" s="23"/>
      <c r="JU26" s="23"/>
      <c r="JV26" s="23"/>
      <c r="JW26" s="23"/>
      <c r="JX26" s="23"/>
      <c r="JY26" s="23"/>
      <c r="JZ26" s="23"/>
      <c r="KA26" s="23"/>
      <c r="KB26" s="23"/>
      <c r="KC26" s="23"/>
      <c r="KD26" s="23"/>
      <c r="KE26" s="23"/>
      <c r="KF26" s="23"/>
      <c r="KG26" s="23"/>
      <c r="KH26" s="23"/>
      <c r="KI26" s="23"/>
      <c r="KJ26" s="23"/>
      <c r="KK26" s="23"/>
      <c r="KL26" s="23"/>
      <c r="KM26" s="23"/>
      <c r="KN26" s="23"/>
      <c r="KO26" s="23"/>
      <c r="KP26" s="23"/>
      <c r="KQ26" s="23"/>
      <c r="KR26" s="23"/>
      <c r="KS26" s="23"/>
      <c r="KT26" s="23"/>
      <c r="KU26" s="23"/>
      <c r="KV26" s="23"/>
      <c r="KW26" s="23"/>
      <c r="KX26" s="23"/>
      <c r="KY26" s="23"/>
      <c r="KZ26" s="23"/>
      <c r="LA26" s="23"/>
      <c r="LB26" s="23"/>
      <c r="LC26" s="23"/>
      <c r="LD26" s="23"/>
      <c r="LE26" s="23"/>
      <c r="LF26" s="23"/>
      <c r="LG26" s="23"/>
      <c r="LH26" s="23"/>
      <c r="LI26" s="23"/>
      <c r="LJ26" s="23"/>
      <c r="LK26" s="23"/>
      <c r="LL26" s="23"/>
      <c r="LM26" s="23"/>
      <c r="LN26" s="23"/>
      <c r="LO26" s="23"/>
      <c r="LP26" s="23"/>
      <c r="LQ26" s="23"/>
      <c r="LR26" s="23"/>
      <c r="LS26" s="23"/>
      <c r="LT26" s="23"/>
      <c r="LU26" s="23"/>
      <c r="LV26" s="23"/>
      <c r="LW26" s="23"/>
      <c r="LX26" s="23"/>
      <c r="LY26" s="23"/>
      <c r="LZ26" s="23"/>
      <c r="MA26" s="23"/>
      <c r="MB26" s="23"/>
      <c r="MC26" s="23"/>
      <c r="MD26" s="23"/>
      <c r="ME26" s="23"/>
      <c r="MF26" s="23"/>
      <c r="MG26" s="23"/>
      <c r="MH26" s="23"/>
      <c r="MI26" s="23"/>
      <c r="MJ26" s="23"/>
      <c r="MK26" s="23"/>
      <c r="ML26" s="23"/>
      <c r="MM26" s="23"/>
      <c r="MN26" s="23"/>
      <c r="MO26" s="23"/>
      <c r="MP26" s="23"/>
      <c r="MQ26" s="23"/>
      <c r="MR26" s="23"/>
      <c r="MS26" s="23"/>
      <c r="MT26" s="23"/>
      <c r="MU26" s="23"/>
      <c r="MV26" s="23"/>
      <c r="MW26" s="23"/>
      <c r="MX26" s="23"/>
      <c r="MY26" s="23"/>
      <c r="MZ26" s="23"/>
      <c r="NA26" s="23"/>
      <c r="NB26" s="23"/>
      <c r="NC26" s="23"/>
      <c r="ND26" s="23"/>
      <c r="NE26" s="23"/>
      <c r="NF26" s="23"/>
      <c r="NG26" s="23"/>
      <c r="NH26" s="23"/>
      <c r="NI26" s="23"/>
      <c r="NJ26" s="23"/>
      <c r="NK26" s="23"/>
      <c r="NL26" s="23"/>
      <c r="NM26" s="23"/>
      <c r="NN26" s="23"/>
      <c r="NO26" s="23"/>
      <c r="NP26" s="23"/>
      <c r="NQ26" s="23"/>
      <c r="NR26" s="23"/>
      <c r="NS26" s="23"/>
      <c r="NT26" s="23"/>
      <c r="NU26" s="23"/>
      <c r="NV26" s="23"/>
      <c r="NW26" s="23"/>
      <c r="NX26" s="23"/>
      <c r="NY26" s="23"/>
      <c r="NZ26" s="23"/>
      <c r="OA26" s="23"/>
      <c r="OB26" s="23"/>
      <c r="OC26" s="23"/>
      <c r="OD26" s="23"/>
      <c r="OE26" s="23"/>
      <c r="OF26" s="23"/>
      <c r="OG26" s="23"/>
      <c r="OH26" s="23"/>
      <c r="OI26" s="23"/>
      <c r="OJ26" s="23"/>
      <c r="OK26" s="23"/>
      <c r="OL26" s="23"/>
      <c r="OM26" s="23"/>
      <c r="ON26" s="23"/>
      <c r="OO26" s="23"/>
      <c r="OP26" s="23"/>
      <c r="OQ26" s="23"/>
      <c r="OR26" s="23"/>
      <c r="OS26" s="23"/>
      <c r="OT26" s="23"/>
      <c r="OU26" s="23"/>
      <c r="OV26" s="23"/>
      <c r="OW26" s="23"/>
      <c r="OX26" s="23"/>
      <c r="OY26" s="23"/>
      <c r="OZ26" s="23"/>
      <c r="PA26" s="23"/>
      <c r="PB26" s="23"/>
      <c r="PC26" s="23"/>
      <c r="PD26" s="23"/>
      <c r="PE26" s="23"/>
      <c r="PF26" s="23"/>
      <c r="PG26" s="23"/>
      <c r="PH26" s="23"/>
      <c r="PI26" s="23"/>
      <c r="PJ26" s="23"/>
      <c r="PK26" s="23"/>
      <c r="PL26" s="23"/>
      <c r="PM26" s="23"/>
      <c r="PN26" s="23"/>
      <c r="PO26" s="23"/>
      <c r="PP26" s="23"/>
      <c r="PQ26" s="23"/>
      <c r="PR26" s="23"/>
      <c r="PS26" s="23"/>
      <c r="PT26" s="23"/>
      <c r="PU26" s="23"/>
      <c r="PV26" s="23"/>
      <c r="PW26" s="23"/>
      <c r="PX26" s="23"/>
      <c r="PY26" s="23"/>
      <c r="PZ26" s="23"/>
      <c r="QA26" s="23"/>
      <c r="QB26" s="23"/>
      <c r="QC26" s="23"/>
      <c r="QD26" s="23"/>
      <c r="QE26" s="23"/>
      <c r="QF26" s="23"/>
      <c r="QG26" s="23"/>
      <c r="QH26" s="23"/>
      <c r="QI26" s="23"/>
      <c r="QJ26" s="23"/>
      <c r="QK26" s="23"/>
      <c r="QL26" s="23"/>
      <c r="QM26" s="23"/>
      <c r="QN26" s="23"/>
      <c r="QO26" s="23"/>
      <c r="QP26" s="23"/>
      <c r="QQ26" s="23"/>
      <c r="QR26" s="23"/>
      <c r="QS26" s="23"/>
      <c r="QT26" s="23"/>
      <c r="QU26" s="23"/>
      <c r="QV26" s="23"/>
      <c r="QW26" s="23"/>
      <c r="QX26" s="23"/>
      <c r="QY26" s="23"/>
      <c r="QZ26" s="23"/>
      <c r="RA26" s="23"/>
      <c r="RB26" s="23"/>
      <c r="RC26" s="23"/>
      <c r="RD26" s="23"/>
      <c r="RE26" s="23"/>
      <c r="RF26" s="23"/>
      <c r="RG26" s="23"/>
      <c r="RH26" s="23"/>
      <c r="RI26" s="23"/>
      <c r="RJ26" s="23"/>
      <c r="RK26" s="23"/>
      <c r="RL26" s="23"/>
      <c r="RM26" s="23"/>
      <c r="RN26" s="23"/>
      <c r="RO26" s="23"/>
      <c r="RP26" s="23"/>
      <c r="RQ26" s="23"/>
      <c r="RR26" s="23"/>
      <c r="RS26" s="23"/>
      <c r="RT26" s="23"/>
      <c r="RU26" s="23"/>
      <c r="RV26" s="23"/>
      <c r="RW26" s="23"/>
      <c r="RX26" s="23"/>
      <c r="RY26" s="23"/>
      <c r="RZ26" s="23"/>
      <c r="SA26" s="23"/>
      <c r="SB26" s="23"/>
      <c r="SC26" s="23"/>
      <c r="SD26" s="23"/>
      <c r="SE26" s="23"/>
      <c r="SF26" s="23"/>
      <c r="SG26" s="23"/>
      <c r="SH26" s="23"/>
      <c r="SI26" s="23"/>
      <c r="SJ26" s="23"/>
      <c r="SK26" s="23"/>
      <c r="SL26" s="23"/>
      <c r="SM26" s="23"/>
      <c r="SN26" s="23"/>
      <c r="SO26" s="23"/>
      <c r="SP26" s="23"/>
      <c r="SQ26" s="23"/>
      <c r="SR26" s="23"/>
      <c r="SS26" s="23"/>
      <c r="ST26" s="23"/>
      <c r="SU26" s="23"/>
      <c r="SV26" s="23"/>
      <c r="SW26" s="23"/>
      <c r="SX26" s="23"/>
      <c r="SY26" s="23"/>
      <c r="SZ26" s="23"/>
      <c r="TA26" s="23"/>
      <c r="TB26" s="23"/>
      <c r="TC26" s="23"/>
      <c r="TD26" s="23"/>
      <c r="TE26" s="23"/>
      <c r="TF26" s="23"/>
      <c r="TG26" s="23"/>
      <c r="TH26" s="23"/>
      <c r="TI26" s="23"/>
      <c r="TJ26" s="23"/>
      <c r="TK26" s="23"/>
      <c r="TL26" s="23"/>
      <c r="TM26" s="23"/>
      <c r="TN26" s="23"/>
      <c r="TO26" s="23"/>
      <c r="TP26" s="23"/>
      <c r="TQ26" s="23"/>
      <c r="TR26" s="23"/>
      <c r="TS26" s="23"/>
      <c r="TT26" s="23"/>
      <c r="TU26" s="23"/>
      <c r="TV26" s="23"/>
      <c r="TW26" s="23"/>
      <c r="TX26" s="23"/>
      <c r="TY26" s="23"/>
      <c r="TZ26" s="23"/>
      <c r="UA26" s="23"/>
      <c r="UB26" s="23"/>
      <c r="UC26" s="23"/>
      <c r="UD26" s="23"/>
      <c r="UE26" s="23"/>
      <c r="UF26" s="23"/>
      <c r="UG26" s="23"/>
      <c r="UH26" s="23"/>
      <c r="UI26" s="23"/>
      <c r="UJ26" s="23"/>
      <c r="UK26" s="23"/>
      <c r="UL26" s="23"/>
      <c r="UM26" s="23"/>
      <c r="UN26" s="23"/>
      <c r="UO26" s="23"/>
      <c r="UP26" s="23"/>
      <c r="UQ26" s="23"/>
      <c r="UR26" s="23"/>
      <c r="US26" s="23"/>
      <c r="UT26" s="23"/>
      <c r="UU26" s="23"/>
      <c r="UV26" s="23"/>
      <c r="UW26" s="23"/>
      <c r="UX26" s="23"/>
      <c r="UY26" s="23"/>
      <c r="UZ26" s="23"/>
      <c r="VA26" s="23"/>
      <c r="VB26" s="23"/>
      <c r="VC26" s="23"/>
      <c r="VD26" s="23"/>
      <c r="VE26" s="23"/>
      <c r="VF26" s="23"/>
      <c r="VG26" s="23"/>
      <c r="VH26" s="23"/>
      <c r="VI26" s="23"/>
      <c r="VJ26" s="23"/>
      <c r="VK26" s="23"/>
      <c r="VL26" s="23"/>
      <c r="VM26" s="23"/>
      <c r="VN26" s="23"/>
      <c r="VO26" s="23"/>
      <c r="VP26" s="23"/>
      <c r="VQ26" s="23"/>
      <c r="VR26" s="23"/>
      <c r="VS26" s="23"/>
      <c r="VT26" s="23"/>
      <c r="VU26" s="23"/>
      <c r="VV26" s="23"/>
      <c r="VW26" s="23"/>
      <c r="VX26" s="23"/>
      <c r="VY26" s="23"/>
      <c r="VZ26" s="23"/>
      <c r="WA26" s="23"/>
      <c r="WB26" s="23"/>
      <c r="WC26" s="23"/>
      <c r="WD26" s="23"/>
      <c r="WE26" s="23"/>
      <c r="WF26" s="23"/>
      <c r="WG26" s="23"/>
      <c r="WH26" s="23"/>
      <c r="WI26" s="23"/>
      <c r="WJ26" s="23"/>
      <c r="WK26" s="23"/>
      <c r="WL26" s="23"/>
      <c r="WM26" s="23"/>
      <c r="WN26" s="23"/>
      <c r="WO26" s="23"/>
      <c r="WP26" s="23"/>
      <c r="WQ26" s="23"/>
      <c r="WR26" s="23"/>
      <c r="WS26" s="23"/>
      <c r="WT26" s="23"/>
      <c r="WU26" s="23"/>
      <c r="WV26" s="23"/>
      <c r="WW26" s="23"/>
      <c r="WX26" s="23"/>
      <c r="WY26" s="23"/>
      <c r="WZ26" s="23"/>
      <c r="XA26" s="23"/>
      <c r="XB26" s="23"/>
      <c r="XC26" s="23"/>
      <c r="XD26" s="23"/>
      <c r="XE26" s="23"/>
      <c r="XF26" s="23"/>
      <c r="XG26" s="23"/>
      <c r="XH26" s="23"/>
      <c r="XI26" s="23"/>
      <c r="XJ26" s="23"/>
      <c r="XK26" s="23"/>
      <c r="XL26" s="23"/>
      <c r="XM26" s="23"/>
      <c r="XN26" s="23"/>
      <c r="XO26" s="23"/>
      <c r="XP26" s="23"/>
      <c r="XQ26" s="23"/>
      <c r="XR26" s="23"/>
      <c r="XS26" s="23"/>
      <c r="XT26" s="23"/>
      <c r="XU26" s="23"/>
      <c r="XV26" s="23"/>
      <c r="XW26" s="23"/>
      <c r="XX26" s="23"/>
      <c r="XY26" s="23"/>
      <c r="XZ26" s="23"/>
      <c r="YA26" s="23"/>
      <c r="YB26" s="23"/>
      <c r="YC26" s="23"/>
      <c r="YD26" s="23"/>
      <c r="YE26" s="23"/>
      <c r="YF26" s="23"/>
      <c r="YG26" s="23"/>
      <c r="YH26" s="23"/>
      <c r="YI26" s="23"/>
      <c r="YJ26" s="23"/>
      <c r="YK26" s="23"/>
      <c r="YL26" s="23"/>
      <c r="YM26" s="23"/>
      <c r="YN26" s="23"/>
      <c r="YO26" s="23"/>
      <c r="YP26" s="23"/>
      <c r="YQ26" s="23"/>
      <c r="YR26" s="23"/>
      <c r="YS26" s="23"/>
      <c r="YT26" s="23"/>
      <c r="YU26" s="23"/>
      <c r="YV26" s="23"/>
      <c r="YW26" s="23"/>
      <c r="YX26" s="23"/>
      <c r="YY26" s="23"/>
      <c r="YZ26" s="23"/>
      <c r="ZA26" s="23"/>
      <c r="ZB26" s="23"/>
      <c r="ZC26" s="23"/>
      <c r="ZD26" s="23"/>
      <c r="ZE26" s="53"/>
    </row>
    <row r="27" spans="1:682" s="5" customFormat="1" ht="15" customHeight="1" x14ac:dyDescent="0.25">
      <c r="A27" s="108">
        <v>3000</v>
      </c>
      <c r="B27" s="109" t="s">
        <v>31</v>
      </c>
      <c r="C27" s="103" t="s">
        <v>66</v>
      </c>
      <c r="D27" s="5" t="s">
        <v>65</v>
      </c>
      <c r="E27" s="103" t="s">
        <v>49</v>
      </c>
      <c r="F27" s="5" t="s">
        <v>48</v>
      </c>
      <c r="G27" s="56">
        <v>2</v>
      </c>
      <c r="H27" s="46" t="s">
        <v>43</v>
      </c>
      <c r="I27" s="47"/>
      <c r="J27" s="48">
        <f ca="1">OFFSET(MJ_Initialisation!D49,0,2)</f>
        <v>0</v>
      </c>
      <c r="K27" s="48">
        <f ca="1">OFFSET(MJ_Initialisation!E49,0,2)</f>
        <v>0</v>
      </c>
      <c r="L27" s="48">
        <f ca="1">OFFSET(MJ_Initialisation!F49,0,2)</f>
        <v>0</v>
      </c>
      <c r="M27" s="48">
        <f ca="1">OFFSET(MJ_Initialisation!G49,0,2)</f>
        <v>0</v>
      </c>
      <c r="N27" s="48">
        <f ca="1">OFFSET(MJ_Initialisation!H49,0,2)</f>
        <v>0</v>
      </c>
      <c r="O27" s="48">
        <f ca="1">OFFSET(MJ_Initialisation!I49,0,2)</f>
        <v>0</v>
      </c>
      <c r="P27" s="48">
        <f ca="1">OFFSET(MJ_Initialisation!J49,0,2)</f>
        <v>0</v>
      </c>
      <c r="Q27" s="48">
        <f ca="1">OFFSET(MJ_Initialisation!K49,0,2)</f>
        <v>0</v>
      </c>
      <c r="R27" s="48">
        <f ca="1">OFFSET(MJ_Initialisation!L49,0,2)</f>
        <v>0</v>
      </c>
      <c r="S27" s="48">
        <f ca="1">OFFSET(MJ_Initialisation!M49,0,2)</f>
        <v>0</v>
      </c>
      <c r="T27" s="48">
        <f ca="1">OFFSET(MJ_Initialisation!N49,0,2)</f>
        <v>0</v>
      </c>
      <c r="U27" s="48">
        <f ca="1">OFFSET(MJ_Initialisation!O49,0,2)</f>
        <v>0</v>
      </c>
      <c r="V27" s="48">
        <f ca="1">OFFSET(MJ_Initialisation!P49,0,2)</f>
        <v>0</v>
      </c>
      <c r="W27" s="48">
        <f ca="1">OFFSET(MJ_Initialisation!Q49,0,2)</f>
        <v>0</v>
      </c>
      <c r="X27" s="48">
        <f ca="1">OFFSET(MJ_Initialisation!R49,0,2)</f>
        <v>0</v>
      </c>
      <c r="Y27" s="48">
        <f ca="1">OFFSET(MJ_Initialisation!S49,0,2)</f>
        <v>0</v>
      </c>
      <c r="Z27" s="48">
        <f ca="1">OFFSET(MJ_Initialisation!T49,0,2)</f>
        <v>0</v>
      </c>
      <c r="AA27" s="48">
        <f ca="1">OFFSET(MJ_Initialisation!U49,0,2)</f>
        <v>0</v>
      </c>
      <c r="AB27" s="48">
        <f ca="1">OFFSET(MJ_Initialisation!V49,0,2)</f>
        <v>0</v>
      </c>
      <c r="AC27" s="48">
        <f ca="1">OFFSET(MJ_Initialisation!W49,0,2)</f>
        <v>0</v>
      </c>
      <c r="AD27" s="48">
        <f ca="1">OFFSET(MJ_Initialisation!X49,0,2)</f>
        <v>0</v>
      </c>
      <c r="AE27" s="48">
        <f ca="1">OFFSET(MJ_Initialisation!Y49,0,2)</f>
        <v>0</v>
      </c>
      <c r="AF27" s="48">
        <f ca="1">OFFSET(MJ_Initialisation!Z49,0,2)</f>
        <v>0</v>
      </c>
      <c r="AG27" s="48">
        <f ca="1">OFFSET(MJ_Initialisation!AA49,0,2)</f>
        <v>0</v>
      </c>
      <c r="AH27" s="241"/>
      <c r="AI27" s="241"/>
      <c r="AJ27" s="241"/>
      <c r="AK27" s="241"/>
      <c r="AL27" s="23"/>
      <c r="AM27" s="23"/>
      <c r="AN27" s="23"/>
      <c r="AO27" s="23"/>
      <c r="AP27" s="23"/>
      <c r="AQ27" s="23"/>
      <c r="AR27" s="23"/>
      <c r="AS27" s="23"/>
      <c r="AT27" s="23"/>
      <c r="AU27" s="23"/>
      <c r="AV27" s="23"/>
      <c r="AW27" s="23"/>
      <c r="AX27" s="23"/>
      <c r="AY27" s="23"/>
      <c r="AZ27" s="23"/>
      <c r="BA27" s="23"/>
      <c r="BB27" s="23"/>
      <c r="BC27" s="23"/>
      <c r="BD27" s="23"/>
      <c r="BE27" s="23"/>
      <c r="BF27" s="23"/>
      <c r="BG27" s="23"/>
      <c r="BH27" s="23"/>
      <c r="BI27" s="23"/>
      <c r="BJ27" s="23"/>
      <c r="BK27" s="23"/>
      <c r="BL27" s="23"/>
      <c r="BM27" s="23"/>
      <c r="BN27" s="23"/>
      <c r="BO27" s="23"/>
      <c r="BP27" s="23"/>
      <c r="BQ27" s="23"/>
      <c r="BR27" s="23"/>
      <c r="BS27" s="23"/>
      <c r="BT27" s="23"/>
      <c r="BU27" s="23"/>
      <c r="BV27" s="23"/>
      <c r="BW27" s="23"/>
      <c r="BX27" s="23"/>
      <c r="BY27" s="23"/>
      <c r="BZ27" s="23"/>
      <c r="CA27" s="23"/>
      <c r="CB27" s="23"/>
      <c r="CC27" s="23"/>
      <c r="CD27" s="23"/>
      <c r="CE27" s="23"/>
      <c r="CF27" s="23"/>
      <c r="CG27" s="23"/>
      <c r="CH27" s="23"/>
      <c r="CI27" s="23"/>
      <c r="CJ27" s="23"/>
      <c r="CK27" s="23"/>
      <c r="CL27" s="23"/>
      <c r="CM27" s="23"/>
      <c r="CN27" s="23"/>
      <c r="CO27" s="23"/>
      <c r="CP27" s="23"/>
      <c r="CQ27" s="23"/>
      <c r="CR27" s="23"/>
      <c r="CS27" s="23"/>
      <c r="CT27" s="23"/>
      <c r="CU27" s="23"/>
      <c r="CV27" s="23"/>
      <c r="CW27" s="23"/>
      <c r="CX27" s="23"/>
      <c r="CY27" s="23"/>
      <c r="CZ27" s="23"/>
      <c r="DA27" s="23"/>
      <c r="DB27" s="23"/>
      <c r="DC27" s="23"/>
      <c r="DD27" s="23"/>
      <c r="DE27" s="23"/>
      <c r="DF27" s="23"/>
      <c r="DG27" s="23"/>
      <c r="DH27" s="23"/>
      <c r="DI27" s="23"/>
      <c r="DJ27" s="23"/>
      <c r="DK27" s="23"/>
      <c r="DL27" s="23"/>
      <c r="DM27" s="23"/>
      <c r="DN27" s="23"/>
      <c r="DO27" s="23"/>
      <c r="DP27" s="23"/>
      <c r="DQ27" s="23"/>
      <c r="DR27" s="23"/>
      <c r="DS27" s="23"/>
      <c r="DT27" s="23"/>
      <c r="DU27" s="23"/>
      <c r="DV27" s="23"/>
      <c r="DW27" s="23"/>
      <c r="DX27" s="23"/>
      <c r="DY27" s="23"/>
      <c r="DZ27" s="23"/>
      <c r="EA27" s="23"/>
      <c r="EB27" s="23"/>
      <c r="EC27" s="23"/>
      <c r="ED27" s="23"/>
      <c r="EE27" s="23"/>
      <c r="EF27" s="23"/>
      <c r="EG27" s="23"/>
      <c r="EH27" s="23"/>
      <c r="EI27" s="23"/>
      <c r="EJ27" s="23"/>
      <c r="EK27" s="23"/>
      <c r="EL27" s="23"/>
      <c r="EM27" s="23"/>
      <c r="EN27" s="23"/>
      <c r="EO27" s="23"/>
      <c r="EP27" s="23"/>
      <c r="EQ27" s="23"/>
      <c r="ER27" s="23"/>
      <c r="ES27" s="23"/>
      <c r="ET27" s="23"/>
      <c r="EU27" s="23"/>
      <c r="EV27" s="23"/>
      <c r="EW27" s="23"/>
      <c r="EX27" s="23"/>
      <c r="EY27" s="23"/>
      <c r="EZ27" s="23"/>
      <c r="FA27" s="23"/>
      <c r="FB27" s="23"/>
      <c r="FC27" s="23"/>
      <c r="FD27" s="23"/>
      <c r="FE27" s="23"/>
      <c r="FF27" s="23"/>
      <c r="FG27" s="23"/>
      <c r="FH27" s="23"/>
      <c r="FI27" s="23"/>
      <c r="FJ27" s="23"/>
      <c r="FK27" s="23"/>
      <c r="FL27" s="23"/>
      <c r="FM27" s="23"/>
      <c r="FN27" s="23"/>
      <c r="FO27" s="23"/>
      <c r="FP27" s="23"/>
      <c r="FQ27" s="23"/>
      <c r="FR27" s="23"/>
      <c r="FS27" s="23"/>
      <c r="FT27" s="23"/>
      <c r="FU27" s="23"/>
      <c r="FV27" s="23"/>
      <c r="FW27" s="23"/>
      <c r="FX27" s="23"/>
      <c r="FY27" s="23"/>
      <c r="FZ27" s="23"/>
      <c r="GA27" s="23"/>
      <c r="GB27" s="23"/>
      <c r="GC27" s="23"/>
      <c r="GD27" s="23"/>
      <c r="GE27" s="23"/>
      <c r="GF27" s="23"/>
      <c r="GG27" s="23"/>
      <c r="GH27" s="23"/>
      <c r="GI27" s="23"/>
      <c r="GJ27" s="23"/>
      <c r="GK27" s="23"/>
      <c r="GL27" s="23"/>
      <c r="GM27" s="23"/>
      <c r="GN27" s="23"/>
      <c r="GO27" s="23"/>
      <c r="GP27" s="23"/>
      <c r="GQ27" s="23"/>
      <c r="GR27" s="23"/>
      <c r="GS27" s="23"/>
      <c r="GT27" s="23"/>
      <c r="GU27" s="23"/>
      <c r="GV27" s="23"/>
      <c r="GW27" s="23"/>
      <c r="GX27" s="23"/>
      <c r="GY27" s="23"/>
      <c r="GZ27" s="23"/>
      <c r="HA27" s="23"/>
      <c r="HB27" s="23"/>
      <c r="HC27" s="23"/>
      <c r="HD27" s="23"/>
      <c r="HE27" s="23"/>
      <c r="HF27" s="23"/>
      <c r="HG27" s="23"/>
      <c r="HH27" s="23"/>
      <c r="HI27" s="23"/>
      <c r="HJ27" s="23"/>
      <c r="HK27" s="23"/>
      <c r="HL27" s="23"/>
      <c r="HM27" s="23"/>
      <c r="HN27" s="23"/>
      <c r="HO27" s="23"/>
      <c r="HP27" s="23"/>
      <c r="HQ27" s="23"/>
      <c r="HR27" s="23"/>
      <c r="HS27" s="23"/>
      <c r="HT27" s="23"/>
      <c r="HU27" s="23"/>
      <c r="HV27" s="23"/>
      <c r="HW27" s="23"/>
      <c r="HX27" s="23"/>
      <c r="HY27" s="23"/>
      <c r="HZ27" s="23"/>
      <c r="IA27" s="23"/>
      <c r="IB27" s="23"/>
      <c r="IC27" s="23"/>
      <c r="ID27" s="23"/>
      <c r="IE27" s="23"/>
      <c r="IF27" s="23"/>
      <c r="IG27" s="23"/>
      <c r="IH27" s="23"/>
      <c r="II27" s="23"/>
      <c r="IJ27" s="23"/>
      <c r="IK27" s="23"/>
      <c r="IL27" s="23"/>
      <c r="IM27" s="23"/>
      <c r="IN27" s="23"/>
      <c r="IO27" s="23"/>
      <c r="IP27" s="23"/>
      <c r="IQ27" s="23"/>
      <c r="IR27" s="23"/>
      <c r="IS27" s="23"/>
      <c r="IT27" s="23"/>
      <c r="IU27" s="23"/>
      <c r="IV27" s="23"/>
      <c r="IW27" s="23"/>
      <c r="IX27" s="23"/>
      <c r="IY27" s="23"/>
      <c r="IZ27" s="23"/>
      <c r="JA27" s="23"/>
      <c r="JB27" s="23"/>
      <c r="JC27" s="23"/>
      <c r="JD27" s="23"/>
      <c r="JE27" s="23"/>
      <c r="JF27" s="23"/>
      <c r="JG27" s="23"/>
      <c r="JH27" s="23"/>
      <c r="JI27" s="23"/>
      <c r="JJ27" s="23"/>
      <c r="JK27" s="23"/>
      <c r="JL27" s="23"/>
      <c r="JM27" s="23"/>
      <c r="JN27" s="23"/>
      <c r="JO27" s="23"/>
      <c r="JP27" s="23"/>
      <c r="JQ27" s="23"/>
      <c r="JR27" s="23"/>
      <c r="JS27" s="23"/>
      <c r="JT27" s="23"/>
      <c r="JU27" s="23"/>
      <c r="JV27" s="23"/>
      <c r="JW27" s="23"/>
      <c r="JX27" s="23"/>
      <c r="JY27" s="23"/>
      <c r="JZ27" s="23"/>
      <c r="KA27" s="23"/>
      <c r="KB27" s="23"/>
      <c r="KC27" s="23"/>
      <c r="KD27" s="23"/>
      <c r="KE27" s="23"/>
      <c r="KF27" s="23"/>
      <c r="KG27" s="23"/>
      <c r="KH27" s="23"/>
      <c r="KI27" s="23"/>
      <c r="KJ27" s="23"/>
      <c r="KK27" s="23"/>
      <c r="KL27" s="23"/>
      <c r="KM27" s="23"/>
      <c r="KN27" s="23"/>
      <c r="KO27" s="23"/>
      <c r="KP27" s="23"/>
      <c r="KQ27" s="23"/>
      <c r="KR27" s="23"/>
      <c r="KS27" s="23"/>
      <c r="KT27" s="23"/>
      <c r="KU27" s="23"/>
      <c r="KV27" s="23"/>
      <c r="KW27" s="23"/>
      <c r="KX27" s="23"/>
      <c r="KY27" s="23"/>
      <c r="KZ27" s="23"/>
      <c r="LA27" s="23"/>
      <c r="LB27" s="23"/>
      <c r="LC27" s="23"/>
      <c r="LD27" s="23"/>
      <c r="LE27" s="23"/>
      <c r="LF27" s="23"/>
      <c r="LG27" s="23"/>
      <c r="LH27" s="23"/>
      <c r="LI27" s="23"/>
      <c r="LJ27" s="23"/>
      <c r="LK27" s="23"/>
      <c r="LL27" s="23"/>
      <c r="LM27" s="23"/>
      <c r="LN27" s="23"/>
      <c r="LO27" s="23"/>
      <c r="LP27" s="23"/>
      <c r="LQ27" s="23"/>
      <c r="LR27" s="23"/>
      <c r="LS27" s="23"/>
      <c r="LT27" s="23"/>
      <c r="LU27" s="23"/>
      <c r="LV27" s="23"/>
      <c r="LW27" s="23"/>
      <c r="LX27" s="23"/>
      <c r="LY27" s="23"/>
      <c r="LZ27" s="23"/>
      <c r="MA27" s="23"/>
      <c r="MB27" s="23"/>
      <c r="MC27" s="23"/>
      <c r="MD27" s="23"/>
      <c r="ME27" s="23"/>
      <c r="MF27" s="23"/>
      <c r="MG27" s="23"/>
      <c r="MH27" s="23"/>
      <c r="MI27" s="23"/>
      <c r="MJ27" s="23"/>
      <c r="MK27" s="23"/>
      <c r="ML27" s="23"/>
      <c r="MM27" s="23"/>
      <c r="MN27" s="23"/>
      <c r="MO27" s="23"/>
      <c r="MP27" s="23"/>
      <c r="MQ27" s="23"/>
      <c r="MR27" s="23"/>
      <c r="MS27" s="23"/>
      <c r="MT27" s="23"/>
      <c r="MU27" s="23"/>
      <c r="MV27" s="23"/>
      <c r="MW27" s="23"/>
      <c r="MX27" s="23"/>
      <c r="MY27" s="23"/>
      <c r="MZ27" s="23"/>
      <c r="NA27" s="23"/>
      <c r="NB27" s="23"/>
      <c r="NC27" s="23"/>
      <c r="ND27" s="23"/>
      <c r="NE27" s="23"/>
      <c r="NF27" s="23"/>
      <c r="NG27" s="23"/>
      <c r="NH27" s="23"/>
      <c r="NI27" s="23"/>
      <c r="NJ27" s="23"/>
      <c r="NK27" s="23"/>
      <c r="NL27" s="23"/>
      <c r="NM27" s="23"/>
      <c r="NN27" s="23"/>
      <c r="NO27" s="23"/>
      <c r="NP27" s="23"/>
      <c r="NQ27" s="23"/>
      <c r="NR27" s="23"/>
      <c r="NS27" s="23"/>
      <c r="NT27" s="23"/>
      <c r="NU27" s="23"/>
      <c r="NV27" s="23"/>
      <c r="NW27" s="23"/>
      <c r="NX27" s="23"/>
      <c r="NY27" s="23"/>
      <c r="NZ27" s="23"/>
      <c r="OA27" s="23"/>
      <c r="OB27" s="23"/>
      <c r="OC27" s="23"/>
      <c r="OD27" s="23"/>
      <c r="OE27" s="23"/>
      <c r="OF27" s="23"/>
      <c r="OG27" s="23"/>
      <c r="OH27" s="23"/>
      <c r="OI27" s="23"/>
      <c r="OJ27" s="23"/>
      <c r="OK27" s="23"/>
      <c r="OL27" s="23"/>
      <c r="OM27" s="23"/>
      <c r="ON27" s="23"/>
      <c r="OO27" s="23"/>
      <c r="OP27" s="23"/>
      <c r="OQ27" s="23"/>
      <c r="OR27" s="23"/>
      <c r="OS27" s="23"/>
      <c r="OT27" s="23"/>
      <c r="OU27" s="23"/>
      <c r="OV27" s="23"/>
      <c r="OW27" s="23"/>
      <c r="OX27" s="23"/>
      <c r="OY27" s="23"/>
      <c r="OZ27" s="23"/>
      <c r="PA27" s="23"/>
      <c r="PB27" s="23"/>
      <c r="PC27" s="23"/>
      <c r="PD27" s="23"/>
      <c r="PE27" s="23"/>
      <c r="PF27" s="23"/>
      <c r="PG27" s="23"/>
      <c r="PH27" s="23"/>
      <c r="PI27" s="23"/>
      <c r="PJ27" s="23"/>
      <c r="PK27" s="23"/>
      <c r="PL27" s="23"/>
      <c r="PM27" s="23"/>
      <c r="PN27" s="23"/>
      <c r="PO27" s="23"/>
      <c r="PP27" s="23"/>
      <c r="PQ27" s="23"/>
      <c r="PR27" s="23"/>
      <c r="PS27" s="23"/>
      <c r="PT27" s="23"/>
      <c r="PU27" s="23"/>
      <c r="PV27" s="23"/>
      <c r="PW27" s="23"/>
      <c r="PX27" s="23"/>
      <c r="PY27" s="23"/>
      <c r="PZ27" s="23"/>
      <c r="QA27" s="23"/>
      <c r="QB27" s="23"/>
      <c r="QC27" s="23"/>
      <c r="QD27" s="23"/>
      <c r="QE27" s="23"/>
      <c r="QF27" s="23"/>
      <c r="QG27" s="23"/>
      <c r="QH27" s="23"/>
      <c r="QI27" s="23"/>
      <c r="QJ27" s="23"/>
      <c r="QK27" s="23"/>
      <c r="QL27" s="23"/>
      <c r="QM27" s="23"/>
      <c r="QN27" s="23"/>
      <c r="QO27" s="23"/>
      <c r="QP27" s="23"/>
      <c r="QQ27" s="23"/>
      <c r="QR27" s="23"/>
      <c r="QS27" s="23"/>
      <c r="QT27" s="23"/>
      <c r="QU27" s="23"/>
      <c r="QV27" s="23"/>
      <c r="QW27" s="23"/>
      <c r="QX27" s="23"/>
      <c r="QY27" s="23"/>
      <c r="QZ27" s="23"/>
      <c r="RA27" s="23"/>
      <c r="RB27" s="23"/>
      <c r="RC27" s="23"/>
      <c r="RD27" s="23"/>
      <c r="RE27" s="23"/>
      <c r="RF27" s="23"/>
      <c r="RG27" s="23"/>
      <c r="RH27" s="23"/>
      <c r="RI27" s="23"/>
      <c r="RJ27" s="23"/>
      <c r="RK27" s="23"/>
      <c r="RL27" s="23"/>
      <c r="RM27" s="23"/>
      <c r="RN27" s="23"/>
      <c r="RO27" s="23"/>
      <c r="RP27" s="23"/>
      <c r="RQ27" s="23"/>
      <c r="RR27" s="23"/>
      <c r="RS27" s="23"/>
      <c r="RT27" s="23"/>
      <c r="RU27" s="23"/>
      <c r="RV27" s="23"/>
      <c r="RW27" s="23"/>
      <c r="RX27" s="23"/>
      <c r="RY27" s="23"/>
      <c r="RZ27" s="23"/>
      <c r="SA27" s="23"/>
      <c r="SB27" s="23"/>
      <c r="SC27" s="23"/>
      <c r="SD27" s="23"/>
      <c r="SE27" s="23"/>
      <c r="SF27" s="23"/>
      <c r="SG27" s="23"/>
      <c r="SH27" s="23"/>
      <c r="SI27" s="23"/>
      <c r="SJ27" s="23"/>
      <c r="SK27" s="23"/>
      <c r="SL27" s="23"/>
      <c r="SM27" s="23"/>
      <c r="SN27" s="23"/>
      <c r="SO27" s="23"/>
      <c r="SP27" s="23"/>
      <c r="SQ27" s="23"/>
      <c r="SR27" s="23"/>
      <c r="SS27" s="23"/>
      <c r="ST27" s="23"/>
      <c r="SU27" s="23"/>
      <c r="SV27" s="23"/>
      <c r="SW27" s="23"/>
      <c r="SX27" s="23"/>
      <c r="SY27" s="23"/>
      <c r="SZ27" s="23"/>
      <c r="TA27" s="23"/>
      <c r="TB27" s="23"/>
      <c r="TC27" s="23"/>
      <c r="TD27" s="23"/>
      <c r="TE27" s="23"/>
      <c r="TF27" s="23"/>
      <c r="TG27" s="23"/>
      <c r="TH27" s="23"/>
      <c r="TI27" s="23"/>
      <c r="TJ27" s="23"/>
      <c r="TK27" s="23"/>
      <c r="TL27" s="23"/>
      <c r="TM27" s="23"/>
      <c r="TN27" s="23"/>
      <c r="TO27" s="23"/>
      <c r="TP27" s="23"/>
      <c r="TQ27" s="23"/>
      <c r="TR27" s="23"/>
      <c r="TS27" s="23"/>
      <c r="TT27" s="23"/>
      <c r="TU27" s="23"/>
      <c r="TV27" s="23"/>
      <c r="TW27" s="23"/>
      <c r="TX27" s="23"/>
      <c r="TY27" s="23"/>
      <c r="TZ27" s="23"/>
      <c r="UA27" s="23"/>
      <c r="UB27" s="23"/>
      <c r="UC27" s="23"/>
      <c r="UD27" s="23"/>
      <c r="UE27" s="23"/>
      <c r="UF27" s="23"/>
      <c r="UG27" s="23"/>
      <c r="UH27" s="23"/>
      <c r="UI27" s="23"/>
      <c r="UJ27" s="23"/>
      <c r="UK27" s="23"/>
      <c r="UL27" s="23"/>
      <c r="UM27" s="23"/>
      <c r="UN27" s="23"/>
      <c r="UO27" s="23"/>
      <c r="UP27" s="23"/>
      <c r="UQ27" s="23"/>
      <c r="UR27" s="23"/>
      <c r="US27" s="23"/>
      <c r="UT27" s="23"/>
      <c r="UU27" s="23"/>
      <c r="UV27" s="23"/>
      <c r="UW27" s="23"/>
      <c r="UX27" s="23"/>
      <c r="UY27" s="23"/>
      <c r="UZ27" s="23"/>
      <c r="VA27" s="23"/>
      <c r="VB27" s="23"/>
      <c r="VC27" s="23"/>
      <c r="VD27" s="23"/>
      <c r="VE27" s="23"/>
      <c r="VF27" s="23"/>
      <c r="VG27" s="23"/>
      <c r="VH27" s="23"/>
      <c r="VI27" s="23"/>
      <c r="VJ27" s="23"/>
      <c r="VK27" s="23"/>
      <c r="VL27" s="23"/>
      <c r="VM27" s="23"/>
      <c r="VN27" s="23"/>
      <c r="VO27" s="23"/>
      <c r="VP27" s="23"/>
      <c r="VQ27" s="23"/>
      <c r="VR27" s="23"/>
      <c r="VS27" s="23"/>
      <c r="VT27" s="23"/>
      <c r="VU27" s="23"/>
      <c r="VV27" s="23"/>
      <c r="VW27" s="23"/>
      <c r="VX27" s="23"/>
      <c r="VY27" s="23"/>
      <c r="VZ27" s="23"/>
      <c r="WA27" s="23"/>
      <c r="WB27" s="23"/>
      <c r="WC27" s="23"/>
      <c r="WD27" s="23"/>
      <c r="WE27" s="23"/>
      <c r="WF27" s="23"/>
      <c r="WG27" s="23"/>
      <c r="WH27" s="23"/>
      <c r="WI27" s="23"/>
      <c r="WJ27" s="23"/>
      <c r="WK27" s="23"/>
      <c r="WL27" s="23"/>
      <c r="WM27" s="23"/>
      <c r="WN27" s="23"/>
      <c r="WO27" s="23"/>
      <c r="WP27" s="23"/>
      <c r="WQ27" s="23"/>
      <c r="WR27" s="23"/>
      <c r="WS27" s="23"/>
      <c r="WT27" s="23"/>
      <c r="WU27" s="23"/>
      <c r="WV27" s="23"/>
      <c r="WW27" s="23"/>
      <c r="WX27" s="23"/>
      <c r="WY27" s="23"/>
      <c r="WZ27" s="23"/>
      <c r="XA27" s="23"/>
      <c r="XB27" s="23"/>
      <c r="XC27" s="23"/>
      <c r="XD27" s="23"/>
      <c r="XE27" s="23"/>
      <c r="XF27" s="23"/>
      <c r="XG27" s="23"/>
      <c r="XH27" s="23"/>
      <c r="XI27" s="23"/>
      <c r="XJ27" s="23"/>
      <c r="XK27" s="23"/>
      <c r="XL27" s="23"/>
      <c r="XM27" s="23"/>
      <c r="XN27" s="23"/>
      <c r="XO27" s="23"/>
      <c r="XP27" s="23"/>
      <c r="XQ27" s="23"/>
      <c r="XR27" s="23"/>
      <c r="XS27" s="23"/>
      <c r="XT27" s="23"/>
      <c r="XU27" s="23"/>
      <c r="XV27" s="23"/>
      <c r="XW27" s="23"/>
      <c r="XX27" s="23"/>
      <c r="XY27" s="23"/>
      <c r="XZ27" s="23"/>
      <c r="YA27" s="23"/>
      <c r="YB27" s="23"/>
      <c r="YC27" s="23"/>
      <c r="YD27" s="23"/>
      <c r="YE27" s="23"/>
      <c r="YF27" s="23"/>
      <c r="YG27" s="23"/>
      <c r="YH27" s="23"/>
      <c r="YI27" s="23"/>
      <c r="YJ27" s="23"/>
      <c r="YK27" s="23"/>
      <c r="YL27" s="23"/>
      <c r="YM27" s="23"/>
      <c r="YN27" s="23"/>
      <c r="YO27" s="23"/>
      <c r="YP27" s="23"/>
      <c r="YQ27" s="23"/>
      <c r="YR27" s="23"/>
      <c r="YS27" s="23"/>
      <c r="YT27" s="23"/>
      <c r="YU27" s="23"/>
      <c r="YV27" s="23"/>
      <c r="YW27" s="23"/>
      <c r="YX27" s="23"/>
      <c r="YY27" s="23"/>
      <c r="YZ27" s="23"/>
      <c r="ZA27" s="23"/>
      <c r="ZB27" s="23"/>
      <c r="ZC27" s="23"/>
      <c r="ZD27" s="23"/>
      <c r="ZE27" s="33"/>
    </row>
    <row r="28" spans="1:682" s="50" customFormat="1" ht="15" customHeight="1" x14ac:dyDescent="0.25">
      <c r="A28" s="108">
        <v>3000</v>
      </c>
      <c r="B28" s="109" t="s">
        <v>31</v>
      </c>
      <c r="C28" s="103" t="s">
        <v>66</v>
      </c>
      <c r="D28" s="5" t="s">
        <v>65</v>
      </c>
      <c r="E28" s="103" t="s">
        <v>49</v>
      </c>
      <c r="F28" s="5" t="s">
        <v>48</v>
      </c>
      <c r="G28" s="56">
        <v>2</v>
      </c>
      <c r="H28" s="106" t="s">
        <v>47</v>
      </c>
      <c r="I28" s="47"/>
      <c r="J28" s="250">
        <f ca="1">J26</f>
        <v>310</v>
      </c>
      <c r="K28" s="250">
        <f ca="1">K26</f>
        <v>210</v>
      </c>
      <c r="L28" s="246">
        <f ca="1">ROUNDDOWN(IF(L$8&gt;L$5, MIN( ((L25+K30)/L$8)*L$5, MAX(L25+K30,L26)), MAX(L25+K30,L26)),0)</f>
        <v>300</v>
      </c>
      <c r="M28" s="246">
        <f ca="1">ROUNDDOWN(IF(M$8&gt;M$5, MIN( ((M25+L30)/M$8)*M$5, MAX(M25+L30,M26)), MAX(M25+L30,M26)),0)</f>
        <v>330</v>
      </c>
      <c r="N28" s="246">
        <f t="shared" ref="N28:AG28" ca="1" si="30">ROUNDDOWN(IF(N$8&gt;N$5, MIN( ((N25+M30)/N$8)*N$5, MAX(N25+M30,N26)), MAX(N25+M30,N26)),0)</f>
        <v>380</v>
      </c>
      <c r="O28" s="246">
        <f t="shared" ca="1" si="30"/>
        <v>270</v>
      </c>
      <c r="P28" s="246">
        <f t="shared" ca="1" si="30"/>
        <v>196</v>
      </c>
      <c r="Q28" s="246">
        <f t="shared" ca="1" si="30"/>
        <v>251</v>
      </c>
      <c r="R28" s="246">
        <f t="shared" ca="1" si="30"/>
        <v>303</v>
      </c>
      <c r="S28" s="246">
        <f t="shared" ca="1" si="30"/>
        <v>173</v>
      </c>
      <c r="T28" s="246">
        <f t="shared" ca="1" si="30"/>
        <v>83</v>
      </c>
      <c r="U28" s="246">
        <f t="shared" ca="1" si="30"/>
        <v>281</v>
      </c>
      <c r="V28" s="246">
        <f t="shared" ca="1" si="30"/>
        <v>248</v>
      </c>
      <c r="W28" s="246">
        <f t="shared" ca="1" si="30"/>
        <v>259</v>
      </c>
      <c r="X28" s="246">
        <f t="shared" ca="1" si="30"/>
        <v>189</v>
      </c>
      <c r="Y28" s="246">
        <f t="shared" ca="1" si="30"/>
        <v>119</v>
      </c>
      <c r="Z28" s="246">
        <f t="shared" ca="1" si="30"/>
        <v>256</v>
      </c>
      <c r="AA28" s="246">
        <f t="shared" ca="1" si="30"/>
        <v>379</v>
      </c>
      <c r="AB28" s="246">
        <f t="shared" ca="1" si="30"/>
        <v>178</v>
      </c>
      <c r="AC28" s="246">
        <f t="shared" ca="1" si="30"/>
        <v>323</v>
      </c>
      <c r="AD28" s="246">
        <f t="shared" ca="1" si="30"/>
        <v>131</v>
      </c>
      <c r="AE28" s="246">
        <f t="shared" ca="1" si="30"/>
        <v>138</v>
      </c>
      <c r="AF28" s="246">
        <f t="shared" ca="1" si="30"/>
        <v>0</v>
      </c>
      <c r="AG28" s="246">
        <f t="shared" ca="1" si="30"/>
        <v>0</v>
      </c>
      <c r="AH28" s="246"/>
      <c r="AI28" s="246"/>
      <c r="AJ28" s="246"/>
      <c r="AK28" s="246"/>
      <c r="AL28" s="23"/>
      <c r="AM28" s="23"/>
      <c r="AN28" s="23"/>
      <c r="AO28" s="23"/>
      <c r="AP28" s="23"/>
      <c r="AQ28" s="23"/>
      <c r="AR28" s="23"/>
      <c r="AS28" s="23"/>
      <c r="AT28" s="23"/>
      <c r="AU28" s="23"/>
      <c r="AV28" s="23"/>
      <c r="AW28" s="23"/>
      <c r="AX28" s="23"/>
      <c r="AY28" s="23"/>
      <c r="AZ28" s="23"/>
      <c r="BA28" s="23"/>
      <c r="BB28" s="23"/>
      <c r="BC28" s="23"/>
      <c r="BD28" s="23"/>
      <c r="BE28" s="23"/>
      <c r="BF28" s="23"/>
      <c r="BG28" s="23"/>
      <c r="BH28" s="23"/>
      <c r="BI28" s="23"/>
      <c r="BJ28" s="23"/>
      <c r="BK28" s="23"/>
      <c r="BL28" s="23"/>
      <c r="BM28" s="23"/>
      <c r="BN28" s="23"/>
      <c r="BO28" s="23"/>
      <c r="BP28" s="23"/>
      <c r="BQ28" s="23"/>
      <c r="BR28" s="23"/>
      <c r="BS28" s="23"/>
      <c r="BT28" s="23"/>
      <c r="BU28" s="23"/>
      <c r="BV28" s="23"/>
      <c r="BW28" s="23"/>
      <c r="BX28" s="23"/>
      <c r="BY28" s="23"/>
      <c r="BZ28" s="23"/>
      <c r="CA28" s="23"/>
      <c r="CB28" s="23"/>
      <c r="CC28" s="23"/>
      <c r="CD28" s="23"/>
      <c r="CE28" s="23"/>
      <c r="CF28" s="23"/>
      <c r="CG28" s="23"/>
      <c r="CH28" s="23"/>
      <c r="CI28" s="23"/>
      <c r="CJ28" s="23"/>
      <c r="CK28" s="23"/>
      <c r="CL28" s="23"/>
      <c r="CM28" s="23"/>
      <c r="CN28" s="23"/>
      <c r="CO28" s="23"/>
      <c r="CP28" s="23"/>
      <c r="CQ28" s="23"/>
      <c r="CR28" s="23"/>
      <c r="CS28" s="23"/>
      <c r="CT28" s="23"/>
      <c r="CU28" s="23"/>
      <c r="CV28" s="23"/>
      <c r="CW28" s="23"/>
      <c r="CX28" s="23"/>
      <c r="CY28" s="23"/>
      <c r="CZ28" s="23"/>
      <c r="DA28" s="23"/>
      <c r="DB28" s="23"/>
      <c r="DC28" s="23"/>
      <c r="DD28" s="23"/>
      <c r="DE28" s="23"/>
      <c r="DF28" s="23"/>
      <c r="DG28" s="23"/>
      <c r="DH28" s="23"/>
      <c r="DI28" s="23"/>
      <c r="DJ28" s="23"/>
      <c r="DK28" s="23"/>
      <c r="DL28" s="23"/>
      <c r="DM28" s="23"/>
      <c r="DN28" s="23"/>
      <c r="DO28" s="23"/>
      <c r="DP28" s="23"/>
      <c r="DQ28" s="23"/>
      <c r="DR28" s="23"/>
      <c r="DS28" s="23"/>
      <c r="DT28" s="23"/>
      <c r="DU28" s="23"/>
      <c r="DV28" s="23"/>
      <c r="DW28" s="23"/>
      <c r="DX28" s="23"/>
      <c r="DY28" s="23"/>
      <c r="DZ28" s="23"/>
      <c r="EA28" s="23"/>
      <c r="EB28" s="23"/>
      <c r="EC28" s="23"/>
      <c r="ED28" s="23"/>
      <c r="EE28" s="23"/>
      <c r="EF28" s="23"/>
      <c r="EG28" s="23"/>
      <c r="EH28" s="23"/>
      <c r="EI28" s="23"/>
      <c r="EJ28" s="23"/>
      <c r="EK28" s="23"/>
      <c r="EL28" s="23"/>
      <c r="EM28" s="23"/>
      <c r="EN28" s="23"/>
      <c r="EO28" s="23"/>
      <c r="EP28" s="23"/>
      <c r="EQ28" s="23"/>
      <c r="ER28" s="23"/>
      <c r="ES28" s="23"/>
      <c r="ET28" s="23"/>
      <c r="EU28" s="23"/>
      <c r="EV28" s="23"/>
      <c r="EW28" s="23"/>
      <c r="EX28" s="23"/>
      <c r="EY28" s="23"/>
      <c r="EZ28" s="23"/>
      <c r="FA28" s="23"/>
      <c r="FB28" s="23"/>
      <c r="FC28" s="23"/>
      <c r="FD28" s="23"/>
      <c r="FE28" s="23"/>
      <c r="FF28" s="23"/>
      <c r="FG28" s="23"/>
      <c r="FH28" s="23"/>
      <c r="FI28" s="23"/>
      <c r="FJ28" s="23"/>
      <c r="FK28" s="23"/>
      <c r="FL28" s="23"/>
      <c r="FM28" s="23"/>
      <c r="FN28" s="23"/>
      <c r="FO28" s="23"/>
      <c r="FP28" s="23"/>
      <c r="FQ28" s="23"/>
      <c r="FR28" s="23"/>
      <c r="FS28" s="23"/>
      <c r="FT28" s="23"/>
      <c r="FU28" s="23"/>
      <c r="FV28" s="23"/>
      <c r="FW28" s="23"/>
      <c r="FX28" s="23"/>
      <c r="FY28" s="23"/>
      <c r="FZ28" s="23"/>
      <c r="GA28" s="23"/>
      <c r="GB28" s="23"/>
      <c r="GC28" s="23"/>
      <c r="GD28" s="23"/>
      <c r="GE28" s="23"/>
      <c r="GF28" s="23"/>
      <c r="GG28" s="23"/>
      <c r="GH28" s="23"/>
      <c r="GI28" s="23"/>
      <c r="GJ28" s="23"/>
      <c r="GK28" s="23"/>
      <c r="GL28" s="23"/>
      <c r="GM28" s="23"/>
      <c r="GN28" s="23"/>
      <c r="GO28" s="23"/>
      <c r="GP28" s="23"/>
      <c r="GQ28" s="23"/>
      <c r="GR28" s="23"/>
      <c r="GS28" s="23"/>
      <c r="GT28" s="23"/>
      <c r="GU28" s="23"/>
      <c r="GV28" s="23"/>
      <c r="GW28" s="23"/>
      <c r="GX28" s="23"/>
      <c r="GY28" s="23"/>
      <c r="GZ28" s="23"/>
      <c r="HA28" s="23"/>
      <c r="HB28" s="23"/>
      <c r="HC28" s="23"/>
      <c r="HD28" s="23"/>
      <c r="HE28" s="23"/>
      <c r="HF28" s="23"/>
      <c r="HG28" s="23"/>
      <c r="HH28" s="23"/>
      <c r="HI28" s="23"/>
      <c r="HJ28" s="23"/>
      <c r="HK28" s="23"/>
      <c r="HL28" s="23"/>
      <c r="HM28" s="23"/>
      <c r="HN28" s="23"/>
      <c r="HO28" s="23"/>
      <c r="HP28" s="23"/>
      <c r="HQ28" s="23"/>
      <c r="HR28" s="23"/>
      <c r="HS28" s="23"/>
      <c r="HT28" s="23"/>
      <c r="HU28" s="23"/>
      <c r="HV28" s="23"/>
      <c r="HW28" s="23"/>
      <c r="HX28" s="23"/>
      <c r="HY28" s="23"/>
      <c r="HZ28" s="23"/>
      <c r="IA28" s="23"/>
      <c r="IB28" s="23"/>
      <c r="IC28" s="23"/>
      <c r="ID28" s="23"/>
      <c r="IE28" s="23"/>
      <c r="IF28" s="23"/>
      <c r="IG28" s="23"/>
      <c r="IH28" s="23"/>
      <c r="II28" s="23"/>
      <c r="IJ28" s="23"/>
      <c r="IK28" s="23"/>
      <c r="IL28" s="23"/>
      <c r="IM28" s="23"/>
      <c r="IN28" s="23"/>
      <c r="IO28" s="23"/>
      <c r="IP28" s="23"/>
      <c r="IQ28" s="23"/>
      <c r="IR28" s="23"/>
      <c r="IS28" s="23"/>
      <c r="IT28" s="23"/>
      <c r="IU28" s="23"/>
      <c r="IV28" s="23"/>
      <c r="IW28" s="23"/>
      <c r="IX28" s="23"/>
      <c r="IY28" s="23"/>
      <c r="IZ28" s="23"/>
      <c r="JA28" s="23"/>
      <c r="JB28" s="23"/>
      <c r="JC28" s="23"/>
      <c r="JD28" s="23"/>
      <c r="JE28" s="23"/>
      <c r="JF28" s="23"/>
      <c r="JG28" s="23"/>
      <c r="JH28" s="23"/>
      <c r="JI28" s="23"/>
      <c r="JJ28" s="23"/>
      <c r="JK28" s="23"/>
      <c r="JL28" s="23"/>
      <c r="JM28" s="23"/>
      <c r="JN28" s="23"/>
      <c r="JO28" s="23"/>
      <c r="JP28" s="23"/>
      <c r="JQ28" s="23"/>
      <c r="JR28" s="23"/>
      <c r="JS28" s="23"/>
      <c r="JT28" s="23"/>
      <c r="JU28" s="23"/>
      <c r="JV28" s="23"/>
      <c r="JW28" s="23"/>
      <c r="JX28" s="23"/>
      <c r="JY28" s="23"/>
      <c r="JZ28" s="23"/>
      <c r="KA28" s="23"/>
      <c r="KB28" s="23"/>
      <c r="KC28" s="23"/>
      <c r="KD28" s="23"/>
      <c r="KE28" s="23"/>
      <c r="KF28" s="23"/>
      <c r="KG28" s="23"/>
      <c r="KH28" s="23"/>
      <c r="KI28" s="23"/>
      <c r="KJ28" s="23"/>
      <c r="KK28" s="23"/>
      <c r="KL28" s="23"/>
      <c r="KM28" s="23"/>
      <c r="KN28" s="23"/>
      <c r="KO28" s="23"/>
      <c r="KP28" s="23"/>
      <c r="KQ28" s="23"/>
      <c r="KR28" s="23"/>
      <c r="KS28" s="23"/>
      <c r="KT28" s="23"/>
      <c r="KU28" s="23"/>
      <c r="KV28" s="23"/>
      <c r="KW28" s="23"/>
      <c r="KX28" s="23"/>
      <c r="KY28" s="23"/>
      <c r="KZ28" s="23"/>
      <c r="LA28" s="23"/>
      <c r="LB28" s="23"/>
      <c r="LC28" s="23"/>
      <c r="LD28" s="23"/>
      <c r="LE28" s="23"/>
      <c r="LF28" s="23"/>
      <c r="LG28" s="23"/>
      <c r="LH28" s="23"/>
      <c r="LI28" s="23"/>
      <c r="LJ28" s="23"/>
      <c r="LK28" s="23"/>
      <c r="LL28" s="23"/>
      <c r="LM28" s="23"/>
      <c r="LN28" s="23"/>
      <c r="LO28" s="23"/>
      <c r="LP28" s="23"/>
      <c r="LQ28" s="23"/>
      <c r="LR28" s="23"/>
      <c r="LS28" s="23"/>
      <c r="LT28" s="23"/>
      <c r="LU28" s="23"/>
      <c r="LV28" s="23"/>
      <c r="LW28" s="23"/>
      <c r="LX28" s="23"/>
      <c r="LY28" s="23"/>
      <c r="LZ28" s="23"/>
      <c r="MA28" s="23"/>
      <c r="MB28" s="23"/>
      <c r="MC28" s="23"/>
      <c r="MD28" s="23"/>
      <c r="ME28" s="23"/>
      <c r="MF28" s="23"/>
      <c r="MG28" s="23"/>
      <c r="MH28" s="23"/>
      <c r="MI28" s="23"/>
      <c r="MJ28" s="23"/>
      <c r="MK28" s="23"/>
      <c r="ML28" s="23"/>
      <c r="MM28" s="23"/>
      <c r="MN28" s="23"/>
      <c r="MO28" s="23"/>
      <c r="MP28" s="23"/>
      <c r="MQ28" s="23"/>
      <c r="MR28" s="23"/>
      <c r="MS28" s="23"/>
      <c r="MT28" s="23"/>
      <c r="MU28" s="23"/>
      <c r="MV28" s="23"/>
      <c r="MW28" s="23"/>
      <c r="MX28" s="23"/>
      <c r="MY28" s="23"/>
      <c r="MZ28" s="23"/>
      <c r="NA28" s="23"/>
      <c r="NB28" s="23"/>
      <c r="NC28" s="23"/>
      <c r="ND28" s="23"/>
      <c r="NE28" s="23"/>
      <c r="NF28" s="23"/>
      <c r="NG28" s="23"/>
      <c r="NH28" s="23"/>
      <c r="NI28" s="23"/>
      <c r="NJ28" s="23"/>
      <c r="NK28" s="23"/>
      <c r="NL28" s="23"/>
      <c r="NM28" s="23"/>
      <c r="NN28" s="23"/>
      <c r="NO28" s="23"/>
      <c r="NP28" s="23"/>
      <c r="NQ28" s="23"/>
      <c r="NR28" s="23"/>
      <c r="NS28" s="23"/>
      <c r="NT28" s="23"/>
      <c r="NU28" s="23"/>
      <c r="NV28" s="23"/>
      <c r="NW28" s="23"/>
      <c r="NX28" s="23"/>
      <c r="NY28" s="23"/>
      <c r="NZ28" s="23"/>
      <c r="OA28" s="23"/>
      <c r="OB28" s="23"/>
      <c r="OC28" s="23"/>
      <c r="OD28" s="23"/>
      <c r="OE28" s="23"/>
      <c r="OF28" s="23"/>
      <c r="OG28" s="23"/>
      <c r="OH28" s="23"/>
      <c r="OI28" s="23"/>
      <c r="OJ28" s="23"/>
      <c r="OK28" s="23"/>
      <c r="OL28" s="23"/>
      <c r="OM28" s="23"/>
      <c r="ON28" s="23"/>
      <c r="OO28" s="23"/>
      <c r="OP28" s="23"/>
      <c r="OQ28" s="23"/>
      <c r="OR28" s="23"/>
      <c r="OS28" s="23"/>
      <c r="OT28" s="23"/>
      <c r="OU28" s="23"/>
      <c r="OV28" s="23"/>
      <c r="OW28" s="23"/>
      <c r="OX28" s="23"/>
      <c r="OY28" s="23"/>
      <c r="OZ28" s="23"/>
      <c r="PA28" s="23"/>
      <c r="PB28" s="23"/>
      <c r="PC28" s="23"/>
      <c r="PD28" s="23"/>
      <c r="PE28" s="23"/>
      <c r="PF28" s="23"/>
      <c r="PG28" s="23"/>
      <c r="PH28" s="23"/>
      <c r="PI28" s="23"/>
      <c r="PJ28" s="23"/>
      <c r="PK28" s="23"/>
      <c r="PL28" s="23"/>
      <c r="PM28" s="23"/>
      <c r="PN28" s="23"/>
      <c r="PO28" s="23"/>
      <c r="PP28" s="23"/>
      <c r="PQ28" s="23"/>
      <c r="PR28" s="23"/>
      <c r="PS28" s="23"/>
      <c r="PT28" s="23"/>
      <c r="PU28" s="23"/>
      <c r="PV28" s="23"/>
      <c r="PW28" s="23"/>
      <c r="PX28" s="23"/>
      <c r="PY28" s="23"/>
      <c r="PZ28" s="23"/>
      <c r="QA28" s="23"/>
      <c r="QB28" s="23"/>
      <c r="QC28" s="23"/>
      <c r="QD28" s="23"/>
      <c r="QE28" s="23"/>
      <c r="QF28" s="23"/>
      <c r="QG28" s="23"/>
      <c r="QH28" s="23"/>
      <c r="QI28" s="23"/>
      <c r="QJ28" s="23"/>
      <c r="QK28" s="23"/>
      <c r="QL28" s="23"/>
      <c r="QM28" s="23"/>
      <c r="QN28" s="23"/>
      <c r="QO28" s="23"/>
      <c r="QP28" s="23"/>
      <c r="QQ28" s="23"/>
      <c r="QR28" s="23"/>
      <c r="QS28" s="23"/>
      <c r="QT28" s="23"/>
      <c r="QU28" s="23"/>
      <c r="QV28" s="23"/>
      <c r="QW28" s="23"/>
      <c r="QX28" s="23"/>
      <c r="QY28" s="23"/>
      <c r="QZ28" s="23"/>
      <c r="RA28" s="23"/>
      <c r="RB28" s="23"/>
      <c r="RC28" s="23"/>
      <c r="RD28" s="23"/>
      <c r="RE28" s="23"/>
      <c r="RF28" s="23"/>
      <c r="RG28" s="23"/>
      <c r="RH28" s="23"/>
      <c r="RI28" s="23"/>
      <c r="RJ28" s="23"/>
      <c r="RK28" s="23"/>
      <c r="RL28" s="23"/>
      <c r="RM28" s="23"/>
      <c r="RN28" s="23"/>
      <c r="RO28" s="23"/>
      <c r="RP28" s="23"/>
      <c r="RQ28" s="23"/>
      <c r="RR28" s="23"/>
      <c r="RS28" s="23"/>
      <c r="RT28" s="23"/>
      <c r="RU28" s="23"/>
      <c r="RV28" s="23"/>
      <c r="RW28" s="23"/>
      <c r="RX28" s="23"/>
      <c r="RY28" s="23"/>
      <c r="RZ28" s="23"/>
      <c r="SA28" s="23"/>
      <c r="SB28" s="23"/>
      <c r="SC28" s="23"/>
      <c r="SD28" s="23"/>
      <c r="SE28" s="23"/>
      <c r="SF28" s="23"/>
      <c r="SG28" s="23"/>
      <c r="SH28" s="23"/>
      <c r="SI28" s="23"/>
      <c r="SJ28" s="23"/>
      <c r="SK28" s="23"/>
      <c r="SL28" s="23"/>
      <c r="SM28" s="23"/>
      <c r="SN28" s="23"/>
      <c r="SO28" s="23"/>
      <c r="SP28" s="23"/>
      <c r="SQ28" s="23"/>
      <c r="SR28" s="23"/>
      <c r="SS28" s="23"/>
      <c r="ST28" s="23"/>
      <c r="SU28" s="23"/>
      <c r="SV28" s="23"/>
      <c r="SW28" s="23"/>
      <c r="SX28" s="23"/>
      <c r="SY28" s="23"/>
      <c r="SZ28" s="23"/>
      <c r="TA28" s="23"/>
      <c r="TB28" s="23"/>
      <c r="TC28" s="23"/>
      <c r="TD28" s="23"/>
      <c r="TE28" s="23"/>
      <c r="TF28" s="23"/>
      <c r="TG28" s="23"/>
      <c r="TH28" s="23"/>
      <c r="TI28" s="23"/>
      <c r="TJ28" s="23"/>
      <c r="TK28" s="23"/>
      <c r="TL28" s="23"/>
      <c r="TM28" s="23"/>
      <c r="TN28" s="23"/>
      <c r="TO28" s="23"/>
      <c r="TP28" s="23"/>
      <c r="TQ28" s="23"/>
      <c r="TR28" s="23"/>
      <c r="TS28" s="23"/>
      <c r="TT28" s="23"/>
      <c r="TU28" s="23"/>
      <c r="TV28" s="23"/>
      <c r="TW28" s="23"/>
      <c r="TX28" s="23"/>
      <c r="TY28" s="23"/>
      <c r="TZ28" s="23"/>
      <c r="UA28" s="23"/>
      <c r="UB28" s="23"/>
      <c r="UC28" s="23"/>
      <c r="UD28" s="23"/>
      <c r="UE28" s="23"/>
      <c r="UF28" s="23"/>
      <c r="UG28" s="23"/>
      <c r="UH28" s="23"/>
      <c r="UI28" s="23"/>
      <c r="UJ28" s="23"/>
      <c r="UK28" s="23"/>
      <c r="UL28" s="23"/>
      <c r="UM28" s="23"/>
      <c r="UN28" s="23"/>
      <c r="UO28" s="23"/>
      <c r="UP28" s="23"/>
      <c r="UQ28" s="23"/>
      <c r="UR28" s="23"/>
      <c r="US28" s="23"/>
      <c r="UT28" s="23"/>
      <c r="UU28" s="23"/>
      <c r="UV28" s="23"/>
      <c r="UW28" s="23"/>
      <c r="UX28" s="23"/>
      <c r="UY28" s="23"/>
      <c r="UZ28" s="23"/>
      <c r="VA28" s="23"/>
      <c r="VB28" s="23"/>
      <c r="VC28" s="23"/>
      <c r="VD28" s="23"/>
      <c r="VE28" s="23"/>
      <c r="VF28" s="23"/>
      <c r="VG28" s="23"/>
      <c r="VH28" s="23"/>
      <c r="VI28" s="23"/>
      <c r="VJ28" s="23"/>
      <c r="VK28" s="23"/>
      <c r="VL28" s="23"/>
      <c r="VM28" s="23"/>
      <c r="VN28" s="23"/>
      <c r="VO28" s="23"/>
      <c r="VP28" s="23"/>
      <c r="VQ28" s="23"/>
      <c r="VR28" s="23"/>
      <c r="VS28" s="23"/>
      <c r="VT28" s="23"/>
      <c r="VU28" s="23"/>
      <c r="VV28" s="23"/>
      <c r="VW28" s="23"/>
      <c r="VX28" s="23"/>
      <c r="VY28" s="23"/>
      <c r="VZ28" s="23"/>
      <c r="WA28" s="23"/>
      <c r="WB28" s="23"/>
      <c r="WC28" s="23"/>
      <c r="WD28" s="23"/>
      <c r="WE28" s="23"/>
      <c r="WF28" s="23"/>
      <c r="WG28" s="23"/>
      <c r="WH28" s="23"/>
      <c r="WI28" s="23"/>
      <c r="WJ28" s="23"/>
      <c r="WK28" s="23"/>
      <c r="WL28" s="23"/>
      <c r="WM28" s="23"/>
      <c r="WN28" s="23"/>
      <c r="WO28" s="23"/>
      <c r="WP28" s="23"/>
      <c r="WQ28" s="23"/>
      <c r="WR28" s="23"/>
      <c r="WS28" s="23"/>
      <c r="WT28" s="23"/>
      <c r="WU28" s="23"/>
      <c r="WV28" s="23"/>
      <c r="WW28" s="23"/>
      <c r="WX28" s="23"/>
      <c r="WY28" s="23"/>
      <c r="WZ28" s="23"/>
      <c r="XA28" s="23"/>
      <c r="XB28" s="23"/>
      <c r="XC28" s="23"/>
      <c r="XD28" s="23"/>
      <c r="XE28" s="23"/>
      <c r="XF28" s="23"/>
      <c r="XG28" s="23"/>
      <c r="XH28" s="23"/>
      <c r="XI28" s="23"/>
      <c r="XJ28" s="23"/>
      <c r="XK28" s="23"/>
      <c r="XL28" s="23"/>
      <c r="XM28" s="23"/>
      <c r="XN28" s="23"/>
      <c r="XO28" s="23"/>
      <c r="XP28" s="23"/>
      <c r="XQ28" s="23"/>
      <c r="XR28" s="23"/>
      <c r="XS28" s="23"/>
      <c r="XT28" s="23"/>
      <c r="XU28" s="23"/>
      <c r="XV28" s="23"/>
      <c r="XW28" s="23"/>
      <c r="XX28" s="23"/>
      <c r="XY28" s="23"/>
      <c r="XZ28" s="23"/>
      <c r="YA28" s="23"/>
      <c r="YB28" s="23"/>
      <c r="YC28" s="23"/>
      <c r="YD28" s="23"/>
      <c r="YE28" s="23"/>
      <c r="YF28" s="23"/>
      <c r="YG28" s="23"/>
      <c r="YH28" s="23"/>
      <c r="YI28" s="23"/>
      <c r="YJ28" s="23"/>
      <c r="YK28" s="23"/>
      <c r="YL28" s="23"/>
      <c r="YM28" s="23"/>
      <c r="YN28" s="23"/>
      <c r="YO28" s="23"/>
      <c r="YP28" s="23"/>
      <c r="YQ28" s="23"/>
      <c r="YR28" s="23"/>
      <c r="YS28" s="23"/>
      <c r="YT28" s="23"/>
      <c r="YU28" s="23"/>
      <c r="YV28" s="23"/>
      <c r="YW28" s="23"/>
      <c r="YX28" s="23"/>
      <c r="YY28" s="23"/>
      <c r="YZ28" s="23"/>
      <c r="ZA28" s="23"/>
      <c r="ZB28" s="23"/>
      <c r="ZC28" s="23"/>
      <c r="ZD28" s="23"/>
      <c r="ZE28" s="53"/>
    </row>
    <row r="29" spans="1:682" s="50" customFormat="1" ht="15" customHeight="1" x14ac:dyDescent="0.25">
      <c r="A29" s="108">
        <v>3000</v>
      </c>
      <c r="B29" s="109" t="s">
        <v>31</v>
      </c>
      <c r="C29" s="103" t="s">
        <v>66</v>
      </c>
      <c r="D29" s="5" t="s">
        <v>65</v>
      </c>
      <c r="E29" s="103" t="s">
        <v>66</v>
      </c>
      <c r="F29" s="5" t="s">
        <v>65</v>
      </c>
      <c r="G29" s="56">
        <v>2</v>
      </c>
      <c r="H29" s="100" t="s">
        <v>46</v>
      </c>
      <c r="I29" s="131"/>
      <c r="J29" s="250">
        <f ca="1">J28</f>
        <v>310</v>
      </c>
      <c r="K29" s="250">
        <f t="shared" ref="K29" ca="1" si="31">K28</f>
        <v>210</v>
      </c>
      <c r="L29" s="250">
        <f t="shared" ref="L29" ca="1" si="32">L28</f>
        <v>300</v>
      </c>
      <c r="M29" s="250">
        <f t="shared" ref="M29" ca="1" si="33">M28</f>
        <v>330</v>
      </c>
      <c r="N29" s="250">
        <f t="shared" ref="N29" ca="1" si="34">N28</f>
        <v>380</v>
      </c>
      <c r="O29" s="250">
        <f t="shared" ref="O29" ca="1" si="35">O28</f>
        <v>270</v>
      </c>
      <c r="P29" s="250">
        <f t="shared" ref="P29" ca="1" si="36">P28</f>
        <v>196</v>
      </c>
      <c r="Q29" s="250">
        <f t="shared" ref="Q29" ca="1" si="37">Q28</f>
        <v>251</v>
      </c>
      <c r="R29" s="250">
        <f t="shared" ref="R29" ca="1" si="38">R28</f>
        <v>303</v>
      </c>
      <c r="S29" s="250">
        <f t="shared" ref="S29" ca="1" si="39">S28</f>
        <v>173</v>
      </c>
      <c r="T29" s="250">
        <f t="shared" ref="T29" ca="1" si="40">T28</f>
        <v>83</v>
      </c>
      <c r="U29" s="250">
        <f t="shared" ref="U29" ca="1" si="41">U28</f>
        <v>281</v>
      </c>
      <c r="V29" s="250">
        <f t="shared" ref="V29" ca="1" si="42">V28</f>
        <v>248</v>
      </c>
      <c r="W29" s="250">
        <f t="shared" ref="W29" ca="1" si="43">W28</f>
        <v>259</v>
      </c>
      <c r="X29" s="250">
        <f t="shared" ref="X29" ca="1" si="44">X28</f>
        <v>189</v>
      </c>
      <c r="Y29" s="250">
        <f t="shared" ref="Y29" ca="1" si="45">Y28</f>
        <v>119</v>
      </c>
      <c r="Z29" s="250">
        <f t="shared" ref="Z29" ca="1" si="46">Z28</f>
        <v>256</v>
      </c>
      <c r="AA29" s="250">
        <f t="shared" ref="AA29" ca="1" si="47">AA28</f>
        <v>379</v>
      </c>
      <c r="AB29" s="250">
        <f t="shared" ref="AB29" ca="1" si="48">AB28</f>
        <v>178</v>
      </c>
      <c r="AC29" s="250">
        <f t="shared" ref="AC29" ca="1" si="49">AC28</f>
        <v>323</v>
      </c>
      <c r="AD29" s="250">
        <f t="shared" ref="AD29" ca="1" si="50">AD28</f>
        <v>131</v>
      </c>
      <c r="AE29" s="250">
        <f t="shared" ref="AE29" ca="1" si="51">AE28</f>
        <v>138</v>
      </c>
      <c r="AF29" s="250">
        <f t="shared" ref="AF29" ca="1" si="52">AF28</f>
        <v>0</v>
      </c>
      <c r="AG29" s="250">
        <f t="shared" ref="AG29" ca="1" si="53">AG28</f>
        <v>0</v>
      </c>
      <c r="AH29" s="246"/>
      <c r="AI29" s="246"/>
      <c r="AJ29" s="246"/>
      <c r="AK29" s="246"/>
      <c r="AL29" s="23"/>
      <c r="AM29" s="23"/>
      <c r="AN29" s="23"/>
      <c r="AO29" s="23"/>
      <c r="AP29" s="23"/>
      <c r="AQ29" s="23"/>
      <c r="AR29" s="23"/>
      <c r="AS29" s="23"/>
      <c r="AT29" s="23"/>
      <c r="AU29" s="23"/>
      <c r="AV29" s="23"/>
      <c r="AW29" s="23"/>
      <c r="AX29" s="23"/>
      <c r="AY29" s="23"/>
      <c r="AZ29" s="23"/>
      <c r="BA29" s="23"/>
      <c r="BB29" s="23"/>
      <c r="BC29" s="23"/>
      <c r="BD29" s="23"/>
      <c r="BE29" s="23"/>
      <c r="BF29" s="23"/>
      <c r="BG29" s="23"/>
      <c r="BH29" s="23"/>
      <c r="BI29" s="23"/>
      <c r="BJ29" s="23"/>
      <c r="BK29" s="23"/>
      <c r="BL29" s="23"/>
      <c r="BM29" s="23"/>
      <c r="BN29" s="23"/>
      <c r="BO29" s="23"/>
      <c r="BP29" s="23"/>
      <c r="BQ29" s="23"/>
      <c r="BR29" s="23"/>
      <c r="BS29" s="23"/>
      <c r="BT29" s="23"/>
      <c r="BU29" s="23"/>
      <c r="BV29" s="23"/>
      <c r="BW29" s="23"/>
      <c r="BX29" s="23"/>
      <c r="BY29" s="23"/>
      <c r="BZ29" s="23"/>
      <c r="CA29" s="23"/>
      <c r="CB29" s="23"/>
      <c r="CC29" s="23"/>
      <c r="CD29" s="23"/>
      <c r="CE29" s="23"/>
      <c r="CF29" s="23"/>
      <c r="CG29" s="23"/>
      <c r="CH29" s="23"/>
      <c r="CI29" s="23"/>
      <c r="CJ29" s="23"/>
      <c r="CK29" s="23"/>
      <c r="CL29" s="23"/>
      <c r="CM29" s="23"/>
      <c r="CN29" s="23"/>
      <c r="CO29" s="23"/>
      <c r="CP29" s="23"/>
      <c r="CQ29" s="23"/>
      <c r="CR29" s="23"/>
      <c r="CS29" s="23"/>
      <c r="CT29" s="23"/>
      <c r="CU29" s="23"/>
      <c r="CV29" s="23"/>
      <c r="CW29" s="23"/>
      <c r="CX29" s="23"/>
      <c r="CY29" s="23"/>
      <c r="CZ29" s="23"/>
      <c r="DA29" s="23"/>
      <c r="DB29" s="23"/>
      <c r="DC29" s="23"/>
      <c r="DD29" s="23"/>
      <c r="DE29" s="23"/>
      <c r="DF29" s="23"/>
      <c r="DG29" s="23"/>
      <c r="DH29" s="23"/>
      <c r="DI29" s="23"/>
      <c r="DJ29" s="23"/>
      <c r="DK29" s="23"/>
      <c r="DL29" s="23"/>
      <c r="DM29" s="23"/>
      <c r="DN29" s="23"/>
      <c r="DO29" s="23"/>
      <c r="DP29" s="23"/>
      <c r="DQ29" s="23"/>
      <c r="DR29" s="23"/>
      <c r="DS29" s="23"/>
      <c r="DT29" s="23"/>
      <c r="DU29" s="23"/>
      <c r="DV29" s="23"/>
      <c r="DW29" s="23"/>
      <c r="DX29" s="23"/>
      <c r="DY29" s="23"/>
      <c r="DZ29" s="23"/>
      <c r="EA29" s="23"/>
      <c r="EB29" s="23"/>
      <c r="EC29" s="23"/>
      <c r="ED29" s="23"/>
      <c r="EE29" s="23"/>
      <c r="EF29" s="23"/>
      <c r="EG29" s="23"/>
      <c r="EH29" s="23"/>
      <c r="EI29" s="23"/>
      <c r="EJ29" s="23"/>
      <c r="EK29" s="23"/>
      <c r="EL29" s="23"/>
      <c r="EM29" s="23"/>
      <c r="EN29" s="23"/>
      <c r="EO29" s="23"/>
      <c r="EP29" s="23"/>
      <c r="EQ29" s="23"/>
      <c r="ER29" s="23"/>
      <c r="ES29" s="23"/>
      <c r="ET29" s="23"/>
      <c r="EU29" s="23"/>
      <c r="EV29" s="23"/>
      <c r="EW29" s="23"/>
      <c r="EX29" s="23"/>
      <c r="EY29" s="23"/>
      <c r="EZ29" s="23"/>
      <c r="FA29" s="23"/>
      <c r="FB29" s="23"/>
      <c r="FC29" s="23"/>
      <c r="FD29" s="23"/>
      <c r="FE29" s="23"/>
      <c r="FF29" s="23"/>
      <c r="FG29" s="23"/>
      <c r="FH29" s="23"/>
      <c r="FI29" s="23"/>
      <c r="FJ29" s="23"/>
      <c r="FK29" s="23"/>
      <c r="FL29" s="23"/>
      <c r="FM29" s="23"/>
      <c r="FN29" s="23"/>
      <c r="FO29" s="23"/>
      <c r="FP29" s="23"/>
      <c r="FQ29" s="23"/>
      <c r="FR29" s="23"/>
      <c r="FS29" s="23"/>
      <c r="FT29" s="23"/>
      <c r="FU29" s="23"/>
      <c r="FV29" s="23"/>
      <c r="FW29" s="23"/>
      <c r="FX29" s="23"/>
      <c r="FY29" s="23"/>
      <c r="FZ29" s="23"/>
      <c r="GA29" s="23"/>
      <c r="GB29" s="23"/>
      <c r="GC29" s="23"/>
      <c r="GD29" s="23"/>
      <c r="GE29" s="23"/>
      <c r="GF29" s="23"/>
      <c r="GG29" s="23"/>
      <c r="GH29" s="23"/>
      <c r="GI29" s="23"/>
      <c r="GJ29" s="23"/>
      <c r="GK29" s="23"/>
      <c r="GL29" s="23"/>
      <c r="GM29" s="23"/>
      <c r="GN29" s="23"/>
      <c r="GO29" s="23"/>
      <c r="GP29" s="23"/>
      <c r="GQ29" s="23"/>
      <c r="GR29" s="23"/>
      <c r="GS29" s="23"/>
      <c r="GT29" s="23"/>
      <c r="GU29" s="23"/>
      <c r="GV29" s="23"/>
      <c r="GW29" s="23"/>
      <c r="GX29" s="23"/>
      <c r="GY29" s="23"/>
      <c r="GZ29" s="23"/>
      <c r="HA29" s="23"/>
      <c r="HB29" s="23"/>
      <c r="HC29" s="23"/>
      <c r="HD29" s="23"/>
      <c r="HE29" s="23"/>
      <c r="HF29" s="23"/>
      <c r="HG29" s="23"/>
      <c r="HH29" s="23"/>
      <c r="HI29" s="23"/>
      <c r="HJ29" s="23"/>
      <c r="HK29" s="23"/>
      <c r="HL29" s="23"/>
      <c r="HM29" s="23"/>
      <c r="HN29" s="23"/>
      <c r="HO29" s="23"/>
      <c r="HP29" s="23"/>
      <c r="HQ29" s="23"/>
      <c r="HR29" s="23"/>
      <c r="HS29" s="23"/>
      <c r="HT29" s="23"/>
      <c r="HU29" s="23"/>
      <c r="HV29" s="23"/>
      <c r="HW29" s="23"/>
      <c r="HX29" s="23"/>
      <c r="HY29" s="23"/>
      <c r="HZ29" s="23"/>
      <c r="IA29" s="23"/>
      <c r="IB29" s="23"/>
      <c r="IC29" s="23"/>
      <c r="ID29" s="23"/>
      <c r="IE29" s="23"/>
      <c r="IF29" s="23"/>
      <c r="IG29" s="23"/>
      <c r="IH29" s="23"/>
      <c r="II29" s="23"/>
      <c r="IJ29" s="23"/>
      <c r="IK29" s="23"/>
      <c r="IL29" s="23"/>
      <c r="IM29" s="23"/>
      <c r="IN29" s="23"/>
      <c r="IO29" s="23"/>
      <c r="IP29" s="23"/>
      <c r="IQ29" s="23"/>
      <c r="IR29" s="23"/>
      <c r="IS29" s="23"/>
      <c r="IT29" s="23"/>
      <c r="IU29" s="23"/>
      <c r="IV29" s="23"/>
      <c r="IW29" s="23"/>
      <c r="IX29" s="23"/>
      <c r="IY29" s="23"/>
      <c r="IZ29" s="23"/>
      <c r="JA29" s="23"/>
      <c r="JB29" s="23"/>
      <c r="JC29" s="23"/>
      <c r="JD29" s="23"/>
      <c r="JE29" s="23"/>
      <c r="JF29" s="23"/>
      <c r="JG29" s="23"/>
      <c r="JH29" s="23"/>
      <c r="JI29" s="23"/>
      <c r="JJ29" s="23"/>
      <c r="JK29" s="23"/>
      <c r="JL29" s="23"/>
      <c r="JM29" s="23"/>
      <c r="JN29" s="23"/>
      <c r="JO29" s="23"/>
      <c r="JP29" s="23"/>
      <c r="JQ29" s="23"/>
      <c r="JR29" s="23"/>
      <c r="JS29" s="23"/>
      <c r="JT29" s="23"/>
      <c r="JU29" s="23"/>
      <c r="JV29" s="23"/>
      <c r="JW29" s="23"/>
      <c r="JX29" s="23"/>
      <c r="JY29" s="23"/>
      <c r="JZ29" s="23"/>
      <c r="KA29" s="23"/>
      <c r="KB29" s="23"/>
      <c r="KC29" s="23"/>
      <c r="KD29" s="23"/>
      <c r="KE29" s="23"/>
      <c r="KF29" s="23"/>
      <c r="KG29" s="23"/>
      <c r="KH29" s="23"/>
      <c r="KI29" s="23"/>
      <c r="KJ29" s="23"/>
      <c r="KK29" s="23"/>
      <c r="KL29" s="23"/>
      <c r="KM29" s="23"/>
      <c r="KN29" s="23"/>
      <c r="KO29" s="23"/>
      <c r="KP29" s="23"/>
      <c r="KQ29" s="23"/>
      <c r="KR29" s="23"/>
      <c r="KS29" s="23"/>
      <c r="KT29" s="23"/>
      <c r="KU29" s="23"/>
      <c r="KV29" s="23"/>
      <c r="KW29" s="23"/>
      <c r="KX29" s="23"/>
      <c r="KY29" s="23"/>
      <c r="KZ29" s="23"/>
      <c r="LA29" s="23"/>
      <c r="LB29" s="23"/>
      <c r="LC29" s="23"/>
      <c r="LD29" s="23"/>
      <c r="LE29" s="23"/>
      <c r="LF29" s="23"/>
      <c r="LG29" s="23"/>
      <c r="LH29" s="23"/>
      <c r="LI29" s="23"/>
      <c r="LJ29" s="23"/>
      <c r="LK29" s="23"/>
      <c r="LL29" s="23"/>
      <c r="LM29" s="23"/>
      <c r="LN29" s="23"/>
      <c r="LO29" s="23"/>
      <c r="LP29" s="23"/>
      <c r="LQ29" s="23"/>
      <c r="LR29" s="23"/>
      <c r="LS29" s="23"/>
      <c r="LT29" s="23"/>
      <c r="LU29" s="23"/>
      <c r="LV29" s="23"/>
      <c r="LW29" s="23"/>
      <c r="LX29" s="23"/>
      <c r="LY29" s="23"/>
      <c r="LZ29" s="23"/>
      <c r="MA29" s="23"/>
      <c r="MB29" s="23"/>
      <c r="MC29" s="23"/>
      <c r="MD29" s="23"/>
      <c r="ME29" s="23"/>
      <c r="MF29" s="23"/>
      <c r="MG29" s="23"/>
      <c r="MH29" s="23"/>
      <c r="MI29" s="23"/>
      <c r="MJ29" s="23"/>
      <c r="MK29" s="23"/>
      <c r="ML29" s="23"/>
      <c r="MM29" s="23"/>
      <c r="MN29" s="23"/>
      <c r="MO29" s="23"/>
      <c r="MP29" s="23"/>
      <c r="MQ29" s="23"/>
      <c r="MR29" s="23"/>
      <c r="MS29" s="23"/>
      <c r="MT29" s="23"/>
      <c r="MU29" s="23"/>
      <c r="MV29" s="23"/>
      <c r="MW29" s="23"/>
      <c r="MX29" s="23"/>
      <c r="MY29" s="23"/>
      <c r="MZ29" s="23"/>
      <c r="NA29" s="23"/>
      <c r="NB29" s="23"/>
      <c r="NC29" s="23"/>
      <c r="ND29" s="23"/>
      <c r="NE29" s="23"/>
      <c r="NF29" s="23"/>
      <c r="NG29" s="23"/>
      <c r="NH29" s="23"/>
      <c r="NI29" s="23"/>
      <c r="NJ29" s="23"/>
      <c r="NK29" s="23"/>
      <c r="NL29" s="23"/>
      <c r="NM29" s="23"/>
      <c r="NN29" s="23"/>
      <c r="NO29" s="23"/>
      <c r="NP29" s="23"/>
      <c r="NQ29" s="23"/>
      <c r="NR29" s="23"/>
      <c r="NS29" s="23"/>
      <c r="NT29" s="23"/>
      <c r="NU29" s="23"/>
      <c r="NV29" s="23"/>
      <c r="NW29" s="23"/>
      <c r="NX29" s="23"/>
      <c r="NY29" s="23"/>
      <c r="NZ29" s="23"/>
      <c r="OA29" s="23"/>
      <c r="OB29" s="23"/>
      <c r="OC29" s="23"/>
      <c r="OD29" s="23"/>
      <c r="OE29" s="23"/>
      <c r="OF29" s="23"/>
      <c r="OG29" s="23"/>
      <c r="OH29" s="23"/>
      <c r="OI29" s="23"/>
      <c r="OJ29" s="23"/>
      <c r="OK29" s="23"/>
      <c r="OL29" s="23"/>
      <c r="OM29" s="23"/>
      <c r="ON29" s="23"/>
      <c r="OO29" s="23"/>
      <c r="OP29" s="23"/>
      <c r="OQ29" s="23"/>
      <c r="OR29" s="23"/>
      <c r="OS29" s="23"/>
      <c r="OT29" s="23"/>
      <c r="OU29" s="23"/>
      <c r="OV29" s="23"/>
      <c r="OW29" s="23"/>
      <c r="OX29" s="23"/>
      <c r="OY29" s="23"/>
      <c r="OZ29" s="23"/>
      <c r="PA29" s="23"/>
      <c r="PB29" s="23"/>
      <c r="PC29" s="23"/>
      <c r="PD29" s="23"/>
      <c r="PE29" s="23"/>
      <c r="PF29" s="23"/>
      <c r="PG29" s="23"/>
      <c r="PH29" s="23"/>
      <c r="PI29" s="23"/>
      <c r="PJ29" s="23"/>
      <c r="PK29" s="23"/>
      <c r="PL29" s="23"/>
      <c r="PM29" s="23"/>
      <c r="PN29" s="23"/>
      <c r="PO29" s="23"/>
      <c r="PP29" s="23"/>
      <c r="PQ29" s="23"/>
      <c r="PR29" s="23"/>
      <c r="PS29" s="23"/>
      <c r="PT29" s="23"/>
      <c r="PU29" s="23"/>
      <c r="PV29" s="23"/>
      <c r="PW29" s="23"/>
      <c r="PX29" s="23"/>
      <c r="PY29" s="23"/>
      <c r="PZ29" s="23"/>
      <c r="QA29" s="23"/>
      <c r="QB29" s="23"/>
      <c r="QC29" s="23"/>
      <c r="QD29" s="23"/>
      <c r="QE29" s="23"/>
      <c r="QF29" s="23"/>
      <c r="QG29" s="23"/>
      <c r="QH29" s="23"/>
      <c r="QI29" s="23"/>
      <c r="QJ29" s="23"/>
      <c r="QK29" s="23"/>
      <c r="QL29" s="23"/>
      <c r="QM29" s="23"/>
      <c r="QN29" s="23"/>
      <c r="QO29" s="23"/>
      <c r="QP29" s="23"/>
      <c r="QQ29" s="23"/>
      <c r="QR29" s="23"/>
      <c r="QS29" s="23"/>
      <c r="QT29" s="23"/>
      <c r="QU29" s="23"/>
      <c r="QV29" s="23"/>
      <c r="QW29" s="23"/>
      <c r="QX29" s="23"/>
      <c r="QY29" s="23"/>
      <c r="QZ29" s="23"/>
      <c r="RA29" s="23"/>
      <c r="RB29" s="23"/>
      <c r="RC29" s="23"/>
      <c r="RD29" s="23"/>
      <c r="RE29" s="23"/>
      <c r="RF29" s="23"/>
      <c r="RG29" s="23"/>
      <c r="RH29" s="23"/>
      <c r="RI29" s="23"/>
      <c r="RJ29" s="23"/>
      <c r="RK29" s="23"/>
      <c r="RL29" s="23"/>
      <c r="RM29" s="23"/>
      <c r="RN29" s="23"/>
      <c r="RO29" s="23"/>
      <c r="RP29" s="23"/>
      <c r="RQ29" s="23"/>
      <c r="RR29" s="23"/>
      <c r="RS29" s="23"/>
      <c r="RT29" s="23"/>
      <c r="RU29" s="23"/>
      <c r="RV29" s="23"/>
      <c r="RW29" s="23"/>
      <c r="RX29" s="23"/>
      <c r="RY29" s="23"/>
      <c r="RZ29" s="23"/>
      <c r="SA29" s="23"/>
      <c r="SB29" s="23"/>
      <c r="SC29" s="23"/>
      <c r="SD29" s="23"/>
      <c r="SE29" s="23"/>
      <c r="SF29" s="23"/>
      <c r="SG29" s="23"/>
      <c r="SH29" s="23"/>
      <c r="SI29" s="23"/>
      <c r="SJ29" s="23"/>
      <c r="SK29" s="23"/>
      <c r="SL29" s="23"/>
      <c r="SM29" s="23"/>
      <c r="SN29" s="23"/>
      <c r="SO29" s="23"/>
      <c r="SP29" s="23"/>
      <c r="SQ29" s="23"/>
      <c r="SR29" s="23"/>
      <c r="SS29" s="23"/>
      <c r="ST29" s="23"/>
      <c r="SU29" s="23"/>
      <c r="SV29" s="23"/>
      <c r="SW29" s="23"/>
      <c r="SX29" s="23"/>
      <c r="SY29" s="23"/>
      <c r="SZ29" s="23"/>
      <c r="TA29" s="23"/>
      <c r="TB29" s="23"/>
      <c r="TC29" s="23"/>
      <c r="TD29" s="23"/>
      <c r="TE29" s="23"/>
      <c r="TF29" s="23"/>
      <c r="TG29" s="23"/>
      <c r="TH29" s="23"/>
      <c r="TI29" s="23"/>
      <c r="TJ29" s="23"/>
      <c r="TK29" s="23"/>
      <c r="TL29" s="23"/>
      <c r="TM29" s="23"/>
      <c r="TN29" s="23"/>
      <c r="TO29" s="23"/>
      <c r="TP29" s="23"/>
      <c r="TQ29" s="23"/>
      <c r="TR29" s="23"/>
      <c r="TS29" s="23"/>
      <c r="TT29" s="23"/>
      <c r="TU29" s="23"/>
      <c r="TV29" s="23"/>
      <c r="TW29" s="23"/>
      <c r="TX29" s="23"/>
      <c r="TY29" s="23"/>
      <c r="TZ29" s="23"/>
      <c r="UA29" s="23"/>
      <c r="UB29" s="23"/>
      <c r="UC29" s="23"/>
      <c r="UD29" s="23"/>
      <c r="UE29" s="23"/>
      <c r="UF29" s="23"/>
      <c r="UG29" s="23"/>
      <c r="UH29" s="23"/>
      <c r="UI29" s="23"/>
      <c r="UJ29" s="23"/>
      <c r="UK29" s="23"/>
      <c r="UL29" s="23"/>
      <c r="UM29" s="23"/>
      <c r="UN29" s="23"/>
      <c r="UO29" s="23"/>
      <c r="UP29" s="23"/>
      <c r="UQ29" s="23"/>
      <c r="UR29" s="23"/>
      <c r="US29" s="23"/>
      <c r="UT29" s="23"/>
      <c r="UU29" s="23"/>
      <c r="UV29" s="23"/>
      <c r="UW29" s="23"/>
      <c r="UX29" s="23"/>
      <c r="UY29" s="23"/>
      <c r="UZ29" s="23"/>
      <c r="VA29" s="23"/>
      <c r="VB29" s="23"/>
      <c r="VC29" s="23"/>
      <c r="VD29" s="23"/>
      <c r="VE29" s="23"/>
      <c r="VF29" s="23"/>
      <c r="VG29" s="23"/>
      <c r="VH29" s="23"/>
      <c r="VI29" s="23"/>
      <c r="VJ29" s="23"/>
      <c r="VK29" s="23"/>
      <c r="VL29" s="23"/>
      <c r="VM29" s="23"/>
      <c r="VN29" s="23"/>
      <c r="VO29" s="23"/>
      <c r="VP29" s="23"/>
      <c r="VQ29" s="23"/>
      <c r="VR29" s="23"/>
      <c r="VS29" s="23"/>
      <c r="VT29" s="23"/>
      <c r="VU29" s="23"/>
      <c r="VV29" s="23"/>
      <c r="VW29" s="23"/>
      <c r="VX29" s="23"/>
      <c r="VY29" s="23"/>
      <c r="VZ29" s="23"/>
      <c r="WA29" s="23"/>
      <c r="WB29" s="23"/>
      <c r="WC29" s="23"/>
      <c r="WD29" s="23"/>
      <c r="WE29" s="23"/>
      <c r="WF29" s="23"/>
      <c r="WG29" s="23"/>
      <c r="WH29" s="23"/>
      <c r="WI29" s="23"/>
      <c r="WJ29" s="23"/>
      <c r="WK29" s="23"/>
      <c r="WL29" s="23"/>
      <c r="WM29" s="23"/>
      <c r="WN29" s="23"/>
      <c r="WO29" s="23"/>
      <c r="WP29" s="23"/>
      <c r="WQ29" s="23"/>
      <c r="WR29" s="23"/>
      <c r="WS29" s="23"/>
      <c r="WT29" s="23"/>
      <c r="WU29" s="23"/>
      <c r="WV29" s="23"/>
      <c r="WW29" s="23"/>
      <c r="WX29" s="23"/>
      <c r="WY29" s="23"/>
      <c r="WZ29" s="23"/>
      <c r="XA29" s="23"/>
      <c r="XB29" s="23"/>
      <c r="XC29" s="23"/>
      <c r="XD29" s="23"/>
      <c r="XE29" s="23"/>
      <c r="XF29" s="23"/>
      <c r="XG29" s="23"/>
      <c r="XH29" s="23"/>
      <c r="XI29" s="23"/>
      <c r="XJ29" s="23"/>
      <c r="XK29" s="23"/>
      <c r="XL29" s="23"/>
      <c r="XM29" s="23"/>
      <c r="XN29" s="23"/>
      <c r="XO29" s="23"/>
      <c r="XP29" s="23"/>
      <c r="XQ29" s="23"/>
      <c r="XR29" s="23"/>
      <c r="XS29" s="23"/>
      <c r="XT29" s="23"/>
      <c r="XU29" s="23"/>
      <c r="XV29" s="23"/>
      <c r="XW29" s="23"/>
      <c r="XX29" s="23"/>
      <c r="XY29" s="23"/>
      <c r="XZ29" s="23"/>
      <c r="YA29" s="23"/>
      <c r="YB29" s="23"/>
      <c r="YC29" s="23"/>
      <c r="YD29" s="23"/>
      <c r="YE29" s="23"/>
      <c r="YF29" s="23"/>
      <c r="YG29" s="23"/>
      <c r="YH29" s="23"/>
      <c r="YI29" s="23"/>
      <c r="YJ29" s="23"/>
      <c r="YK29" s="23"/>
      <c r="YL29" s="23"/>
      <c r="YM29" s="23"/>
      <c r="YN29" s="23"/>
      <c r="YO29" s="23"/>
      <c r="YP29" s="23"/>
      <c r="YQ29" s="23"/>
      <c r="YR29" s="23"/>
      <c r="YS29" s="23"/>
      <c r="YT29" s="23"/>
      <c r="YU29" s="23"/>
      <c r="YV29" s="23"/>
      <c r="YW29" s="23"/>
      <c r="YX29" s="23"/>
      <c r="YY29" s="23"/>
      <c r="YZ29" s="23"/>
      <c r="ZA29" s="23"/>
      <c r="ZB29" s="23"/>
      <c r="ZC29" s="23"/>
      <c r="ZD29" s="23"/>
      <c r="ZE29" s="53"/>
    </row>
    <row r="30" spans="1:682" s="2" customFormat="1" ht="15" customHeight="1" x14ac:dyDescent="0.25">
      <c r="A30" s="108">
        <v>3000</v>
      </c>
      <c r="B30" s="109" t="s">
        <v>31</v>
      </c>
      <c r="C30" s="103" t="s">
        <v>66</v>
      </c>
      <c r="D30" s="5" t="s">
        <v>65</v>
      </c>
      <c r="E30" s="103" t="s">
        <v>66</v>
      </c>
      <c r="F30" s="5" t="s">
        <v>65</v>
      </c>
      <c r="G30" s="56">
        <v>2</v>
      </c>
      <c r="H30" s="100" t="s">
        <v>60</v>
      </c>
      <c r="I30" s="131"/>
      <c r="J30" s="97">
        <f t="shared" ref="J30:AG30" ca="1" si="54">J25+I30-J28</f>
        <v>0</v>
      </c>
      <c r="K30" s="97">
        <f t="shared" ca="1" si="54"/>
        <v>0</v>
      </c>
      <c r="L30" s="97">
        <f t="shared" ca="1" si="54"/>
        <v>0</v>
      </c>
      <c r="M30" s="97">
        <f t="shared" ca="1" si="54"/>
        <v>0</v>
      </c>
      <c r="N30" s="97">
        <f t="shared" ca="1" si="54"/>
        <v>0</v>
      </c>
      <c r="O30" s="97">
        <f t="shared" ca="1" si="54"/>
        <v>0</v>
      </c>
      <c r="P30" s="97">
        <f t="shared" ca="1" si="54"/>
        <v>0</v>
      </c>
      <c r="Q30" s="97">
        <f t="shared" ca="1" si="54"/>
        <v>0</v>
      </c>
      <c r="R30" s="97">
        <f t="shared" ca="1" si="54"/>
        <v>0</v>
      </c>
      <c r="S30" s="97">
        <f t="shared" ca="1" si="54"/>
        <v>0</v>
      </c>
      <c r="T30" s="97">
        <f t="shared" ca="1" si="54"/>
        <v>0</v>
      </c>
      <c r="U30" s="97">
        <f t="shared" ca="1" si="54"/>
        <v>0</v>
      </c>
      <c r="V30" s="97">
        <f t="shared" ca="1" si="54"/>
        <v>0</v>
      </c>
      <c r="W30" s="97">
        <f t="shared" ca="1" si="54"/>
        <v>0</v>
      </c>
      <c r="X30" s="97">
        <f t="shared" ca="1" si="54"/>
        <v>0</v>
      </c>
      <c r="Y30" s="97">
        <f t="shared" ca="1" si="54"/>
        <v>0</v>
      </c>
      <c r="Z30" s="97">
        <f t="shared" ca="1" si="54"/>
        <v>0</v>
      </c>
      <c r="AA30" s="97">
        <f t="shared" ca="1" si="54"/>
        <v>0</v>
      </c>
      <c r="AB30" s="97">
        <f t="shared" ca="1" si="54"/>
        <v>0</v>
      </c>
      <c r="AC30" s="97">
        <f t="shared" ca="1" si="54"/>
        <v>0</v>
      </c>
      <c r="AD30" s="97">
        <f t="shared" ca="1" si="54"/>
        <v>0</v>
      </c>
      <c r="AE30" s="97">
        <f t="shared" ca="1" si="54"/>
        <v>0</v>
      </c>
      <c r="AF30" s="97">
        <f t="shared" ca="1" si="54"/>
        <v>0</v>
      </c>
      <c r="AG30" s="97">
        <f t="shared" ca="1" si="54"/>
        <v>0</v>
      </c>
      <c r="AH30" s="250"/>
      <c r="AI30" s="250"/>
      <c r="AJ30" s="250"/>
      <c r="AK30" s="250"/>
      <c r="AL30" s="23"/>
      <c r="AM30" s="23"/>
      <c r="AN30" s="23"/>
      <c r="AO30" s="23"/>
      <c r="AP30" s="23"/>
      <c r="AQ30" s="23"/>
      <c r="AR30" s="23"/>
      <c r="AS30" s="23"/>
      <c r="AT30" s="23"/>
      <c r="AU30" s="23"/>
      <c r="AV30" s="23"/>
      <c r="AW30" s="23"/>
      <c r="AX30" s="23"/>
      <c r="AY30" s="23"/>
      <c r="AZ30" s="23"/>
      <c r="BA30" s="23"/>
      <c r="BB30" s="23"/>
      <c r="BC30" s="23"/>
      <c r="BD30" s="23"/>
      <c r="BE30" s="23"/>
      <c r="BF30" s="23"/>
      <c r="BG30" s="23"/>
      <c r="BH30" s="23"/>
      <c r="BI30" s="23"/>
      <c r="BJ30" s="23"/>
      <c r="BK30" s="23"/>
      <c r="BL30" s="23"/>
      <c r="BM30" s="23"/>
      <c r="BN30" s="23"/>
      <c r="BO30" s="23"/>
      <c r="BP30" s="23"/>
      <c r="BQ30" s="23"/>
      <c r="BR30" s="23"/>
      <c r="BS30" s="23"/>
      <c r="BT30" s="23"/>
      <c r="BU30" s="23"/>
      <c r="BV30" s="23"/>
      <c r="BW30" s="23"/>
      <c r="BX30" s="23"/>
      <c r="BY30" s="23"/>
      <c r="BZ30" s="23"/>
      <c r="CA30" s="23"/>
      <c r="CB30" s="23"/>
      <c r="CC30" s="23"/>
      <c r="CD30" s="23"/>
      <c r="CE30" s="23"/>
      <c r="CF30" s="23"/>
      <c r="CG30" s="23"/>
      <c r="CH30" s="23"/>
      <c r="CI30" s="23"/>
      <c r="CJ30" s="23"/>
      <c r="CK30" s="23"/>
      <c r="CL30" s="23"/>
      <c r="CM30" s="23"/>
      <c r="CN30" s="23"/>
      <c r="CO30" s="23"/>
      <c r="CP30" s="23"/>
      <c r="CQ30" s="23"/>
      <c r="CR30" s="23"/>
      <c r="CS30" s="23"/>
      <c r="CT30" s="23"/>
      <c r="CU30" s="23"/>
      <c r="CV30" s="23"/>
      <c r="CW30" s="23"/>
      <c r="CX30" s="23"/>
      <c r="CY30" s="23"/>
      <c r="CZ30" s="23"/>
      <c r="DA30" s="23"/>
      <c r="DB30" s="23"/>
      <c r="DC30" s="23"/>
      <c r="DD30" s="23"/>
      <c r="DE30" s="23"/>
      <c r="DF30" s="23"/>
      <c r="DG30" s="23"/>
      <c r="DH30" s="23"/>
      <c r="DI30" s="23"/>
      <c r="DJ30" s="23"/>
      <c r="DK30" s="23"/>
      <c r="DL30" s="23"/>
      <c r="DM30" s="23"/>
      <c r="DN30" s="23"/>
      <c r="DO30" s="23"/>
      <c r="DP30" s="23"/>
      <c r="DQ30" s="23"/>
      <c r="DR30" s="23"/>
      <c r="DS30" s="23"/>
      <c r="DT30" s="23"/>
      <c r="DU30" s="23"/>
      <c r="DV30" s="23"/>
      <c r="DW30" s="23"/>
      <c r="DX30" s="23"/>
      <c r="DY30" s="23"/>
      <c r="DZ30" s="23"/>
      <c r="EA30" s="23"/>
      <c r="EB30" s="23"/>
      <c r="EC30" s="23"/>
      <c r="ED30" s="23"/>
      <c r="EE30" s="23"/>
      <c r="EF30" s="23"/>
      <c r="EG30" s="23"/>
      <c r="EH30" s="23"/>
      <c r="EI30" s="23"/>
      <c r="EJ30" s="23"/>
      <c r="EK30" s="23"/>
      <c r="EL30" s="23"/>
      <c r="EM30" s="23"/>
      <c r="EN30" s="23"/>
      <c r="EO30" s="23"/>
      <c r="EP30" s="23"/>
      <c r="EQ30" s="23"/>
      <c r="ER30" s="23"/>
      <c r="ES30" s="23"/>
      <c r="ET30" s="23"/>
      <c r="EU30" s="23"/>
      <c r="EV30" s="23"/>
      <c r="EW30" s="23"/>
      <c r="EX30" s="23"/>
      <c r="EY30" s="23"/>
      <c r="EZ30" s="23"/>
      <c r="FA30" s="23"/>
      <c r="FB30" s="23"/>
      <c r="FC30" s="23"/>
      <c r="FD30" s="23"/>
      <c r="FE30" s="23"/>
      <c r="FF30" s="23"/>
      <c r="FG30" s="23"/>
      <c r="FH30" s="23"/>
      <c r="FI30" s="23"/>
      <c r="FJ30" s="23"/>
      <c r="FK30" s="23"/>
      <c r="FL30" s="23"/>
      <c r="FM30" s="23"/>
      <c r="FN30" s="23"/>
      <c r="FO30" s="23"/>
      <c r="FP30" s="23"/>
      <c r="FQ30" s="23"/>
      <c r="FR30" s="23"/>
      <c r="FS30" s="23"/>
      <c r="FT30" s="23"/>
      <c r="FU30" s="23"/>
      <c r="FV30" s="23"/>
      <c r="FW30" s="23"/>
      <c r="FX30" s="23"/>
      <c r="FY30" s="23"/>
      <c r="FZ30" s="23"/>
      <c r="GA30" s="23"/>
      <c r="GB30" s="23"/>
      <c r="GC30" s="23"/>
      <c r="GD30" s="23"/>
      <c r="GE30" s="23"/>
      <c r="GF30" s="23"/>
      <c r="GG30" s="23"/>
      <c r="GH30" s="23"/>
      <c r="GI30" s="23"/>
      <c r="GJ30" s="23"/>
      <c r="GK30" s="23"/>
      <c r="GL30" s="23"/>
      <c r="GM30" s="23"/>
      <c r="GN30" s="23"/>
      <c r="GO30" s="23"/>
      <c r="GP30" s="23"/>
      <c r="GQ30" s="23"/>
      <c r="GR30" s="23"/>
      <c r="GS30" s="23"/>
      <c r="GT30" s="23"/>
      <c r="GU30" s="23"/>
      <c r="GV30" s="23"/>
      <c r="GW30" s="23"/>
      <c r="GX30" s="23"/>
      <c r="GY30" s="23"/>
      <c r="GZ30" s="23"/>
      <c r="HA30" s="23"/>
      <c r="HB30" s="23"/>
      <c r="HC30" s="23"/>
      <c r="HD30" s="23"/>
      <c r="HE30" s="23"/>
      <c r="HF30" s="23"/>
      <c r="HG30" s="23"/>
      <c r="HH30" s="23"/>
      <c r="HI30" s="23"/>
      <c r="HJ30" s="23"/>
      <c r="HK30" s="23"/>
      <c r="HL30" s="23"/>
      <c r="HM30" s="23"/>
      <c r="HN30" s="23"/>
      <c r="HO30" s="23"/>
      <c r="HP30" s="23"/>
      <c r="HQ30" s="23"/>
      <c r="HR30" s="23"/>
      <c r="HS30" s="23"/>
      <c r="HT30" s="23"/>
      <c r="HU30" s="23"/>
      <c r="HV30" s="23"/>
      <c r="HW30" s="23"/>
      <c r="HX30" s="23"/>
      <c r="HY30" s="23"/>
      <c r="HZ30" s="23"/>
      <c r="IA30" s="23"/>
      <c r="IB30" s="23"/>
      <c r="IC30" s="23"/>
      <c r="ID30" s="23"/>
      <c r="IE30" s="23"/>
      <c r="IF30" s="23"/>
      <c r="IG30" s="23"/>
      <c r="IH30" s="23"/>
      <c r="II30" s="23"/>
      <c r="IJ30" s="23"/>
      <c r="IK30" s="23"/>
      <c r="IL30" s="23"/>
      <c r="IM30" s="23"/>
      <c r="IN30" s="23"/>
      <c r="IO30" s="23"/>
      <c r="IP30" s="23"/>
      <c r="IQ30" s="23"/>
      <c r="IR30" s="23"/>
      <c r="IS30" s="23"/>
      <c r="IT30" s="23"/>
      <c r="IU30" s="23"/>
      <c r="IV30" s="23"/>
      <c r="IW30" s="23"/>
      <c r="IX30" s="23"/>
      <c r="IY30" s="23"/>
      <c r="IZ30" s="23"/>
      <c r="JA30" s="23"/>
      <c r="JB30" s="23"/>
      <c r="JC30" s="23"/>
      <c r="JD30" s="23"/>
      <c r="JE30" s="23"/>
      <c r="JF30" s="23"/>
      <c r="JG30" s="23"/>
      <c r="JH30" s="23"/>
      <c r="JI30" s="23"/>
      <c r="JJ30" s="23"/>
      <c r="JK30" s="23"/>
      <c r="JL30" s="23"/>
      <c r="JM30" s="23"/>
      <c r="JN30" s="23"/>
      <c r="JO30" s="23"/>
      <c r="JP30" s="23"/>
      <c r="JQ30" s="23"/>
      <c r="JR30" s="23"/>
      <c r="JS30" s="23"/>
      <c r="JT30" s="23"/>
      <c r="JU30" s="23"/>
      <c r="JV30" s="23"/>
      <c r="JW30" s="23"/>
      <c r="JX30" s="23"/>
      <c r="JY30" s="23"/>
      <c r="JZ30" s="23"/>
      <c r="KA30" s="23"/>
      <c r="KB30" s="23"/>
      <c r="KC30" s="23"/>
      <c r="KD30" s="23"/>
      <c r="KE30" s="23"/>
      <c r="KF30" s="23"/>
      <c r="KG30" s="23"/>
      <c r="KH30" s="23"/>
      <c r="KI30" s="23"/>
      <c r="KJ30" s="23"/>
      <c r="KK30" s="23"/>
      <c r="KL30" s="23"/>
      <c r="KM30" s="23"/>
      <c r="KN30" s="23"/>
      <c r="KO30" s="23"/>
      <c r="KP30" s="23"/>
      <c r="KQ30" s="23"/>
      <c r="KR30" s="23"/>
      <c r="KS30" s="23"/>
      <c r="KT30" s="23"/>
      <c r="KU30" s="23"/>
      <c r="KV30" s="23"/>
      <c r="KW30" s="23"/>
      <c r="KX30" s="23"/>
      <c r="KY30" s="23"/>
      <c r="KZ30" s="23"/>
      <c r="LA30" s="23"/>
      <c r="LB30" s="23"/>
      <c r="LC30" s="23"/>
      <c r="LD30" s="23"/>
      <c r="LE30" s="23"/>
      <c r="LF30" s="23"/>
      <c r="LG30" s="23"/>
      <c r="LH30" s="23"/>
      <c r="LI30" s="23"/>
      <c r="LJ30" s="23"/>
      <c r="LK30" s="23"/>
      <c r="LL30" s="23"/>
      <c r="LM30" s="23"/>
      <c r="LN30" s="23"/>
      <c r="LO30" s="23"/>
      <c r="LP30" s="23"/>
      <c r="LQ30" s="23"/>
      <c r="LR30" s="23"/>
      <c r="LS30" s="23"/>
      <c r="LT30" s="23"/>
      <c r="LU30" s="23"/>
      <c r="LV30" s="23"/>
      <c r="LW30" s="23"/>
      <c r="LX30" s="23"/>
      <c r="LY30" s="23"/>
      <c r="LZ30" s="23"/>
      <c r="MA30" s="23"/>
      <c r="MB30" s="23"/>
      <c r="MC30" s="23"/>
      <c r="MD30" s="23"/>
      <c r="ME30" s="23"/>
      <c r="MF30" s="23"/>
      <c r="MG30" s="23"/>
      <c r="MH30" s="23"/>
      <c r="MI30" s="23"/>
      <c r="MJ30" s="23"/>
      <c r="MK30" s="23"/>
      <c r="ML30" s="23"/>
      <c r="MM30" s="23"/>
      <c r="MN30" s="23"/>
      <c r="MO30" s="23"/>
      <c r="MP30" s="23"/>
      <c r="MQ30" s="23"/>
      <c r="MR30" s="23"/>
      <c r="MS30" s="23"/>
      <c r="MT30" s="23"/>
      <c r="MU30" s="23"/>
      <c r="MV30" s="23"/>
      <c r="MW30" s="23"/>
      <c r="MX30" s="23"/>
      <c r="MY30" s="23"/>
      <c r="MZ30" s="23"/>
      <c r="NA30" s="23"/>
      <c r="NB30" s="23"/>
      <c r="NC30" s="23"/>
      <c r="ND30" s="23"/>
      <c r="NE30" s="23"/>
      <c r="NF30" s="23"/>
      <c r="NG30" s="23"/>
      <c r="NH30" s="23"/>
      <c r="NI30" s="23"/>
      <c r="NJ30" s="23"/>
      <c r="NK30" s="23"/>
      <c r="NL30" s="23"/>
      <c r="NM30" s="23"/>
      <c r="NN30" s="23"/>
      <c r="NO30" s="23"/>
      <c r="NP30" s="23"/>
      <c r="NQ30" s="23"/>
      <c r="NR30" s="23"/>
      <c r="NS30" s="23"/>
      <c r="NT30" s="23"/>
      <c r="NU30" s="23"/>
      <c r="NV30" s="23"/>
      <c r="NW30" s="23"/>
      <c r="NX30" s="23"/>
      <c r="NY30" s="23"/>
      <c r="NZ30" s="23"/>
      <c r="OA30" s="23"/>
      <c r="OB30" s="23"/>
      <c r="OC30" s="23"/>
      <c r="OD30" s="23"/>
      <c r="OE30" s="23"/>
      <c r="OF30" s="23"/>
      <c r="OG30" s="23"/>
      <c r="OH30" s="23"/>
      <c r="OI30" s="23"/>
      <c r="OJ30" s="23"/>
      <c r="OK30" s="23"/>
      <c r="OL30" s="23"/>
      <c r="OM30" s="23"/>
      <c r="ON30" s="23"/>
      <c r="OO30" s="23"/>
      <c r="OP30" s="23"/>
      <c r="OQ30" s="23"/>
      <c r="OR30" s="23"/>
      <c r="OS30" s="23"/>
      <c r="OT30" s="23"/>
      <c r="OU30" s="23"/>
      <c r="OV30" s="23"/>
      <c r="OW30" s="23"/>
      <c r="OX30" s="23"/>
      <c r="OY30" s="23"/>
      <c r="OZ30" s="23"/>
      <c r="PA30" s="23"/>
      <c r="PB30" s="23"/>
      <c r="PC30" s="23"/>
      <c r="PD30" s="23"/>
      <c r="PE30" s="23"/>
      <c r="PF30" s="23"/>
      <c r="PG30" s="23"/>
      <c r="PH30" s="23"/>
      <c r="PI30" s="23"/>
      <c r="PJ30" s="23"/>
      <c r="PK30" s="23"/>
      <c r="PL30" s="23"/>
      <c r="PM30" s="23"/>
      <c r="PN30" s="23"/>
      <c r="PO30" s="23"/>
      <c r="PP30" s="23"/>
      <c r="PQ30" s="23"/>
      <c r="PR30" s="23"/>
      <c r="PS30" s="23"/>
      <c r="PT30" s="23"/>
      <c r="PU30" s="23"/>
      <c r="PV30" s="23"/>
      <c r="PW30" s="23"/>
      <c r="PX30" s="23"/>
      <c r="PY30" s="23"/>
      <c r="PZ30" s="23"/>
      <c r="QA30" s="23"/>
      <c r="QB30" s="23"/>
      <c r="QC30" s="23"/>
      <c r="QD30" s="23"/>
      <c r="QE30" s="23"/>
      <c r="QF30" s="23"/>
      <c r="QG30" s="23"/>
      <c r="QH30" s="23"/>
      <c r="QI30" s="23"/>
      <c r="QJ30" s="23"/>
      <c r="QK30" s="23"/>
      <c r="QL30" s="23"/>
      <c r="QM30" s="23"/>
      <c r="QN30" s="23"/>
      <c r="QO30" s="23"/>
      <c r="QP30" s="23"/>
      <c r="QQ30" s="23"/>
      <c r="QR30" s="23"/>
      <c r="QS30" s="23"/>
      <c r="QT30" s="23"/>
      <c r="QU30" s="23"/>
      <c r="QV30" s="23"/>
      <c r="QW30" s="23"/>
      <c r="QX30" s="23"/>
      <c r="QY30" s="23"/>
      <c r="QZ30" s="23"/>
      <c r="RA30" s="23"/>
      <c r="RB30" s="23"/>
      <c r="RC30" s="23"/>
      <c r="RD30" s="23"/>
      <c r="RE30" s="23"/>
      <c r="RF30" s="23"/>
      <c r="RG30" s="23"/>
      <c r="RH30" s="23"/>
      <c r="RI30" s="23"/>
      <c r="RJ30" s="23"/>
      <c r="RK30" s="23"/>
      <c r="RL30" s="23"/>
      <c r="RM30" s="23"/>
      <c r="RN30" s="23"/>
      <c r="RO30" s="23"/>
      <c r="RP30" s="23"/>
      <c r="RQ30" s="23"/>
      <c r="RR30" s="23"/>
      <c r="RS30" s="23"/>
      <c r="RT30" s="23"/>
      <c r="RU30" s="23"/>
      <c r="RV30" s="23"/>
      <c r="RW30" s="23"/>
      <c r="RX30" s="23"/>
      <c r="RY30" s="23"/>
      <c r="RZ30" s="23"/>
      <c r="SA30" s="23"/>
      <c r="SB30" s="23"/>
      <c r="SC30" s="23"/>
      <c r="SD30" s="23"/>
      <c r="SE30" s="23"/>
      <c r="SF30" s="23"/>
      <c r="SG30" s="23"/>
      <c r="SH30" s="23"/>
      <c r="SI30" s="23"/>
      <c r="SJ30" s="23"/>
      <c r="SK30" s="23"/>
      <c r="SL30" s="23"/>
      <c r="SM30" s="23"/>
      <c r="SN30" s="23"/>
      <c r="SO30" s="23"/>
      <c r="SP30" s="23"/>
      <c r="SQ30" s="23"/>
      <c r="SR30" s="23"/>
      <c r="SS30" s="23"/>
      <c r="ST30" s="23"/>
      <c r="SU30" s="23"/>
      <c r="SV30" s="23"/>
      <c r="SW30" s="23"/>
      <c r="SX30" s="23"/>
      <c r="SY30" s="23"/>
      <c r="SZ30" s="23"/>
      <c r="TA30" s="23"/>
      <c r="TB30" s="23"/>
      <c r="TC30" s="23"/>
      <c r="TD30" s="23"/>
      <c r="TE30" s="23"/>
      <c r="TF30" s="23"/>
      <c r="TG30" s="23"/>
      <c r="TH30" s="23"/>
      <c r="TI30" s="23"/>
      <c r="TJ30" s="23"/>
      <c r="TK30" s="23"/>
      <c r="TL30" s="23"/>
      <c r="TM30" s="23"/>
      <c r="TN30" s="23"/>
      <c r="TO30" s="23"/>
      <c r="TP30" s="23"/>
      <c r="TQ30" s="23"/>
      <c r="TR30" s="23"/>
      <c r="TS30" s="23"/>
      <c r="TT30" s="23"/>
      <c r="TU30" s="23"/>
      <c r="TV30" s="23"/>
      <c r="TW30" s="23"/>
      <c r="TX30" s="23"/>
      <c r="TY30" s="23"/>
      <c r="TZ30" s="23"/>
      <c r="UA30" s="23"/>
      <c r="UB30" s="23"/>
      <c r="UC30" s="23"/>
      <c r="UD30" s="23"/>
      <c r="UE30" s="23"/>
      <c r="UF30" s="23"/>
      <c r="UG30" s="23"/>
      <c r="UH30" s="23"/>
      <c r="UI30" s="23"/>
      <c r="UJ30" s="23"/>
      <c r="UK30" s="23"/>
      <c r="UL30" s="23"/>
      <c r="UM30" s="23"/>
      <c r="UN30" s="23"/>
      <c r="UO30" s="23"/>
      <c r="UP30" s="23"/>
      <c r="UQ30" s="23"/>
      <c r="UR30" s="23"/>
      <c r="US30" s="23"/>
      <c r="UT30" s="23"/>
      <c r="UU30" s="23"/>
      <c r="UV30" s="23"/>
      <c r="UW30" s="23"/>
      <c r="UX30" s="23"/>
      <c r="UY30" s="23"/>
      <c r="UZ30" s="23"/>
      <c r="VA30" s="23"/>
      <c r="VB30" s="23"/>
      <c r="VC30" s="23"/>
      <c r="VD30" s="23"/>
      <c r="VE30" s="23"/>
      <c r="VF30" s="23"/>
      <c r="VG30" s="23"/>
      <c r="VH30" s="23"/>
      <c r="VI30" s="23"/>
      <c r="VJ30" s="23"/>
      <c r="VK30" s="23"/>
      <c r="VL30" s="23"/>
      <c r="VM30" s="23"/>
      <c r="VN30" s="23"/>
      <c r="VO30" s="23"/>
      <c r="VP30" s="23"/>
      <c r="VQ30" s="23"/>
      <c r="VR30" s="23"/>
      <c r="VS30" s="23"/>
      <c r="VT30" s="23"/>
      <c r="VU30" s="23"/>
      <c r="VV30" s="23"/>
      <c r="VW30" s="23"/>
      <c r="VX30" s="23"/>
      <c r="VY30" s="23"/>
      <c r="VZ30" s="23"/>
      <c r="WA30" s="23"/>
      <c r="WB30" s="23"/>
      <c r="WC30" s="23"/>
      <c r="WD30" s="23"/>
      <c r="WE30" s="23"/>
      <c r="WF30" s="23"/>
      <c r="WG30" s="23"/>
      <c r="WH30" s="23"/>
      <c r="WI30" s="23"/>
      <c r="WJ30" s="23"/>
      <c r="WK30" s="23"/>
      <c r="WL30" s="23"/>
      <c r="WM30" s="23"/>
      <c r="WN30" s="23"/>
      <c r="WO30" s="23"/>
      <c r="WP30" s="23"/>
      <c r="WQ30" s="23"/>
      <c r="WR30" s="23"/>
      <c r="WS30" s="23"/>
      <c r="WT30" s="23"/>
      <c r="WU30" s="23"/>
      <c r="WV30" s="23"/>
      <c r="WW30" s="23"/>
      <c r="WX30" s="23"/>
      <c r="WY30" s="23"/>
      <c r="WZ30" s="23"/>
      <c r="XA30" s="23"/>
      <c r="XB30" s="23"/>
      <c r="XC30" s="23"/>
      <c r="XD30" s="23"/>
      <c r="XE30" s="23"/>
      <c r="XF30" s="23"/>
      <c r="XG30" s="23"/>
      <c r="XH30" s="23"/>
      <c r="XI30" s="23"/>
      <c r="XJ30" s="23"/>
      <c r="XK30" s="23"/>
      <c r="XL30" s="23"/>
      <c r="XM30" s="23"/>
      <c r="XN30" s="23"/>
      <c r="XO30" s="23"/>
      <c r="XP30" s="23"/>
      <c r="XQ30" s="23"/>
      <c r="XR30" s="23"/>
      <c r="XS30" s="23"/>
      <c r="XT30" s="23"/>
      <c r="XU30" s="23"/>
      <c r="XV30" s="23"/>
      <c r="XW30" s="23"/>
      <c r="XX30" s="23"/>
      <c r="XY30" s="23"/>
      <c r="XZ30" s="23"/>
      <c r="YA30" s="23"/>
      <c r="YB30" s="23"/>
      <c r="YC30" s="23"/>
      <c r="YD30" s="23"/>
      <c r="YE30" s="23"/>
      <c r="YF30" s="23"/>
      <c r="YG30" s="23"/>
      <c r="YH30" s="23"/>
      <c r="YI30" s="23"/>
      <c r="YJ30" s="23"/>
      <c r="YK30" s="23"/>
      <c r="YL30" s="23"/>
      <c r="YM30" s="23"/>
      <c r="YN30" s="23"/>
      <c r="YO30" s="23"/>
      <c r="YP30" s="23"/>
      <c r="YQ30" s="23"/>
      <c r="YR30" s="23"/>
      <c r="YS30" s="23"/>
      <c r="YT30" s="23"/>
      <c r="YU30" s="23"/>
      <c r="YV30" s="23"/>
      <c r="YW30" s="23"/>
      <c r="YX30" s="23"/>
      <c r="YY30" s="23"/>
      <c r="YZ30" s="23"/>
      <c r="ZA30" s="23"/>
      <c r="ZB30" s="23"/>
      <c r="ZC30" s="23"/>
      <c r="ZD30" s="23"/>
      <c r="ZE30" s="54"/>
    </row>
    <row r="31" spans="1:682" s="58" customFormat="1" ht="14.25" customHeight="1" x14ac:dyDescent="0.25">
      <c r="A31" s="77"/>
      <c r="B31" s="128"/>
      <c r="C31" s="77"/>
      <c r="D31" s="77"/>
      <c r="E31" s="77"/>
      <c r="F31" s="77"/>
      <c r="G31" s="136"/>
      <c r="H31" s="134"/>
      <c r="I31" s="77"/>
      <c r="J31" s="77"/>
      <c r="K31" s="77"/>
      <c r="L31" s="135"/>
      <c r="M31" s="135"/>
      <c r="N31" s="135"/>
      <c r="O31" s="135"/>
      <c r="P31" s="135"/>
      <c r="Q31" s="135"/>
      <c r="R31" s="135"/>
      <c r="S31" s="135"/>
      <c r="T31" s="135"/>
      <c r="U31" s="135"/>
      <c r="V31" s="135"/>
      <c r="W31" s="135"/>
      <c r="X31" s="135"/>
      <c r="Y31" s="135"/>
      <c r="Z31" s="135"/>
      <c r="AA31" s="135"/>
      <c r="AB31" s="135"/>
      <c r="AC31" s="135"/>
      <c r="AD31" s="135"/>
      <c r="AE31" s="135"/>
      <c r="AF31" s="135"/>
      <c r="AG31" s="135"/>
      <c r="AH31" s="253"/>
      <c r="AI31" s="253"/>
      <c r="AJ31" s="253"/>
      <c r="AK31" s="253"/>
      <c r="AL31" s="23"/>
      <c r="AM31" s="23"/>
      <c r="AN31" s="23"/>
      <c r="AO31" s="23"/>
      <c r="AP31" s="23"/>
      <c r="AQ31" s="23"/>
      <c r="AR31" s="23"/>
      <c r="AS31" s="23"/>
      <c r="AT31" s="23"/>
      <c r="AU31" s="23"/>
      <c r="AV31" s="23"/>
      <c r="AW31" s="23"/>
      <c r="AX31" s="23"/>
      <c r="AY31" s="23"/>
      <c r="AZ31" s="23"/>
      <c r="BA31" s="23"/>
      <c r="BB31" s="23"/>
      <c r="BC31" s="23"/>
      <c r="BD31" s="23"/>
      <c r="BE31" s="23"/>
      <c r="BF31" s="23"/>
      <c r="BG31" s="23"/>
      <c r="BH31" s="23"/>
      <c r="BI31" s="23"/>
      <c r="BJ31" s="23"/>
      <c r="BK31" s="23"/>
      <c r="BL31" s="23"/>
      <c r="BM31" s="23"/>
      <c r="BN31" s="23"/>
      <c r="BO31" s="23"/>
      <c r="BP31" s="23"/>
      <c r="BQ31" s="23"/>
      <c r="BR31" s="23"/>
      <c r="BS31" s="23"/>
      <c r="BT31" s="23"/>
      <c r="BU31" s="23"/>
      <c r="BV31" s="23"/>
      <c r="BW31" s="23"/>
      <c r="BX31" s="23"/>
      <c r="BY31" s="23"/>
      <c r="BZ31" s="23"/>
      <c r="CA31" s="23"/>
      <c r="CB31" s="23"/>
      <c r="CC31" s="23"/>
      <c r="CD31" s="23"/>
      <c r="CE31" s="23"/>
      <c r="CF31" s="23"/>
      <c r="CG31" s="23"/>
      <c r="CH31" s="23"/>
      <c r="CI31" s="23"/>
      <c r="CJ31" s="23"/>
      <c r="CK31" s="23"/>
      <c r="CL31" s="23"/>
      <c r="CM31" s="23"/>
      <c r="CN31" s="23"/>
      <c r="CO31" s="23"/>
      <c r="CP31" s="23"/>
      <c r="CQ31" s="23"/>
      <c r="CR31" s="23"/>
      <c r="CS31" s="23"/>
      <c r="CT31" s="23"/>
      <c r="CU31" s="23"/>
      <c r="CV31" s="23"/>
      <c r="CW31" s="23"/>
      <c r="CX31" s="23"/>
      <c r="CY31" s="23"/>
      <c r="CZ31" s="23"/>
      <c r="DA31" s="23"/>
      <c r="DB31" s="23"/>
      <c r="DC31" s="23"/>
      <c r="DD31" s="23"/>
      <c r="DE31" s="23"/>
      <c r="DF31" s="23"/>
      <c r="DG31" s="23"/>
      <c r="DH31" s="23"/>
      <c r="DI31" s="23"/>
      <c r="DJ31" s="23"/>
      <c r="DK31" s="23"/>
      <c r="DL31" s="23"/>
      <c r="DM31" s="23"/>
      <c r="DN31" s="23"/>
      <c r="DO31" s="23"/>
      <c r="DP31" s="23"/>
      <c r="DQ31" s="23"/>
      <c r="DR31" s="23"/>
      <c r="DS31" s="23"/>
      <c r="DT31" s="23"/>
      <c r="DU31" s="23"/>
      <c r="DV31" s="23"/>
      <c r="DW31" s="23"/>
      <c r="DX31" s="23"/>
      <c r="DY31" s="23"/>
      <c r="DZ31" s="23"/>
      <c r="EA31" s="23"/>
      <c r="EB31" s="23"/>
      <c r="EC31" s="23"/>
      <c r="ED31" s="23"/>
      <c r="EE31" s="23"/>
      <c r="EF31" s="23"/>
      <c r="EG31" s="23"/>
      <c r="EH31" s="23"/>
      <c r="EI31" s="23"/>
      <c r="EJ31" s="23"/>
      <c r="EK31" s="23"/>
      <c r="EL31" s="23"/>
      <c r="EM31" s="23"/>
      <c r="EN31" s="23"/>
      <c r="EO31" s="23"/>
      <c r="EP31" s="23"/>
      <c r="EQ31" s="23"/>
      <c r="ER31" s="23"/>
      <c r="ES31" s="23"/>
      <c r="ET31" s="23"/>
      <c r="EU31" s="23"/>
      <c r="EV31" s="23"/>
      <c r="EW31" s="23"/>
      <c r="EX31" s="23"/>
      <c r="EY31" s="23"/>
      <c r="EZ31" s="23"/>
      <c r="FA31" s="23"/>
      <c r="FB31" s="23"/>
      <c r="FC31" s="23"/>
      <c r="FD31" s="23"/>
      <c r="FE31" s="23"/>
      <c r="FF31" s="23"/>
      <c r="FG31" s="23"/>
      <c r="FH31" s="23"/>
      <c r="FI31" s="23"/>
      <c r="FJ31" s="23"/>
      <c r="FK31" s="23"/>
      <c r="FL31" s="23"/>
      <c r="FM31" s="23"/>
      <c r="FN31" s="23"/>
      <c r="FO31" s="23"/>
      <c r="FP31" s="23"/>
      <c r="FQ31" s="23"/>
      <c r="FR31" s="23"/>
      <c r="FS31" s="23"/>
      <c r="FT31" s="23"/>
      <c r="FU31" s="23"/>
      <c r="FV31" s="23"/>
      <c r="FW31" s="23"/>
      <c r="FX31" s="23"/>
      <c r="FY31" s="23"/>
      <c r="FZ31" s="23"/>
      <c r="GA31" s="23"/>
      <c r="GB31" s="23"/>
      <c r="GC31" s="23"/>
      <c r="GD31" s="23"/>
      <c r="GE31" s="23"/>
      <c r="GF31" s="23"/>
      <c r="GG31" s="23"/>
      <c r="GH31" s="23"/>
      <c r="GI31" s="23"/>
      <c r="GJ31" s="23"/>
      <c r="GK31" s="23"/>
      <c r="GL31" s="23"/>
      <c r="GM31" s="23"/>
      <c r="GN31" s="23"/>
      <c r="GO31" s="23"/>
      <c r="GP31" s="23"/>
      <c r="GQ31" s="23"/>
      <c r="GR31" s="23"/>
      <c r="GS31" s="23"/>
      <c r="GT31" s="23"/>
      <c r="GU31" s="23"/>
      <c r="GV31" s="23"/>
      <c r="GW31" s="23"/>
      <c r="GX31" s="23"/>
      <c r="GY31" s="23"/>
      <c r="GZ31" s="23"/>
      <c r="HA31" s="23"/>
      <c r="HB31" s="23"/>
      <c r="HC31" s="23"/>
      <c r="HD31" s="23"/>
      <c r="HE31" s="23"/>
      <c r="HF31" s="23"/>
      <c r="HG31" s="23"/>
      <c r="HH31" s="23"/>
      <c r="HI31" s="23"/>
      <c r="HJ31" s="23"/>
      <c r="HK31" s="23"/>
      <c r="HL31" s="23"/>
      <c r="HM31" s="23"/>
      <c r="HN31" s="23"/>
      <c r="HO31" s="23"/>
      <c r="HP31" s="23"/>
      <c r="HQ31" s="23"/>
      <c r="HR31" s="23"/>
      <c r="HS31" s="23"/>
      <c r="HT31" s="23"/>
      <c r="HU31" s="23"/>
      <c r="HV31" s="23"/>
      <c r="HW31" s="23"/>
      <c r="HX31" s="23"/>
      <c r="HY31" s="23"/>
      <c r="HZ31" s="23"/>
      <c r="IA31" s="23"/>
      <c r="IB31" s="61"/>
    </row>
    <row r="32" spans="1:682" s="50" customFormat="1" ht="15.75" thickBot="1" x14ac:dyDescent="0.3">
      <c r="A32" s="30">
        <v>4000</v>
      </c>
      <c r="B32" s="129" t="s">
        <v>44</v>
      </c>
      <c r="C32" s="103" t="s">
        <v>66</v>
      </c>
      <c r="D32" s="5" t="s">
        <v>65</v>
      </c>
      <c r="E32" s="103" t="s">
        <v>49</v>
      </c>
      <c r="F32" s="5" t="s">
        <v>48</v>
      </c>
      <c r="G32" s="56">
        <v>2</v>
      </c>
      <c r="H32" s="172" t="s">
        <v>119</v>
      </c>
      <c r="I32" s="173"/>
      <c r="J32" s="173"/>
      <c r="K32" s="173"/>
      <c r="L32" s="173"/>
      <c r="M32" s="173"/>
      <c r="N32" s="173"/>
      <c r="O32" s="173"/>
      <c r="P32" s="173"/>
      <c r="Q32" s="173"/>
      <c r="R32" s="173"/>
      <c r="S32" s="173"/>
      <c r="T32" s="173"/>
      <c r="U32" s="173"/>
      <c r="V32" s="173"/>
      <c r="W32" s="173"/>
      <c r="X32" s="173"/>
      <c r="Y32" s="173"/>
      <c r="Z32" s="173"/>
      <c r="AA32" s="173"/>
      <c r="AB32" s="173"/>
      <c r="AC32" s="173"/>
      <c r="AD32" s="173"/>
      <c r="AE32" s="173"/>
      <c r="AF32" s="173"/>
      <c r="AG32" s="173"/>
      <c r="AH32" s="265"/>
      <c r="AI32" s="265"/>
      <c r="AJ32" s="265"/>
      <c r="AK32" s="265"/>
      <c r="AL32" s="24"/>
      <c r="AM32" s="24"/>
      <c r="AN32" s="24"/>
      <c r="AO32" s="24"/>
      <c r="AP32" s="24"/>
      <c r="AQ32" s="24"/>
      <c r="AR32" s="24"/>
      <c r="AS32" s="24"/>
      <c r="AT32" s="24"/>
      <c r="AU32" s="24"/>
      <c r="AV32" s="24"/>
      <c r="AW32" s="24"/>
      <c r="AX32" s="24"/>
      <c r="AY32" s="24"/>
      <c r="AZ32" s="24"/>
      <c r="BA32" s="24"/>
      <c r="BB32" s="24"/>
      <c r="BC32" s="24"/>
      <c r="BD32" s="24"/>
      <c r="BE32" s="24"/>
      <c r="BF32" s="24"/>
      <c r="BG32" s="24"/>
      <c r="BH32" s="24"/>
      <c r="BI32" s="24"/>
      <c r="BJ32" s="24"/>
      <c r="BK32" s="24"/>
      <c r="BL32" s="24"/>
      <c r="BM32" s="24"/>
      <c r="BN32" s="24"/>
      <c r="BO32" s="24"/>
      <c r="BP32" s="24"/>
      <c r="BQ32" s="24"/>
      <c r="BR32" s="24"/>
      <c r="BS32" s="24"/>
      <c r="BT32" s="24"/>
      <c r="BU32" s="24"/>
      <c r="BV32" s="24"/>
      <c r="BW32" s="24"/>
      <c r="BX32" s="24"/>
      <c r="BY32" s="24"/>
      <c r="BZ32" s="24"/>
      <c r="CA32" s="24"/>
      <c r="CB32" s="24"/>
      <c r="CC32" s="24"/>
      <c r="CD32" s="24"/>
      <c r="CE32" s="24"/>
      <c r="CF32" s="24"/>
      <c r="CG32" s="24"/>
      <c r="CH32" s="24"/>
      <c r="CI32" s="24"/>
      <c r="CJ32" s="24"/>
      <c r="CK32" s="24"/>
      <c r="CL32" s="24"/>
      <c r="CM32" s="24"/>
      <c r="CN32" s="24"/>
      <c r="CO32" s="24"/>
      <c r="CP32" s="24"/>
      <c r="CQ32" s="24"/>
      <c r="CR32" s="24"/>
      <c r="CS32" s="24"/>
      <c r="CT32" s="24"/>
      <c r="CU32" s="24"/>
      <c r="CV32" s="24"/>
      <c r="CW32" s="24"/>
      <c r="CX32" s="24"/>
      <c r="CY32" s="24"/>
      <c r="CZ32" s="24"/>
      <c r="DA32" s="24"/>
      <c r="DB32" s="24"/>
      <c r="DC32" s="24"/>
      <c r="DD32" s="24"/>
      <c r="DE32" s="24"/>
      <c r="DF32" s="24"/>
      <c r="DG32" s="24"/>
      <c r="DH32" s="24"/>
      <c r="DI32" s="24"/>
      <c r="DJ32" s="24"/>
      <c r="DK32" s="24"/>
      <c r="DL32" s="24"/>
      <c r="DM32" s="24"/>
      <c r="DN32" s="24"/>
      <c r="DO32" s="24"/>
      <c r="DP32" s="24"/>
      <c r="DQ32" s="24"/>
      <c r="DR32" s="24"/>
      <c r="DS32" s="24"/>
      <c r="DT32" s="24"/>
      <c r="DU32" s="24"/>
      <c r="DV32" s="24"/>
      <c r="DW32" s="24"/>
      <c r="DX32" s="24"/>
      <c r="DY32" s="24"/>
      <c r="DZ32" s="24"/>
      <c r="EA32" s="24"/>
      <c r="EB32" s="24"/>
      <c r="EC32" s="24"/>
      <c r="ED32" s="24"/>
      <c r="EE32" s="24"/>
      <c r="EF32" s="24"/>
      <c r="EG32" s="24"/>
      <c r="EH32" s="24"/>
      <c r="EI32" s="24"/>
      <c r="EJ32" s="24"/>
      <c r="EK32" s="24"/>
      <c r="EL32" s="24"/>
      <c r="EM32" s="24"/>
      <c r="EN32" s="24"/>
      <c r="EO32" s="24"/>
      <c r="EP32" s="24"/>
      <c r="EQ32" s="24"/>
      <c r="ER32" s="24"/>
      <c r="ES32" s="24"/>
      <c r="ET32" s="24"/>
      <c r="EU32" s="24"/>
      <c r="EV32" s="24"/>
      <c r="EW32" s="24"/>
      <c r="EX32" s="24"/>
      <c r="EY32" s="24"/>
      <c r="EZ32" s="24"/>
      <c r="FA32" s="24"/>
      <c r="FB32" s="24"/>
      <c r="FC32" s="24"/>
      <c r="FD32" s="24"/>
      <c r="FE32" s="24"/>
      <c r="FF32" s="24"/>
      <c r="FG32" s="24"/>
      <c r="FH32" s="24"/>
      <c r="FI32" s="24"/>
      <c r="FJ32" s="24"/>
      <c r="FK32" s="24"/>
      <c r="FL32" s="24"/>
      <c r="FM32" s="24"/>
      <c r="FN32" s="24"/>
      <c r="FO32" s="24"/>
      <c r="FP32" s="24"/>
      <c r="FQ32" s="24"/>
      <c r="FR32" s="24"/>
      <c r="FS32" s="24"/>
      <c r="FT32" s="24"/>
      <c r="FU32" s="24"/>
      <c r="FV32" s="24"/>
      <c r="FW32" s="24"/>
      <c r="FX32" s="24"/>
      <c r="FY32" s="24"/>
      <c r="FZ32" s="24"/>
      <c r="GA32" s="24"/>
      <c r="GB32" s="24"/>
      <c r="GC32" s="24"/>
      <c r="GD32" s="24"/>
      <c r="GE32" s="24"/>
      <c r="GF32" s="24"/>
      <c r="GG32" s="24"/>
      <c r="GH32" s="24"/>
      <c r="GI32" s="24"/>
      <c r="GJ32" s="24"/>
      <c r="GK32" s="24"/>
      <c r="GL32" s="24"/>
      <c r="GM32" s="24"/>
      <c r="GN32" s="24"/>
      <c r="GO32" s="24"/>
      <c r="GP32" s="24"/>
      <c r="GQ32" s="24"/>
      <c r="GR32" s="24"/>
      <c r="GS32" s="24"/>
      <c r="GT32" s="24"/>
      <c r="GU32" s="24"/>
      <c r="GV32" s="24"/>
      <c r="GW32" s="24"/>
      <c r="GX32" s="24"/>
      <c r="GY32" s="24"/>
      <c r="GZ32" s="24"/>
      <c r="HA32" s="24"/>
      <c r="HB32" s="24"/>
      <c r="HC32" s="24"/>
      <c r="HD32" s="24"/>
      <c r="HE32" s="24"/>
      <c r="HF32" s="24"/>
      <c r="HG32" s="24"/>
      <c r="HH32" s="24"/>
      <c r="HI32" s="24"/>
      <c r="HJ32" s="24"/>
      <c r="HK32" s="24"/>
      <c r="HL32" s="24"/>
      <c r="HM32" s="24"/>
      <c r="HN32" s="24"/>
      <c r="HO32" s="24"/>
      <c r="HP32" s="24"/>
      <c r="HQ32" s="24"/>
      <c r="HR32" s="24"/>
      <c r="HS32" s="24"/>
      <c r="HT32" s="24"/>
      <c r="HU32" s="24"/>
      <c r="HV32" s="24"/>
      <c r="HW32" s="24"/>
      <c r="HX32" s="24"/>
      <c r="HY32" s="24"/>
      <c r="HZ32" s="24"/>
      <c r="IA32" s="24"/>
      <c r="IB32" s="24"/>
      <c r="IC32" s="24"/>
      <c r="ID32" s="24"/>
      <c r="IE32" s="24"/>
      <c r="IF32" s="24"/>
      <c r="IG32" s="24"/>
      <c r="IH32" s="24"/>
      <c r="II32" s="24"/>
      <c r="IJ32" s="24"/>
      <c r="IK32" s="24"/>
      <c r="IL32" s="24"/>
      <c r="IM32" s="24"/>
      <c r="IN32" s="24"/>
      <c r="IO32" s="24"/>
      <c r="IP32" s="24"/>
      <c r="IQ32" s="24"/>
      <c r="IR32" s="24"/>
      <c r="IS32" s="24"/>
      <c r="IT32" s="24"/>
      <c r="IU32" s="24"/>
      <c r="IV32" s="24"/>
      <c r="IW32" s="24"/>
      <c r="IX32" s="24"/>
      <c r="IY32" s="24"/>
      <c r="IZ32" s="24"/>
      <c r="JA32" s="24"/>
      <c r="JB32" s="24"/>
      <c r="JC32" s="24"/>
      <c r="JD32" s="24"/>
      <c r="JE32" s="24"/>
      <c r="JF32" s="24"/>
      <c r="JG32" s="24"/>
      <c r="JH32" s="24"/>
      <c r="JI32" s="24"/>
      <c r="JJ32" s="24"/>
      <c r="JK32" s="24"/>
      <c r="JL32" s="24"/>
      <c r="JM32" s="24"/>
      <c r="JN32" s="24"/>
      <c r="JO32" s="24"/>
      <c r="JP32" s="24"/>
      <c r="JQ32" s="24"/>
      <c r="JR32" s="24"/>
      <c r="JS32" s="24"/>
      <c r="JT32" s="24"/>
      <c r="JU32" s="24"/>
      <c r="JV32" s="24"/>
      <c r="JW32" s="24"/>
      <c r="JX32" s="24"/>
      <c r="JY32" s="24"/>
      <c r="JZ32" s="24"/>
      <c r="KA32" s="24"/>
      <c r="KB32" s="24"/>
      <c r="KC32" s="24"/>
      <c r="KD32" s="24"/>
      <c r="KE32" s="24"/>
      <c r="KF32" s="24"/>
      <c r="KG32" s="24"/>
      <c r="KH32" s="24"/>
      <c r="KI32" s="24"/>
      <c r="KJ32" s="24"/>
      <c r="KK32" s="24"/>
      <c r="KL32" s="24"/>
      <c r="KM32" s="24"/>
      <c r="KN32" s="24"/>
      <c r="KO32" s="24"/>
      <c r="KP32" s="24"/>
      <c r="KQ32" s="24"/>
      <c r="KR32" s="24"/>
      <c r="KS32" s="24"/>
      <c r="KT32" s="24"/>
      <c r="KU32" s="24"/>
      <c r="KV32" s="24"/>
      <c r="KW32" s="24"/>
      <c r="KX32" s="24"/>
      <c r="KY32" s="24"/>
      <c r="KZ32" s="24"/>
      <c r="LA32" s="24"/>
      <c r="LB32" s="24"/>
      <c r="LC32" s="24"/>
      <c r="LD32" s="24"/>
      <c r="LE32" s="24"/>
      <c r="LF32" s="24"/>
      <c r="LG32" s="24"/>
      <c r="LH32" s="24"/>
      <c r="LI32" s="24"/>
      <c r="LJ32" s="24"/>
      <c r="LK32" s="24"/>
      <c r="LL32" s="24"/>
      <c r="LM32" s="24"/>
      <c r="LN32" s="24"/>
      <c r="LO32" s="24"/>
      <c r="LP32" s="24"/>
      <c r="LQ32" s="24"/>
      <c r="LR32" s="24"/>
      <c r="LS32" s="24"/>
      <c r="LT32" s="24"/>
      <c r="LU32" s="24"/>
      <c r="LV32" s="24"/>
      <c r="LW32" s="24"/>
      <c r="LX32" s="24"/>
      <c r="LY32" s="24"/>
      <c r="LZ32" s="24"/>
      <c r="MA32" s="24"/>
      <c r="MB32" s="24"/>
      <c r="MC32" s="24"/>
      <c r="MD32" s="24"/>
      <c r="ME32" s="24"/>
      <c r="MF32" s="24"/>
      <c r="MG32" s="24"/>
      <c r="MH32" s="24"/>
      <c r="MI32" s="24"/>
      <c r="MJ32" s="24"/>
      <c r="MK32" s="24"/>
      <c r="ML32" s="24"/>
      <c r="MM32" s="24"/>
      <c r="MN32" s="24"/>
      <c r="MO32" s="24"/>
      <c r="MP32" s="24"/>
      <c r="MQ32" s="24"/>
      <c r="MR32" s="24"/>
      <c r="MS32" s="24"/>
      <c r="MT32" s="24"/>
      <c r="MU32" s="24"/>
      <c r="MV32" s="24"/>
      <c r="MW32" s="24"/>
      <c r="MX32" s="24"/>
      <c r="MY32" s="24"/>
      <c r="MZ32" s="24"/>
      <c r="NA32" s="24"/>
      <c r="NB32" s="24"/>
      <c r="NC32" s="24"/>
      <c r="ND32" s="24"/>
      <c r="NE32" s="24"/>
      <c r="NF32" s="24"/>
      <c r="NG32" s="24"/>
      <c r="NH32" s="24"/>
      <c r="NI32" s="24"/>
      <c r="NJ32" s="24"/>
      <c r="NK32" s="24"/>
      <c r="NL32" s="24"/>
      <c r="NM32" s="24"/>
      <c r="NN32" s="24"/>
      <c r="NO32" s="24"/>
      <c r="NP32" s="24"/>
      <c r="NQ32" s="24"/>
      <c r="NR32" s="24"/>
      <c r="NS32" s="24"/>
      <c r="NT32" s="24"/>
      <c r="NU32" s="24"/>
      <c r="NV32" s="24"/>
      <c r="NW32" s="24"/>
      <c r="NX32" s="24"/>
      <c r="NY32" s="24"/>
      <c r="NZ32" s="24"/>
      <c r="OA32" s="24"/>
      <c r="OB32" s="24"/>
      <c r="OC32" s="24"/>
      <c r="OD32" s="24"/>
      <c r="OE32" s="24"/>
      <c r="OF32" s="24"/>
      <c r="OG32" s="24"/>
      <c r="OH32" s="24"/>
      <c r="OI32" s="24"/>
      <c r="OJ32" s="24"/>
      <c r="OK32" s="24"/>
      <c r="OL32" s="24"/>
      <c r="OM32" s="24"/>
      <c r="ON32" s="24"/>
      <c r="OO32" s="24"/>
      <c r="OP32" s="24"/>
      <c r="OQ32" s="24"/>
      <c r="OR32" s="24"/>
      <c r="OS32" s="24"/>
      <c r="OT32" s="24"/>
      <c r="OU32" s="24"/>
      <c r="OV32" s="24"/>
      <c r="OW32" s="24"/>
      <c r="OX32" s="24"/>
      <c r="OY32" s="24"/>
      <c r="OZ32" s="24"/>
      <c r="PA32" s="24"/>
      <c r="PB32" s="24"/>
      <c r="PC32" s="24"/>
      <c r="PD32" s="24"/>
      <c r="PE32" s="24"/>
      <c r="PF32" s="24"/>
      <c r="PG32" s="24"/>
      <c r="PH32" s="24"/>
      <c r="PI32" s="24"/>
      <c r="PJ32" s="24"/>
      <c r="PK32" s="24"/>
      <c r="PL32" s="24"/>
      <c r="PM32" s="24"/>
      <c r="PN32" s="24"/>
      <c r="PO32" s="24"/>
      <c r="PP32" s="24"/>
      <c r="PQ32" s="24"/>
      <c r="PR32" s="24"/>
      <c r="PS32" s="24"/>
      <c r="PT32" s="24"/>
      <c r="PU32" s="24"/>
      <c r="PV32" s="24"/>
      <c r="PW32" s="24"/>
      <c r="PX32" s="24"/>
      <c r="PY32" s="24"/>
      <c r="PZ32" s="24"/>
      <c r="QA32" s="24"/>
      <c r="QB32" s="24"/>
      <c r="QC32" s="24"/>
      <c r="QD32" s="24"/>
      <c r="QE32" s="24"/>
      <c r="QF32" s="24"/>
      <c r="QG32" s="24"/>
      <c r="QH32" s="24"/>
      <c r="QI32" s="24"/>
      <c r="QJ32" s="24"/>
      <c r="QK32" s="24"/>
      <c r="QL32" s="24"/>
      <c r="QM32" s="24"/>
      <c r="QN32" s="24"/>
      <c r="QO32" s="24"/>
      <c r="QP32" s="24"/>
      <c r="QQ32" s="24"/>
      <c r="QR32" s="24"/>
      <c r="QS32" s="24"/>
      <c r="QT32" s="24"/>
      <c r="QU32" s="24"/>
      <c r="QV32" s="24"/>
      <c r="QW32" s="24"/>
      <c r="QX32" s="24"/>
      <c r="QY32" s="24"/>
      <c r="QZ32" s="24"/>
      <c r="RA32" s="24"/>
      <c r="RB32" s="24"/>
      <c r="RC32" s="24"/>
      <c r="RD32" s="24"/>
      <c r="RE32" s="24"/>
      <c r="RF32" s="24"/>
      <c r="RG32" s="24"/>
      <c r="RH32" s="24"/>
      <c r="RI32" s="24"/>
      <c r="RJ32" s="24"/>
      <c r="RK32" s="24"/>
      <c r="RL32" s="24"/>
      <c r="RM32" s="24"/>
      <c r="RN32" s="24"/>
      <c r="RO32" s="24"/>
      <c r="RP32" s="24"/>
      <c r="RQ32" s="24"/>
      <c r="RR32" s="24"/>
      <c r="RS32" s="24"/>
      <c r="RT32" s="24"/>
      <c r="RU32" s="24"/>
      <c r="RV32" s="24"/>
      <c r="RW32" s="24"/>
      <c r="RX32" s="24"/>
      <c r="RY32" s="24"/>
      <c r="RZ32" s="24"/>
      <c r="SA32" s="24"/>
      <c r="SB32" s="24"/>
      <c r="SC32" s="24"/>
      <c r="SD32" s="24"/>
      <c r="SE32" s="24"/>
      <c r="SF32" s="24"/>
      <c r="SG32" s="24"/>
      <c r="SH32" s="24"/>
      <c r="SI32" s="24"/>
      <c r="SJ32" s="24"/>
      <c r="SK32" s="24"/>
      <c r="SL32" s="24"/>
      <c r="SM32" s="24"/>
      <c r="SN32" s="24"/>
      <c r="SO32" s="24"/>
      <c r="SP32" s="24"/>
      <c r="SQ32" s="24"/>
      <c r="SR32" s="24"/>
      <c r="SS32" s="24"/>
      <c r="ST32" s="24"/>
      <c r="SU32" s="24"/>
      <c r="SV32" s="24"/>
      <c r="SW32" s="24"/>
      <c r="SX32" s="24"/>
      <c r="SY32" s="24"/>
      <c r="SZ32" s="24"/>
      <c r="TA32" s="24"/>
      <c r="TB32" s="24"/>
      <c r="TC32" s="24"/>
      <c r="TD32" s="24"/>
      <c r="TE32" s="24"/>
      <c r="TF32" s="24"/>
      <c r="TG32" s="24"/>
      <c r="TH32" s="24"/>
      <c r="TI32" s="24"/>
      <c r="TJ32" s="24"/>
      <c r="TK32" s="24"/>
      <c r="TL32" s="24"/>
      <c r="TM32" s="24"/>
      <c r="TN32" s="24"/>
      <c r="TO32" s="24"/>
      <c r="TP32" s="24"/>
      <c r="TQ32" s="24"/>
      <c r="TR32" s="24"/>
      <c r="TS32" s="24"/>
      <c r="TT32" s="24"/>
      <c r="TU32" s="24"/>
      <c r="TV32" s="24"/>
      <c r="TW32" s="24"/>
      <c r="TX32" s="24"/>
      <c r="TY32" s="24"/>
      <c r="TZ32" s="24"/>
      <c r="UA32" s="24"/>
      <c r="UB32" s="24"/>
      <c r="UC32" s="24"/>
      <c r="UD32" s="24"/>
      <c r="UE32" s="24"/>
      <c r="UF32" s="24"/>
      <c r="UG32" s="24"/>
      <c r="UH32" s="24"/>
      <c r="UI32" s="24"/>
      <c r="UJ32" s="24"/>
      <c r="UK32" s="24"/>
      <c r="UL32" s="24"/>
      <c r="UM32" s="24"/>
      <c r="UN32" s="24"/>
      <c r="UO32" s="24"/>
      <c r="UP32" s="24"/>
      <c r="UQ32" s="24"/>
      <c r="UR32" s="24"/>
      <c r="US32" s="24"/>
      <c r="UT32" s="24"/>
      <c r="UU32" s="24"/>
      <c r="UV32" s="24"/>
      <c r="UW32" s="24"/>
      <c r="UX32" s="24"/>
      <c r="UY32" s="24"/>
      <c r="UZ32" s="24"/>
      <c r="VA32" s="24"/>
      <c r="VB32" s="24"/>
      <c r="VC32" s="24"/>
      <c r="VD32" s="24"/>
      <c r="VE32" s="24"/>
      <c r="VF32" s="24"/>
      <c r="VG32" s="24"/>
      <c r="VH32" s="24"/>
      <c r="VI32" s="24"/>
      <c r="VJ32" s="24"/>
      <c r="VK32" s="24"/>
      <c r="VL32" s="24"/>
      <c r="VM32" s="24"/>
      <c r="VN32" s="24"/>
      <c r="VO32" s="24"/>
      <c r="VP32" s="24"/>
      <c r="VQ32" s="24"/>
      <c r="VR32" s="24"/>
      <c r="VS32" s="24"/>
      <c r="VT32" s="24"/>
      <c r="VU32" s="24"/>
      <c r="VV32" s="24"/>
      <c r="VW32" s="24"/>
      <c r="VX32" s="24"/>
      <c r="VY32" s="24"/>
      <c r="VZ32" s="24"/>
      <c r="WA32" s="24"/>
      <c r="WB32" s="24"/>
      <c r="WC32" s="24"/>
      <c r="WD32" s="24"/>
      <c r="WE32" s="24"/>
      <c r="WF32" s="24"/>
      <c r="WG32" s="24"/>
      <c r="WH32" s="24"/>
      <c r="WI32" s="24"/>
      <c r="WJ32" s="24"/>
      <c r="WK32" s="24"/>
      <c r="WL32" s="24"/>
      <c r="WM32" s="24"/>
      <c r="WN32" s="24"/>
      <c r="WO32" s="24"/>
      <c r="WP32" s="24"/>
      <c r="WQ32" s="24"/>
      <c r="WR32" s="24"/>
      <c r="WS32" s="24"/>
      <c r="WT32" s="24"/>
      <c r="WU32" s="24"/>
      <c r="WV32" s="24"/>
      <c r="WW32" s="24"/>
      <c r="WX32" s="24"/>
      <c r="WY32" s="24"/>
      <c r="WZ32" s="24"/>
      <c r="XA32" s="24"/>
      <c r="XB32" s="24"/>
      <c r="XC32" s="24"/>
      <c r="XD32" s="24"/>
      <c r="XE32" s="24"/>
      <c r="XF32" s="24"/>
      <c r="XG32" s="24"/>
      <c r="XH32" s="24"/>
      <c r="XI32" s="24"/>
      <c r="XJ32" s="24"/>
      <c r="XK32" s="24"/>
      <c r="XL32" s="24"/>
      <c r="XM32" s="24"/>
      <c r="XN32" s="24"/>
      <c r="XO32" s="24"/>
      <c r="XP32" s="24"/>
      <c r="XQ32" s="24"/>
      <c r="XR32" s="24"/>
      <c r="XS32" s="24"/>
      <c r="XT32" s="24"/>
      <c r="XU32" s="24"/>
      <c r="XV32" s="24"/>
      <c r="XW32" s="24"/>
      <c r="XX32" s="24"/>
      <c r="XY32" s="24"/>
      <c r="XZ32" s="24"/>
      <c r="YA32" s="24"/>
      <c r="YB32" s="24"/>
      <c r="YC32" s="24"/>
      <c r="YD32" s="24"/>
      <c r="YE32" s="24"/>
      <c r="YF32" s="24"/>
      <c r="YG32" s="24"/>
      <c r="YH32" s="24"/>
      <c r="YI32" s="24"/>
      <c r="YJ32" s="24"/>
      <c r="YK32" s="24"/>
      <c r="YL32" s="24"/>
      <c r="YM32" s="24"/>
      <c r="YN32" s="24"/>
      <c r="YO32" s="24"/>
      <c r="YP32" s="24"/>
      <c r="YQ32" s="24"/>
      <c r="YR32" s="24"/>
      <c r="YS32" s="24"/>
      <c r="YT32" s="24"/>
      <c r="YU32" s="24"/>
      <c r="YV32" s="24"/>
      <c r="YW32" s="24"/>
      <c r="YX32" s="24"/>
      <c r="YY32" s="24"/>
      <c r="YZ32" s="24"/>
      <c r="ZA32" s="24"/>
      <c r="ZB32" s="24"/>
      <c r="ZC32" s="24"/>
      <c r="ZD32" s="24"/>
      <c r="ZE32" s="24"/>
      <c r="ZF32" s="53"/>
    </row>
    <row r="33" spans="1:681" s="45" customFormat="1" ht="15" customHeight="1" x14ac:dyDescent="0.25">
      <c r="A33" s="30">
        <v>4000</v>
      </c>
      <c r="B33" s="129" t="s">
        <v>44</v>
      </c>
      <c r="C33" s="103" t="s">
        <v>49</v>
      </c>
      <c r="D33" s="5" t="s">
        <v>48</v>
      </c>
      <c r="E33" s="103" t="s">
        <v>66</v>
      </c>
      <c r="F33" s="5" t="s">
        <v>65</v>
      </c>
      <c r="G33" s="56">
        <v>2</v>
      </c>
      <c r="H33" s="46" t="s">
        <v>25</v>
      </c>
      <c r="I33" s="47"/>
      <c r="J33" s="48">
        <f ca="1">OFFSET(CBN_CDC!I55,0,2)</f>
        <v>80</v>
      </c>
      <c r="K33" s="241">
        <f ca="1">OFFSET(CBN_CDC!J55,0,2)</f>
        <v>71</v>
      </c>
      <c r="L33" s="241">
        <f ca="1">OFFSET(CBN_CDC!K55,0,2)</f>
        <v>99</v>
      </c>
      <c r="M33" s="241">
        <f ca="1">OFFSET(CBN_CDC!L55,0,2)</f>
        <v>105</v>
      </c>
      <c r="N33" s="241">
        <f ca="1">OFFSET(CBN_CDC!M55,0,2)</f>
        <v>163</v>
      </c>
      <c r="O33" s="241">
        <f ca="1">OFFSET(CBN_CDC!N55,0,2)</f>
        <v>28</v>
      </c>
      <c r="P33" s="241">
        <f ca="1">OFFSET(CBN_CDC!O55,0,2)</f>
        <v>121</v>
      </c>
      <c r="Q33" s="241">
        <f ca="1">OFFSET(CBN_CDC!P55,0,2)</f>
        <v>199</v>
      </c>
      <c r="R33" s="241">
        <f ca="1">OFFSET(CBN_CDC!Q55,0,2)</f>
        <v>115</v>
      </c>
      <c r="S33" s="241">
        <f ca="1">OFFSET(CBN_CDC!R55,0,2)</f>
        <v>168</v>
      </c>
      <c r="T33" s="241">
        <f ca="1">OFFSET(CBN_CDC!S55,0,2)</f>
        <v>168</v>
      </c>
      <c r="U33" s="241">
        <f ca="1">OFFSET(CBN_CDC!T55,0,2)</f>
        <v>132</v>
      </c>
      <c r="V33" s="241">
        <f ca="1">OFFSET(CBN_CDC!U55,0,2)</f>
        <v>160</v>
      </c>
      <c r="W33" s="241">
        <f ca="1">OFFSET(CBN_CDC!V55,0,2)</f>
        <v>136</v>
      </c>
      <c r="X33" s="241">
        <f ca="1">OFFSET(CBN_CDC!W55,0,2)</f>
        <v>152</v>
      </c>
      <c r="Y33" s="241">
        <f ca="1">OFFSET(CBN_CDC!X55,0,2)</f>
        <v>56</v>
      </c>
      <c r="Z33" s="241">
        <f ca="1">OFFSET(CBN_CDC!Y55,0,2)</f>
        <v>131</v>
      </c>
      <c r="AA33" s="241">
        <f ca="1">OFFSET(CBN_CDC!Z55,0,2)</f>
        <v>115</v>
      </c>
      <c r="AB33" s="241">
        <f ca="1">OFFSET(CBN_CDC!AA55,0,2)</f>
        <v>17</v>
      </c>
      <c r="AC33" s="241">
        <f ca="1">OFFSET(CBN_CDC!AB55,0,2)</f>
        <v>56</v>
      </c>
      <c r="AD33" s="241">
        <f ca="1">OFFSET(CBN_CDC!AC55,0,2)</f>
        <v>153</v>
      </c>
      <c r="AE33" s="241">
        <f ca="1">OFFSET(CBN_CDC!AD55,0,2)</f>
        <v>113</v>
      </c>
      <c r="AF33" s="241">
        <f ca="1">OFFSET(CBN_CDC!AE55,0,2)</f>
        <v>0</v>
      </c>
      <c r="AG33" s="241">
        <f ca="1">OFFSET(CBN_CDC!AF55,0,2)</f>
        <v>0</v>
      </c>
      <c r="AH33" s="241"/>
      <c r="AI33" s="241"/>
      <c r="AJ33" s="241"/>
      <c r="AK33" s="241"/>
      <c r="AL33" s="23"/>
      <c r="AM33" s="23"/>
      <c r="AN33" s="23"/>
      <c r="AO33" s="23"/>
      <c r="AP33" s="23"/>
      <c r="AQ33" s="23"/>
      <c r="AR33" s="23"/>
      <c r="AS33" s="23"/>
      <c r="AT33" s="23"/>
      <c r="AU33" s="23"/>
      <c r="AV33" s="23"/>
      <c r="AW33" s="23"/>
      <c r="AX33" s="23"/>
      <c r="AY33" s="23"/>
      <c r="AZ33" s="23"/>
      <c r="BA33" s="23"/>
      <c r="BB33" s="23"/>
      <c r="BC33" s="23"/>
      <c r="BD33" s="23"/>
      <c r="BE33" s="23"/>
      <c r="BF33" s="23"/>
      <c r="BG33" s="23"/>
      <c r="BH33" s="23"/>
      <c r="BI33" s="23"/>
      <c r="BJ33" s="23"/>
      <c r="BK33" s="23"/>
      <c r="BL33" s="23"/>
      <c r="BM33" s="23"/>
      <c r="BN33" s="23"/>
      <c r="BO33" s="23"/>
      <c r="BP33" s="23"/>
      <c r="BQ33" s="23"/>
      <c r="BR33" s="23"/>
      <c r="BS33" s="23"/>
      <c r="BT33" s="23"/>
      <c r="BU33" s="23"/>
      <c r="BV33" s="23"/>
      <c r="BW33" s="23"/>
      <c r="BX33" s="23"/>
      <c r="BY33" s="23"/>
      <c r="BZ33" s="23"/>
      <c r="CA33" s="23"/>
      <c r="CB33" s="23"/>
      <c r="CC33" s="23"/>
      <c r="CD33" s="23"/>
      <c r="CE33" s="23"/>
      <c r="CF33" s="23"/>
      <c r="CG33" s="23"/>
      <c r="CH33" s="23"/>
      <c r="CI33" s="23"/>
      <c r="CJ33" s="23"/>
      <c r="CK33" s="23"/>
      <c r="CL33" s="23"/>
      <c r="CM33" s="23"/>
      <c r="CN33" s="23"/>
      <c r="CO33" s="23"/>
      <c r="CP33" s="23"/>
      <c r="CQ33" s="23"/>
      <c r="CR33" s="23"/>
      <c r="CS33" s="23"/>
      <c r="CT33" s="23"/>
      <c r="CU33" s="23"/>
      <c r="CV33" s="23"/>
      <c r="CW33" s="23"/>
      <c r="CX33" s="23"/>
      <c r="CY33" s="23"/>
      <c r="CZ33" s="23"/>
      <c r="DA33" s="23"/>
      <c r="DB33" s="23"/>
      <c r="DC33" s="23"/>
      <c r="DD33" s="23"/>
      <c r="DE33" s="23"/>
      <c r="DF33" s="23"/>
      <c r="DG33" s="23"/>
      <c r="DH33" s="23"/>
      <c r="DI33" s="23"/>
      <c r="DJ33" s="23"/>
      <c r="DK33" s="23"/>
      <c r="DL33" s="23"/>
      <c r="DM33" s="23"/>
      <c r="DN33" s="23"/>
      <c r="DO33" s="23"/>
      <c r="DP33" s="23"/>
      <c r="DQ33" s="23"/>
      <c r="DR33" s="23"/>
      <c r="DS33" s="23"/>
      <c r="DT33" s="23"/>
      <c r="DU33" s="23"/>
      <c r="DV33" s="23"/>
      <c r="DW33" s="23"/>
      <c r="DX33" s="23"/>
      <c r="DY33" s="23"/>
      <c r="DZ33" s="23"/>
      <c r="EA33" s="23"/>
      <c r="EB33" s="23"/>
      <c r="EC33" s="23"/>
      <c r="ED33" s="23"/>
      <c r="EE33" s="23"/>
      <c r="EF33" s="23"/>
      <c r="EG33" s="23"/>
      <c r="EH33" s="23"/>
      <c r="EI33" s="23"/>
      <c r="EJ33" s="23"/>
      <c r="EK33" s="23"/>
      <c r="EL33" s="23"/>
      <c r="EM33" s="23"/>
      <c r="EN33" s="23"/>
      <c r="EO33" s="23"/>
      <c r="EP33" s="23"/>
      <c r="EQ33" s="23"/>
      <c r="ER33" s="23"/>
      <c r="ES33" s="23"/>
      <c r="ET33" s="23"/>
      <c r="EU33" s="23"/>
      <c r="EV33" s="23"/>
      <c r="EW33" s="23"/>
      <c r="EX33" s="23"/>
      <c r="EY33" s="23"/>
      <c r="EZ33" s="23"/>
      <c r="FA33" s="23"/>
      <c r="FB33" s="23"/>
      <c r="FC33" s="23"/>
      <c r="FD33" s="23"/>
      <c r="FE33" s="23"/>
      <c r="FF33" s="23"/>
      <c r="FG33" s="23"/>
      <c r="FH33" s="23"/>
      <c r="FI33" s="23"/>
      <c r="FJ33" s="23"/>
      <c r="FK33" s="23"/>
      <c r="FL33" s="23"/>
      <c r="FM33" s="23"/>
      <c r="FN33" s="23"/>
      <c r="FO33" s="23"/>
      <c r="FP33" s="23"/>
      <c r="FQ33" s="23"/>
      <c r="FR33" s="23"/>
      <c r="FS33" s="23"/>
      <c r="FT33" s="23"/>
      <c r="FU33" s="23"/>
      <c r="FV33" s="23"/>
      <c r="FW33" s="23"/>
      <c r="FX33" s="23"/>
      <c r="FY33" s="23"/>
      <c r="FZ33" s="23"/>
      <c r="GA33" s="23"/>
      <c r="GB33" s="23"/>
      <c r="GC33" s="23"/>
      <c r="GD33" s="23"/>
      <c r="GE33" s="23"/>
      <c r="GF33" s="23"/>
      <c r="GG33" s="23"/>
      <c r="GH33" s="23"/>
      <c r="GI33" s="23"/>
      <c r="GJ33" s="23"/>
      <c r="GK33" s="23"/>
      <c r="GL33" s="23"/>
      <c r="GM33" s="23"/>
      <c r="GN33" s="23"/>
      <c r="GO33" s="23"/>
      <c r="GP33" s="23"/>
      <c r="GQ33" s="23"/>
      <c r="GR33" s="23"/>
      <c r="GS33" s="23"/>
      <c r="GT33" s="23"/>
      <c r="GU33" s="23"/>
      <c r="GV33" s="23"/>
      <c r="GW33" s="23"/>
      <c r="GX33" s="23"/>
      <c r="GY33" s="23"/>
      <c r="GZ33" s="23"/>
      <c r="HA33" s="23"/>
      <c r="HB33" s="23"/>
      <c r="HC33" s="23"/>
      <c r="HD33" s="23"/>
      <c r="HE33" s="23"/>
      <c r="HF33" s="23"/>
      <c r="HG33" s="23"/>
      <c r="HH33" s="23"/>
      <c r="HI33" s="23"/>
      <c r="HJ33" s="23"/>
      <c r="HK33" s="23"/>
      <c r="HL33" s="23"/>
      <c r="HM33" s="23"/>
      <c r="HN33" s="23"/>
      <c r="HO33" s="23"/>
      <c r="HP33" s="23"/>
      <c r="HQ33" s="23"/>
      <c r="HR33" s="23"/>
      <c r="HS33" s="23"/>
      <c r="HT33" s="23"/>
      <c r="HU33" s="23"/>
      <c r="HV33" s="23"/>
      <c r="HW33" s="23"/>
      <c r="HX33" s="23"/>
      <c r="HY33" s="23"/>
      <c r="HZ33" s="23"/>
      <c r="IA33" s="23"/>
      <c r="IB33" s="23"/>
      <c r="IC33" s="23"/>
      <c r="ID33" s="23"/>
      <c r="IE33" s="23"/>
      <c r="IF33" s="23"/>
      <c r="IG33" s="23"/>
      <c r="IH33" s="23"/>
      <c r="II33" s="23"/>
      <c r="IJ33" s="23"/>
      <c r="IK33" s="23"/>
      <c r="IL33" s="23"/>
      <c r="IM33" s="23"/>
      <c r="IN33" s="23"/>
      <c r="IO33" s="23"/>
      <c r="IP33" s="23"/>
      <c r="IQ33" s="23"/>
      <c r="IR33" s="23"/>
      <c r="IS33" s="23"/>
      <c r="IT33" s="23"/>
      <c r="IU33" s="23"/>
      <c r="IV33" s="23"/>
      <c r="IW33" s="23"/>
      <c r="IX33" s="23"/>
      <c r="IY33" s="23"/>
      <c r="IZ33" s="23"/>
      <c r="JA33" s="23"/>
      <c r="JB33" s="23"/>
      <c r="JC33" s="23"/>
      <c r="JD33" s="23"/>
      <c r="JE33" s="23"/>
      <c r="JF33" s="23"/>
      <c r="JG33" s="23"/>
      <c r="JH33" s="23"/>
      <c r="JI33" s="23"/>
      <c r="JJ33" s="23"/>
      <c r="JK33" s="23"/>
      <c r="JL33" s="23"/>
      <c r="JM33" s="23"/>
      <c r="JN33" s="23"/>
      <c r="JO33" s="23"/>
      <c r="JP33" s="23"/>
      <c r="JQ33" s="23"/>
      <c r="JR33" s="23"/>
      <c r="JS33" s="23"/>
      <c r="JT33" s="23"/>
      <c r="JU33" s="23"/>
      <c r="JV33" s="23"/>
      <c r="JW33" s="23"/>
      <c r="JX33" s="23"/>
      <c r="JY33" s="23"/>
      <c r="JZ33" s="23"/>
      <c r="KA33" s="23"/>
      <c r="KB33" s="23"/>
      <c r="KC33" s="23"/>
      <c r="KD33" s="23"/>
      <c r="KE33" s="23"/>
      <c r="KF33" s="23"/>
      <c r="KG33" s="23"/>
      <c r="KH33" s="23"/>
      <c r="KI33" s="23"/>
      <c r="KJ33" s="23"/>
      <c r="KK33" s="23"/>
      <c r="KL33" s="23"/>
      <c r="KM33" s="23"/>
      <c r="KN33" s="23"/>
      <c r="KO33" s="23"/>
      <c r="KP33" s="23"/>
      <c r="KQ33" s="23"/>
      <c r="KR33" s="23"/>
      <c r="KS33" s="23"/>
      <c r="KT33" s="23"/>
      <c r="KU33" s="23"/>
      <c r="KV33" s="23"/>
      <c r="KW33" s="23"/>
      <c r="KX33" s="23"/>
      <c r="KY33" s="23"/>
      <c r="KZ33" s="23"/>
      <c r="LA33" s="23"/>
      <c r="LB33" s="23"/>
      <c r="LC33" s="23"/>
      <c r="LD33" s="23"/>
      <c r="LE33" s="23"/>
      <c r="LF33" s="23"/>
      <c r="LG33" s="23"/>
      <c r="LH33" s="23"/>
      <c r="LI33" s="23"/>
      <c r="LJ33" s="23"/>
      <c r="LK33" s="23"/>
      <c r="LL33" s="23"/>
      <c r="LM33" s="23"/>
      <c r="LN33" s="23"/>
      <c r="LO33" s="23"/>
      <c r="LP33" s="23"/>
      <c r="LQ33" s="23"/>
      <c r="LR33" s="23"/>
      <c r="LS33" s="23"/>
      <c r="LT33" s="23"/>
      <c r="LU33" s="23"/>
      <c r="LV33" s="23"/>
      <c r="LW33" s="23"/>
      <c r="LX33" s="23"/>
      <c r="LY33" s="23"/>
      <c r="LZ33" s="23"/>
      <c r="MA33" s="23"/>
      <c r="MB33" s="23"/>
      <c r="MC33" s="23"/>
      <c r="MD33" s="23"/>
      <c r="ME33" s="23"/>
      <c r="MF33" s="23"/>
      <c r="MG33" s="23"/>
      <c r="MH33" s="23"/>
      <c r="MI33" s="23"/>
      <c r="MJ33" s="23"/>
      <c r="MK33" s="23"/>
      <c r="ML33" s="23"/>
      <c r="MM33" s="23"/>
      <c r="MN33" s="23"/>
      <c r="MO33" s="23"/>
      <c r="MP33" s="23"/>
      <c r="MQ33" s="23"/>
      <c r="MR33" s="23"/>
      <c r="MS33" s="23"/>
      <c r="MT33" s="23"/>
      <c r="MU33" s="23"/>
      <c r="MV33" s="23"/>
      <c r="MW33" s="23"/>
      <c r="MX33" s="23"/>
      <c r="MY33" s="23"/>
      <c r="MZ33" s="23"/>
      <c r="NA33" s="23"/>
      <c r="NB33" s="23"/>
      <c r="NC33" s="23"/>
      <c r="ND33" s="23"/>
      <c r="NE33" s="23"/>
      <c r="NF33" s="23"/>
      <c r="NG33" s="23"/>
      <c r="NH33" s="23"/>
      <c r="NI33" s="23"/>
      <c r="NJ33" s="23"/>
      <c r="NK33" s="23"/>
      <c r="NL33" s="23"/>
      <c r="NM33" s="23"/>
      <c r="NN33" s="23"/>
      <c r="NO33" s="23"/>
      <c r="NP33" s="23"/>
      <c r="NQ33" s="23"/>
      <c r="NR33" s="23"/>
      <c r="NS33" s="23"/>
      <c r="NT33" s="23"/>
      <c r="NU33" s="23"/>
      <c r="NV33" s="23"/>
      <c r="NW33" s="23"/>
      <c r="NX33" s="23"/>
      <c r="NY33" s="23"/>
      <c r="NZ33" s="23"/>
      <c r="OA33" s="23"/>
      <c r="OB33" s="23"/>
      <c r="OC33" s="23"/>
      <c r="OD33" s="23"/>
      <c r="OE33" s="23"/>
      <c r="OF33" s="23"/>
      <c r="OG33" s="23"/>
      <c r="OH33" s="23"/>
      <c r="OI33" s="23"/>
      <c r="OJ33" s="23"/>
      <c r="OK33" s="23"/>
      <c r="OL33" s="23"/>
      <c r="OM33" s="23"/>
      <c r="ON33" s="23"/>
      <c r="OO33" s="23"/>
      <c r="OP33" s="23"/>
      <c r="OQ33" s="23"/>
      <c r="OR33" s="23"/>
      <c r="OS33" s="23"/>
      <c r="OT33" s="23"/>
      <c r="OU33" s="23"/>
      <c r="OV33" s="23"/>
      <c r="OW33" s="23"/>
      <c r="OX33" s="23"/>
      <c r="OY33" s="23"/>
      <c r="OZ33" s="23"/>
      <c r="PA33" s="23"/>
      <c r="PB33" s="23"/>
      <c r="PC33" s="23"/>
      <c r="PD33" s="23"/>
      <c r="PE33" s="23"/>
      <c r="PF33" s="23"/>
      <c r="PG33" s="23"/>
      <c r="PH33" s="23"/>
      <c r="PI33" s="23"/>
      <c r="PJ33" s="23"/>
      <c r="PK33" s="23"/>
      <c r="PL33" s="23"/>
      <c r="PM33" s="23"/>
      <c r="PN33" s="23"/>
      <c r="PO33" s="23"/>
      <c r="PP33" s="23"/>
      <c r="PQ33" s="23"/>
      <c r="PR33" s="23"/>
      <c r="PS33" s="23"/>
      <c r="PT33" s="23"/>
      <c r="PU33" s="23"/>
      <c r="PV33" s="23"/>
      <c r="PW33" s="23"/>
      <c r="PX33" s="23"/>
      <c r="PY33" s="23"/>
      <c r="PZ33" s="23"/>
      <c r="QA33" s="23"/>
      <c r="QB33" s="23"/>
      <c r="QC33" s="23"/>
      <c r="QD33" s="23"/>
      <c r="QE33" s="23"/>
      <c r="QF33" s="23"/>
      <c r="QG33" s="23"/>
      <c r="QH33" s="23"/>
      <c r="QI33" s="23"/>
      <c r="QJ33" s="23"/>
      <c r="QK33" s="23"/>
      <c r="QL33" s="23"/>
      <c r="QM33" s="23"/>
      <c r="QN33" s="23"/>
      <c r="QO33" s="23"/>
      <c r="QP33" s="23"/>
      <c r="QQ33" s="23"/>
      <c r="QR33" s="23"/>
      <c r="QS33" s="23"/>
      <c r="QT33" s="23"/>
      <c r="QU33" s="23"/>
      <c r="QV33" s="23"/>
      <c r="QW33" s="23"/>
      <c r="QX33" s="23"/>
      <c r="QY33" s="23"/>
      <c r="QZ33" s="23"/>
      <c r="RA33" s="23"/>
      <c r="RB33" s="23"/>
      <c r="RC33" s="23"/>
      <c r="RD33" s="23"/>
      <c r="RE33" s="23"/>
      <c r="RF33" s="23"/>
      <c r="RG33" s="23"/>
      <c r="RH33" s="23"/>
      <c r="RI33" s="23"/>
      <c r="RJ33" s="23"/>
      <c r="RK33" s="23"/>
      <c r="RL33" s="23"/>
      <c r="RM33" s="23"/>
      <c r="RN33" s="23"/>
      <c r="RO33" s="23"/>
      <c r="RP33" s="23"/>
      <c r="RQ33" s="23"/>
      <c r="RR33" s="23"/>
      <c r="RS33" s="23"/>
      <c r="RT33" s="23"/>
      <c r="RU33" s="23"/>
      <c r="RV33" s="23"/>
      <c r="RW33" s="23"/>
      <c r="RX33" s="23"/>
      <c r="RY33" s="23"/>
      <c r="RZ33" s="23"/>
      <c r="SA33" s="23"/>
      <c r="SB33" s="23"/>
      <c r="SC33" s="23"/>
      <c r="SD33" s="23"/>
      <c r="SE33" s="23"/>
      <c r="SF33" s="23"/>
      <c r="SG33" s="23"/>
      <c r="SH33" s="23"/>
      <c r="SI33" s="23"/>
      <c r="SJ33" s="23"/>
      <c r="SK33" s="23"/>
      <c r="SL33" s="23"/>
      <c r="SM33" s="23"/>
      <c r="SN33" s="23"/>
      <c r="SO33" s="23"/>
      <c r="SP33" s="23"/>
      <c r="SQ33" s="23"/>
      <c r="SR33" s="23"/>
      <c r="SS33" s="23"/>
      <c r="ST33" s="23"/>
      <c r="SU33" s="23"/>
      <c r="SV33" s="23"/>
      <c r="SW33" s="23"/>
      <c r="SX33" s="23"/>
      <c r="SY33" s="23"/>
      <c r="SZ33" s="23"/>
      <c r="TA33" s="23"/>
      <c r="TB33" s="23"/>
      <c r="TC33" s="23"/>
      <c r="TD33" s="23"/>
      <c r="TE33" s="23"/>
      <c r="TF33" s="23"/>
      <c r="TG33" s="23"/>
      <c r="TH33" s="23"/>
      <c r="TI33" s="23"/>
      <c r="TJ33" s="23"/>
      <c r="TK33" s="23"/>
      <c r="TL33" s="23"/>
      <c r="TM33" s="23"/>
      <c r="TN33" s="23"/>
      <c r="TO33" s="23"/>
      <c r="TP33" s="23"/>
      <c r="TQ33" s="23"/>
      <c r="TR33" s="23"/>
      <c r="TS33" s="23"/>
      <c r="TT33" s="23"/>
      <c r="TU33" s="23"/>
      <c r="TV33" s="23"/>
      <c r="TW33" s="23"/>
      <c r="TX33" s="23"/>
      <c r="TY33" s="23"/>
      <c r="TZ33" s="23"/>
      <c r="UA33" s="23"/>
      <c r="UB33" s="23"/>
      <c r="UC33" s="23"/>
      <c r="UD33" s="23"/>
      <c r="UE33" s="23"/>
      <c r="UF33" s="23"/>
      <c r="UG33" s="23"/>
      <c r="UH33" s="23"/>
      <c r="UI33" s="23"/>
      <c r="UJ33" s="23"/>
      <c r="UK33" s="23"/>
      <c r="UL33" s="23"/>
      <c r="UM33" s="23"/>
      <c r="UN33" s="23"/>
      <c r="UO33" s="23"/>
      <c r="UP33" s="23"/>
      <c r="UQ33" s="23"/>
      <c r="UR33" s="23"/>
      <c r="US33" s="23"/>
      <c r="UT33" s="23"/>
      <c r="UU33" s="23"/>
      <c r="UV33" s="23"/>
      <c r="UW33" s="23"/>
      <c r="UX33" s="23"/>
      <c r="UY33" s="23"/>
      <c r="UZ33" s="23"/>
      <c r="VA33" s="23"/>
      <c r="VB33" s="23"/>
      <c r="VC33" s="23"/>
      <c r="VD33" s="23"/>
      <c r="VE33" s="23"/>
      <c r="VF33" s="23"/>
      <c r="VG33" s="23"/>
      <c r="VH33" s="23"/>
      <c r="VI33" s="23"/>
      <c r="VJ33" s="23"/>
      <c r="VK33" s="23"/>
      <c r="VL33" s="23"/>
      <c r="VM33" s="23"/>
      <c r="VN33" s="23"/>
      <c r="VO33" s="23"/>
      <c r="VP33" s="23"/>
      <c r="VQ33" s="23"/>
      <c r="VR33" s="23"/>
      <c r="VS33" s="23"/>
      <c r="VT33" s="23"/>
      <c r="VU33" s="23"/>
      <c r="VV33" s="23"/>
      <c r="VW33" s="23"/>
      <c r="VX33" s="23"/>
      <c r="VY33" s="23"/>
      <c r="VZ33" s="23"/>
      <c r="WA33" s="23"/>
      <c r="WB33" s="23"/>
      <c r="WC33" s="23"/>
      <c r="WD33" s="23"/>
      <c r="WE33" s="23"/>
      <c r="WF33" s="23"/>
      <c r="WG33" s="23"/>
      <c r="WH33" s="23"/>
      <c r="WI33" s="23"/>
      <c r="WJ33" s="23"/>
      <c r="WK33" s="23"/>
      <c r="WL33" s="23"/>
      <c r="WM33" s="23"/>
      <c r="WN33" s="23"/>
      <c r="WO33" s="23"/>
      <c r="WP33" s="23"/>
      <c r="WQ33" s="23"/>
      <c r="WR33" s="23"/>
      <c r="WS33" s="23"/>
      <c r="WT33" s="23"/>
      <c r="WU33" s="23"/>
      <c r="WV33" s="23"/>
      <c r="WW33" s="23"/>
      <c r="WX33" s="23"/>
      <c r="WY33" s="23"/>
      <c r="WZ33" s="23"/>
      <c r="XA33" s="23"/>
      <c r="XB33" s="23"/>
      <c r="XC33" s="23"/>
      <c r="XD33" s="23"/>
      <c r="XE33" s="23"/>
      <c r="XF33" s="23"/>
      <c r="XG33" s="23"/>
      <c r="XH33" s="23"/>
      <c r="XI33" s="23"/>
      <c r="XJ33" s="23"/>
      <c r="XK33" s="23"/>
      <c r="XL33" s="23"/>
      <c r="XM33" s="23"/>
      <c r="XN33" s="23"/>
      <c r="XO33" s="23"/>
      <c r="XP33" s="23"/>
      <c r="XQ33" s="23"/>
      <c r="XR33" s="23"/>
      <c r="XS33" s="23"/>
      <c r="XT33" s="23"/>
      <c r="XU33" s="23"/>
      <c r="XV33" s="23"/>
      <c r="XW33" s="23"/>
      <c r="XX33" s="23"/>
      <c r="XY33" s="23"/>
      <c r="XZ33" s="23"/>
      <c r="YA33" s="23"/>
      <c r="YB33" s="23"/>
      <c r="YC33" s="23"/>
      <c r="YD33" s="23"/>
      <c r="YE33" s="23"/>
      <c r="YF33" s="23"/>
      <c r="YG33" s="23"/>
      <c r="YH33" s="23"/>
      <c r="YI33" s="23"/>
      <c r="YJ33" s="23"/>
      <c r="YK33" s="23"/>
      <c r="YL33" s="23"/>
      <c r="YM33" s="23"/>
      <c r="YN33" s="23"/>
      <c r="YO33" s="23"/>
      <c r="YP33" s="23"/>
      <c r="YQ33" s="23"/>
      <c r="YR33" s="23"/>
      <c r="YS33" s="23"/>
      <c r="YT33" s="23"/>
      <c r="YU33" s="23"/>
      <c r="YV33" s="23"/>
      <c r="YW33" s="23"/>
      <c r="YX33" s="23"/>
      <c r="YY33" s="23"/>
      <c r="YZ33" s="23"/>
      <c r="ZA33" s="23"/>
      <c r="ZB33" s="23"/>
      <c r="ZC33" s="23"/>
      <c r="ZD33" s="23"/>
      <c r="ZE33" s="52"/>
    </row>
    <row r="34" spans="1:681" s="50" customFormat="1" x14ac:dyDescent="0.25">
      <c r="A34" s="30">
        <v>4000</v>
      </c>
      <c r="B34" s="129" t="s">
        <v>44</v>
      </c>
      <c r="C34" s="103" t="s">
        <v>66</v>
      </c>
      <c r="D34" s="5" t="s">
        <v>65</v>
      </c>
      <c r="E34" s="103" t="s">
        <v>49</v>
      </c>
      <c r="F34" s="5" t="s">
        <v>48</v>
      </c>
      <c r="G34" s="56">
        <v>2</v>
      </c>
      <c r="H34" s="46" t="s">
        <v>42</v>
      </c>
      <c r="I34" s="47"/>
      <c r="J34" s="48">
        <f ca="1">OFFSET(MJ_Initialisation!D50,0,2)</f>
        <v>80</v>
      </c>
      <c r="K34" s="48">
        <f ca="1">OFFSET(MJ_Initialisation!E50,0,2)</f>
        <v>71</v>
      </c>
      <c r="L34" s="48">
        <f ca="1">OFFSET(MJ_Initialisation!F50,0,2)</f>
        <v>99</v>
      </c>
      <c r="M34" s="48">
        <f ca="1">OFFSET(MJ_Initialisation!G50,0,2)</f>
        <v>105</v>
      </c>
      <c r="N34" s="48">
        <f ca="1">OFFSET(MJ_Initialisation!H50,0,2)</f>
        <v>163</v>
      </c>
      <c r="O34" s="48">
        <f ca="1">OFFSET(MJ_Initialisation!I50,0,2)</f>
        <v>28</v>
      </c>
      <c r="P34" s="48">
        <f ca="1">OFFSET(MJ_Initialisation!J50,0,2)</f>
        <v>121</v>
      </c>
      <c r="Q34" s="48">
        <f ca="1">OFFSET(MJ_Initialisation!K50,0,2)</f>
        <v>199</v>
      </c>
      <c r="R34" s="48">
        <f ca="1">OFFSET(MJ_Initialisation!L50,0,2)</f>
        <v>115</v>
      </c>
      <c r="S34" s="48">
        <f ca="1">OFFSET(MJ_Initialisation!M50,0,2)</f>
        <v>168</v>
      </c>
      <c r="T34" s="48">
        <f ca="1">OFFSET(MJ_Initialisation!N50,0,2)</f>
        <v>168</v>
      </c>
      <c r="U34" s="48">
        <f ca="1">OFFSET(MJ_Initialisation!O50,0,2)</f>
        <v>132</v>
      </c>
      <c r="V34" s="48">
        <f ca="1">OFFSET(MJ_Initialisation!P50,0,2)</f>
        <v>160</v>
      </c>
      <c r="W34" s="48">
        <f ca="1">OFFSET(MJ_Initialisation!Q50,0,2)</f>
        <v>136</v>
      </c>
      <c r="X34" s="48">
        <f ca="1">OFFSET(MJ_Initialisation!R50,0,2)</f>
        <v>152</v>
      </c>
      <c r="Y34" s="48">
        <f ca="1">OFFSET(MJ_Initialisation!S50,0,2)</f>
        <v>56</v>
      </c>
      <c r="Z34" s="48">
        <f ca="1">OFFSET(MJ_Initialisation!T50,0,2)</f>
        <v>131</v>
      </c>
      <c r="AA34" s="48">
        <f ca="1">OFFSET(MJ_Initialisation!U50,0,2)</f>
        <v>115</v>
      </c>
      <c r="AB34" s="48">
        <f ca="1">OFFSET(MJ_Initialisation!V50,0,2)</f>
        <v>17</v>
      </c>
      <c r="AC34" s="48">
        <f ca="1">OFFSET(MJ_Initialisation!W50,0,2)</f>
        <v>56</v>
      </c>
      <c r="AD34" s="48">
        <f ca="1">OFFSET(MJ_Initialisation!X50,0,2)</f>
        <v>153</v>
      </c>
      <c r="AE34" s="48">
        <f ca="1">OFFSET(MJ_Initialisation!Y50,0,2)</f>
        <v>113</v>
      </c>
      <c r="AF34" s="48">
        <f ca="1">OFFSET(MJ_Initialisation!Z50,0,2)</f>
        <v>0</v>
      </c>
      <c r="AG34" s="48">
        <f ca="1">OFFSET(MJ_Initialisation!AA50,0,2)</f>
        <v>0</v>
      </c>
      <c r="AH34" s="241"/>
      <c r="AI34" s="241"/>
      <c r="AJ34" s="241"/>
      <c r="AK34" s="241"/>
      <c r="AL34" s="23"/>
      <c r="AM34" s="23"/>
      <c r="AN34" s="23"/>
      <c r="AO34" s="23"/>
      <c r="AP34" s="23"/>
      <c r="AQ34" s="23"/>
      <c r="AR34" s="23"/>
      <c r="AS34" s="23"/>
      <c r="AT34" s="23"/>
      <c r="AU34" s="23"/>
      <c r="AV34" s="23"/>
      <c r="AW34" s="23"/>
      <c r="AX34" s="23"/>
      <c r="AY34" s="23"/>
      <c r="AZ34" s="23"/>
      <c r="BA34" s="23"/>
      <c r="BB34" s="23"/>
      <c r="BC34" s="23"/>
      <c r="BD34" s="23"/>
      <c r="BE34" s="23"/>
      <c r="BF34" s="23"/>
      <c r="BG34" s="23"/>
      <c r="BH34" s="23"/>
      <c r="BI34" s="23"/>
      <c r="BJ34" s="23"/>
      <c r="BK34" s="23"/>
      <c r="BL34" s="23"/>
      <c r="BM34" s="23"/>
      <c r="BN34" s="23"/>
      <c r="BO34" s="23"/>
      <c r="BP34" s="23"/>
      <c r="BQ34" s="23"/>
      <c r="BR34" s="23"/>
      <c r="BS34" s="23"/>
      <c r="BT34" s="23"/>
      <c r="BU34" s="23"/>
      <c r="BV34" s="23"/>
      <c r="BW34" s="23"/>
      <c r="BX34" s="23"/>
      <c r="BY34" s="23"/>
      <c r="BZ34" s="23"/>
      <c r="CA34" s="23"/>
      <c r="CB34" s="23"/>
      <c r="CC34" s="23"/>
      <c r="CD34" s="23"/>
      <c r="CE34" s="23"/>
      <c r="CF34" s="23"/>
      <c r="CG34" s="23"/>
      <c r="CH34" s="23"/>
      <c r="CI34" s="23"/>
      <c r="CJ34" s="23"/>
      <c r="CK34" s="23"/>
      <c r="CL34" s="23"/>
      <c r="CM34" s="23"/>
      <c r="CN34" s="23"/>
      <c r="CO34" s="23"/>
      <c r="CP34" s="23"/>
      <c r="CQ34" s="23"/>
      <c r="CR34" s="23"/>
      <c r="CS34" s="23"/>
      <c r="CT34" s="23"/>
      <c r="CU34" s="23"/>
      <c r="CV34" s="23"/>
      <c r="CW34" s="23"/>
      <c r="CX34" s="23"/>
      <c r="CY34" s="23"/>
      <c r="CZ34" s="23"/>
      <c r="DA34" s="23"/>
      <c r="DB34" s="23"/>
      <c r="DC34" s="23"/>
      <c r="DD34" s="23"/>
      <c r="DE34" s="23"/>
      <c r="DF34" s="23"/>
      <c r="DG34" s="23"/>
      <c r="DH34" s="23"/>
      <c r="DI34" s="23"/>
      <c r="DJ34" s="23"/>
      <c r="DK34" s="23"/>
      <c r="DL34" s="23"/>
      <c r="DM34" s="23"/>
      <c r="DN34" s="23"/>
      <c r="DO34" s="23"/>
      <c r="DP34" s="23"/>
      <c r="DQ34" s="23"/>
      <c r="DR34" s="23"/>
      <c r="DS34" s="23"/>
      <c r="DT34" s="23"/>
      <c r="DU34" s="23"/>
      <c r="DV34" s="23"/>
      <c r="DW34" s="23"/>
      <c r="DX34" s="23"/>
      <c r="DY34" s="23"/>
      <c r="DZ34" s="23"/>
      <c r="EA34" s="23"/>
      <c r="EB34" s="23"/>
      <c r="EC34" s="23"/>
      <c r="ED34" s="23"/>
      <c r="EE34" s="23"/>
      <c r="EF34" s="23"/>
      <c r="EG34" s="23"/>
      <c r="EH34" s="23"/>
      <c r="EI34" s="23"/>
      <c r="EJ34" s="23"/>
      <c r="EK34" s="23"/>
      <c r="EL34" s="23"/>
      <c r="EM34" s="23"/>
      <c r="EN34" s="23"/>
      <c r="EO34" s="23"/>
      <c r="EP34" s="23"/>
      <c r="EQ34" s="23"/>
      <c r="ER34" s="23"/>
      <c r="ES34" s="23"/>
      <c r="ET34" s="23"/>
      <c r="EU34" s="23"/>
      <c r="EV34" s="23"/>
      <c r="EW34" s="23"/>
      <c r="EX34" s="23"/>
      <c r="EY34" s="23"/>
      <c r="EZ34" s="23"/>
      <c r="FA34" s="23"/>
      <c r="FB34" s="23"/>
      <c r="FC34" s="23"/>
      <c r="FD34" s="23"/>
      <c r="FE34" s="23"/>
      <c r="FF34" s="23"/>
      <c r="FG34" s="23"/>
      <c r="FH34" s="23"/>
      <c r="FI34" s="23"/>
      <c r="FJ34" s="23"/>
      <c r="FK34" s="23"/>
      <c r="FL34" s="23"/>
      <c r="FM34" s="23"/>
      <c r="FN34" s="23"/>
      <c r="FO34" s="23"/>
      <c r="FP34" s="23"/>
      <c r="FQ34" s="23"/>
      <c r="FR34" s="23"/>
      <c r="FS34" s="23"/>
      <c r="FT34" s="23"/>
      <c r="FU34" s="23"/>
      <c r="FV34" s="23"/>
      <c r="FW34" s="23"/>
      <c r="FX34" s="23"/>
      <c r="FY34" s="23"/>
      <c r="FZ34" s="23"/>
      <c r="GA34" s="23"/>
      <c r="GB34" s="23"/>
      <c r="GC34" s="23"/>
      <c r="GD34" s="23"/>
      <c r="GE34" s="23"/>
      <c r="GF34" s="23"/>
      <c r="GG34" s="23"/>
      <c r="GH34" s="23"/>
      <c r="GI34" s="23"/>
      <c r="GJ34" s="23"/>
      <c r="GK34" s="23"/>
      <c r="GL34" s="23"/>
      <c r="GM34" s="23"/>
      <c r="GN34" s="23"/>
      <c r="GO34" s="23"/>
      <c r="GP34" s="23"/>
      <c r="GQ34" s="23"/>
      <c r="GR34" s="23"/>
      <c r="GS34" s="23"/>
      <c r="GT34" s="23"/>
      <c r="GU34" s="23"/>
      <c r="GV34" s="23"/>
      <c r="GW34" s="23"/>
      <c r="GX34" s="23"/>
      <c r="GY34" s="23"/>
      <c r="GZ34" s="23"/>
      <c r="HA34" s="23"/>
      <c r="HB34" s="23"/>
      <c r="HC34" s="23"/>
      <c r="HD34" s="23"/>
      <c r="HE34" s="23"/>
      <c r="HF34" s="23"/>
      <c r="HG34" s="23"/>
      <c r="HH34" s="23"/>
      <c r="HI34" s="23"/>
      <c r="HJ34" s="23"/>
      <c r="HK34" s="23"/>
      <c r="HL34" s="23"/>
      <c r="HM34" s="23"/>
      <c r="HN34" s="23"/>
      <c r="HO34" s="23"/>
      <c r="HP34" s="23"/>
      <c r="HQ34" s="23"/>
      <c r="HR34" s="23"/>
      <c r="HS34" s="23"/>
      <c r="HT34" s="23"/>
      <c r="HU34" s="23"/>
      <c r="HV34" s="23"/>
      <c r="HW34" s="23"/>
      <c r="HX34" s="23"/>
      <c r="HY34" s="23"/>
      <c r="HZ34" s="23"/>
      <c r="IA34" s="23"/>
      <c r="IB34" s="23"/>
      <c r="IC34" s="23"/>
      <c r="ID34" s="23"/>
      <c r="IE34" s="23"/>
      <c r="IF34" s="23"/>
      <c r="IG34" s="23"/>
      <c r="IH34" s="23"/>
      <c r="II34" s="23"/>
      <c r="IJ34" s="23"/>
      <c r="IK34" s="23"/>
      <c r="IL34" s="23"/>
      <c r="IM34" s="23"/>
      <c r="IN34" s="23"/>
      <c r="IO34" s="23"/>
      <c r="IP34" s="23"/>
      <c r="IQ34" s="23"/>
      <c r="IR34" s="23"/>
      <c r="IS34" s="23"/>
      <c r="IT34" s="23"/>
      <c r="IU34" s="23"/>
      <c r="IV34" s="23"/>
      <c r="IW34" s="23"/>
      <c r="IX34" s="23"/>
      <c r="IY34" s="23"/>
      <c r="IZ34" s="23"/>
      <c r="JA34" s="23"/>
      <c r="JB34" s="23"/>
      <c r="JC34" s="23"/>
      <c r="JD34" s="23"/>
      <c r="JE34" s="23"/>
      <c r="JF34" s="23"/>
      <c r="JG34" s="23"/>
      <c r="JH34" s="23"/>
      <c r="JI34" s="23"/>
      <c r="JJ34" s="23"/>
      <c r="JK34" s="23"/>
      <c r="JL34" s="23"/>
      <c r="JM34" s="23"/>
      <c r="JN34" s="23"/>
      <c r="JO34" s="23"/>
      <c r="JP34" s="23"/>
      <c r="JQ34" s="23"/>
      <c r="JR34" s="23"/>
      <c r="JS34" s="23"/>
      <c r="JT34" s="23"/>
      <c r="JU34" s="23"/>
      <c r="JV34" s="23"/>
      <c r="JW34" s="23"/>
      <c r="JX34" s="23"/>
      <c r="JY34" s="23"/>
      <c r="JZ34" s="23"/>
      <c r="KA34" s="23"/>
      <c r="KB34" s="23"/>
      <c r="KC34" s="23"/>
      <c r="KD34" s="23"/>
      <c r="KE34" s="23"/>
      <c r="KF34" s="23"/>
      <c r="KG34" s="23"/>
      <c r="KH34" s="23"/>
      <c r="KI34" s="23"/>
      <c r="KJ34" s="23"/>
      <c r="KK34" s="23"/>
      <c r="KL34" s="23"/>
      <c r="KM34" s="23"/>
      <c r="KN34" s="23"/>
      <c r="KO34" s="23"/>
      <c r="KP34" s="23"/>
      <c r="KQ34" s="23"/>
      <c r="KR34" s="23"/>
      <c r="KS34" s="23"/>
      <c r="KT34" s="23"/>
      <c r="KU34" s="23"/>
      <c r="KV34" s="23"/>
      <c r="KW34" s="23"/>
      <c r="KX34" s="23"/>
      <c r="KY34" s="23"/>
      <c r="KZ34" s="23"/>
      <c r="LA34" s="23"/>
      <c r="LB34" s="23"/>
      <c r="LC34" s="23"/>
      <c r="LD34" s="23"/>
      <c r="LE34" s="23"/>
      <c r="LF34" s="23"/>
      <c r="LG34" s="23"/>
      <c r="LH34" s="23"/>
      <c r="LI34" s="23"/>
      <c r="LJ34" s="23"/>
      <c r="LK34" s="23"/>
      <c r="LL34" s="23"/>
      <c r="LM34" s="23"/>
      <c r="LN34" s="23"/>
      <c r="LO34" s="23"/>
      <c r="LP34" s="23"/>
      <c r="LQ34" s="23"/>
      <c r="LR34" s="23"/>
      <c r="LS34" s="23"/>
      <c r="LT34" s="23"/>
      <c r="LU34" s="23"/>
      <c r="LV34" s="23"/>
      <c r="LW34" s="23"/>
      <c r="LX34" s="23"/>
      <c r="LY34" s="23"/>
      <c r="LZ34" s="23"/>
      <c r="MA34" s="23"/>
      <c r="MB34" s="23"/>
      <c r="MC34" s="23"/>
      <c r="MD34" s="23"/>
      <c r="ME34" s="23"/>
      <c r="MF34" s="23"/>
      <c r="MG34" s="23"/>
      <c r="MH34" s="23"/>
      <c r="MI34" s="23"/>
      <c r="MJ34" s="23"/>
      <c r="MK34" s="23"/>
      <c r="ML34" s="23"/>
      <c r="MM34" s="23"/>
      <c r="MN34" s="23"/>
      <c r="MO34" s="23"/>
      <c r="MP34" s="23"/>
      <c r="MQ34" s="23"/>
      <c r="MR34" s="23"/>
      <c r="MS34" s="23"/>
      <c r="MT34" s="23"/>
      <c r="MU34" s="23"/>
      <c r="MV34" s="23"/>
      <c r="MW34" s="23"/>
      <c r="MX34" s="23"/>
      <c r="MY34" s="23"/>
      <c r="MZ34" s="23"/>
      <c r="NA34" s="23"/>
      <c r="NB34" s="23"/>
      <c r="NC34" s="23"/>
      <c r="ND34" s="23"/>
      <c r="NE34" s="23"/>
      <c r="NF34" s="23"/>
      <c r="NG34" s="23"/>
      <c r="NH34" s="23"/>
      <c r="NI34" s="23"/>
      <c r="NJ34" s="23"/>
      <c r="NK34" s="23"/>
      <c r="NL34" s="23"/>
      <c r="NM34" s="23"/>
      <c r="NN34" s="23"/>
      <c r="NO34" s="23"/>
      <c r="NP34" s="23"/>
      <c r="NQ34" s="23"/>
      <c r="NR34" s="23"/>
      <c r="NS34" s="23"/>
      <c r="NT34" s="23"/>
      <c r="NU34" s="23"/>
      <c r="NV34" s="23"/>
      <c r="NW34" s="23"/>
      <c r="NX34" s="23"/>
      <c r="NY34" s="23"/>
      <c r="NZ34" s="23"/>
      <c r="OA34" s="23"/>
      <c r="OB34" s="23"/>
      <c r="OC34" s="23"/>
      <c r="OD34" s="23"/>
      <c r="OE34" s="23"/>
      <c r="OF34" s="23"/>
      <c r="OG34" s="23"/>
      <c r="OH34" s="23"/>
      <c r="OI34" s="23"/>
      <c r="OJ34" s="23"/>
      <c r="OK34" s="23"/>
      <c r="OL34" s="23"/>
      <c r="OM34" s="23"/>
      <c r="ON34" s="23"/>
      <c r="OO34" s="23"/>
      <c r="OP34" s="23"/>
      <c r="OQ34" s="23"/>
      <c r="OR34" s="23"/>
      <c r="OS34" s="23"/>
      <c r="OT34" s="23"/>
      <c r="OU34" s="23"/>
      <c r="OV34" s="23"/>
      <c r="OW34" s="23"/>
      <c r="OX34" s="23"/>
      <c r="OY34" s="23"/>
      <c r="OZ34" s="23"/>
      <c r="PA34" s="23"/>
      <c r="PB34" s="23"/>
      <c r="PC34" s="23"/>
      <c r="PD34" s="23"/>
      <c r="PE34" s="23"/>
      <c r="PF34" s="23"/>
      <c r="PG34" s="23"/>
      <c r="PH34" s="23"/>
      <c r="PI34" s="23"/>
      <c r="PJ34" s="23"/>
      <c r="PK34" s="23"/>
      <c r="PL34" s="23"/>
      <c r="PM34" s="23"/>
      <c r="PN34" s="23"/>
      <c r="PO34" s="23"/>
      <c r="PP34" s="23"/>
      <c r="PQ34" s="23"/>
      <c r="PR34" s="23"/>
      <c r="PS34" s="23"/>
      <c r="PT34" s="23"/>
      <c r="PU34" s="23"/>
      <c r="PV34" s="23"/>
      <c r="PW34" s="23"/>
      <c r="PX34" s="23"/>
      <c r="PY34" s="23"/>
      <c r="PZ34" s="23"/>
      <c r="QA34" s="23"/>
      <c r="QB34" s="23"/>
      <c r="QC34" s="23"/>
      <c r="QD34" s="23"/>
      <c r="QE34" s="23"/>
      <c r="QF34" s="23"/>
      <c r="QG34" s="23"/>
      <c r="QH34" s="23"/>
      <c r="QI34" s="23"/>
      <c r="QJ34" s="23"/>
      <c r="QK34" s="23"/>
      <c r="QL34" s="23"/>
      <c r="QM34" s="23"/>
      <c r="QN34" s="23"/>
      <c r="QO34" s="23"/>
      <c r="QP34" s="23"/>
      <c r="QQ34" s="23"/>
      <c r="QR34" s="23"/>
      <c r="QS34" s="23"/>
      <c r="QT34" s="23"/>
      <c r="QU34" s="23"/>
      <c r="QV34" s="23"/>
      <c r="QW34" s="23"/>
      <c r="QX34" s="23"/>
      <c r="QY34" s="23"/>
      <c r="QZ34" s="23"/>
      <c r="RA34" s="23"/>
      <c r="RB34" s="23"/>
      <c r="RC34" s="23"/>
      <c r="RD34" s="23"/>
      <c r="RE34" s="23"/>
      <c r="RF34" s="23"/>
      <c r="RG34" s="23"/>
      <c r="RH34" s="23"/>
      <c r="RI34" s="23"/>
      <c r="RJ34" s="23"/>
      <c r="RK34" s="23"/>
      <c r="RL34" s="23"/>
      <c r="RM34" s="23"/>
      <c r="RN34" s="23"/>
      <c r="RO34" s="23"/>
      <c r="RP34" s="23"/>
      <c r="RQ34" s="23"/>
      <c r="RR34" s="23"/>
      <c r="RS34" s="23"/>
      <c r="RT34" s="23"/>
      <c r="RU34" s="23"/>
      <c r="RV34" s="23"/>
      <c r="RW34" s="23"/>
      <c r="RX34" s="23"/>
      <c r="RY34" s="23"/>
      <c r="RZ34" s="23"/>
      <c r="SA34" s="23"/>
      <c r="SB34" s="23"/>
      <c r="SC34" s="23"/>
      <c r="SD34" s="23"/>
      <c r="SE34" s="23"/>
      <c r="SF34" s="23"/>
      <c r="SG34" s="23"/>
      <c r="SH34" s="23"/>
      <c r="SI34" s="23"/>
      <c r="SJ34" s="23"/>
      <c r="SK34" s="23"/>
      <c r="SL34" s="23"/>
      <c r="SM34" s="23"/>
      <c r="SN34" s="23"/>
      <c r="SO34" s="23"/>
      <c r="SP34" s="23"/>
      <c r="SQ34" s="23"/>
      <c r="SR34" s="23"/>
      <c r="SS34" s="23"/>
      <c r="ST34" s="23"/>
      <c r="SU34" s="23"/>
      <c r="SV34" s="23"/>
      <c r="SW34" s="23"/>
      <c r="SX34" s="23"/>
      <c r="SY34" s="23"/>
      <c r="SZ34" s="23"/>
      <c r="TA34" s="23"/>
      <c r="TB34" s="23"/>
      <c r="TC34" s="23"/>
      <c r="TD34" s="23"/>
      <c r="TE34" s="23"/>
      <c r="TF34" s="23"/>
      <c r="TG34" s="23"/>
      <c r="TH34" s="23"/>
      <c r="TI34" s="23"/>
      <c r="TJ34" s="23"/>
      <c r="TK34" s="23"/>
      <c r="TL34" s="23"/>
      <c r="TM34" s="23"/>
      <c r="TN34" s="23"/>
      <c r="TO34" s="23"/>
      <c r="TP34" s="23"/>
      <c r="TQ34" s="23"/>
      <c r="TR34" s="23"/>
      <c r="TS34" s="23"/>
      <c r="TT34" s="23"/>
      <c r="TU34" s="23"/>
      <c r="TV34" s="23"/>
      <c r="TW34" s="23"/>
      <c r="TX34" s="23"/>
      <c r="TY34" s="23"/>
      <c r="TZ34" s="23"/>
      <c r="UA34" s="23"/>
      <c r="UB34" s="23"/>
      <c r="UC34" s="23"/>
      <c r="UD34" s="23"/>
      <c r="UE34" s="23"/>
      <c r="UF34" s="23"/>
      <c r="UG34" s="23"/>
      <c r="UH34" s="23"/>
      <c r="UI34" s="23"/>
      <c r="UJ34" s="23"/>
      <c r="UK34" s="23"/>
      <c r="UL34" s="23"/>
      <c r="UM34" s="23"/>
      <c r="UN34" s="23"/>
      <c r="UO34" s="23"/>
      <c r="UP34" s="23"/>
      <c r="UQ34" s="23"/>
      <c r="UR34" s="23"/>
      <c r="US34" s="23"/>
      <c r="UT34" s="23"/>
      <c r="UU34" s="23"/>
      <c r="UV34" s="23"/>
      <c r="UW34" s="23"/>
      <c r="UX34" s="23"/>
      <c r="UY34" s="23"/>
      <c r="UZ34" s="23"/>
      <c r="VA34" s="23"/>
      <c r="VB34" s="23"/>
      <c r="VC34" s="23"/>
      <c r="VD34" s="23"/>
      <c r="VE34" s="23"/>
      <c r="VF34" s="23"/>
      <c r="VG34" s="23"/>
      <c r="VH34" s="23"/>
      <c r="VI34" s="23"/>
      <c r="VJ34" s="23"/>
      <c r="VK34" s="23"/>
      <c r="VL34" s="23"/>
      <c r="VM34" s="23"/>
      <c r="VN34" s="23"/>
      <c r="VO34" s="23"/>
      <c r="VP34" s="23"/>
      <c r="VQ34" s="23"/>
      <c r="VR34" s="23"/>
      <c r="VS34" s="23"/>
      <c r="VT34" s="23"/>
      <c r="VU34" s="23"/>
      <c r="VV34" s="23"/>
      <c r="VW34" s="23"/>
      <c r="VX34" s="23"/>
      <c r="VY34" s="23"/>
      <c r="VZ34" s="23"/>
      <c r="WA34" s="23"/>
      <c r="WB34" s="23"/>
      <c r="WC34" s="23"/>
      <c r="WD34" s="23"/>
      <c r="WE34" s="23"/>
      <c r="WF34" s="23"/>
      <c r="WG34" s="23"/>
      <c r="WH34" s="23"/>
      <c r="WI34" s="23"/>
      <c r="WJ34" s="23"/>
      <c r="WK34" s="23"/>
      <c r="WL34" s="23"/>
      <c r="WM34" s="23"/>
      <c r="WN34" s="23"/>
      <c r="WO34" s="23"/>
      <c r="WP34" s="23"/>
      <c r="WQ34" s="23"/>
      <c r="WR34" s="23"/>
      <c r="WS34" s="23"/>
      <c r="WT34" s="23"/>
      <c r="WU34" s="23"/>
      <c r="WV34" s="23"/>
      <c r="WW34" s="23"/>
      <c r="WX34" s="23"/>
      <c r="WY34" s="23"/>
      <c r="WZ34" s="23"/>
      <c r="XA34" s="23"/>
      <c r="XB34" s="23"/>
      <c r="XC34" s="23"/>
      <c r="XD34" s="23"/>
      <c r="XE34" s="23"/>
      <c r="XF34" s="23"/>
      <c r="XG34" s="23"/>
      <c r="XH34" s="23"/>
      <c r="XI34" s="23"/>
      <c r="XJ34" s="23"/>
      <c r="XK34" s="23"/>
      <c r="XL34" s="23"/>
      <c r="XM34" s="23"/>
      <c r="XN34" s="23"/>
      <c r="XO34" s="23"/>
      <c r="XP34" s="23"/>
      <c r="XQ34" s="23"/>
      <c r="XR34" s="23"/>
      <c r="XS34" s="23"/>
      <c r="XT34" s="23"/>
      <c r="XU34" s="23"/>
      <c r="XV34" s="23"/>
      <c r="XW34" s="23"/>
      <c r="XX34" s="23"/>
      <c r="XY34" s="23"/>
      <c r="XZ34" s="23"/>
      <c r="YA34" s="23"/>
      <c r="YB34" s="23"/>
      <c r="YC34" s="23"/>
      <c r="YD34" s="23"/>
      <c r="YE34" s="23"/>
      <c r="YF34" s="23"/>
      <c r="YG34" s="23"/>
      <c r="YH34" s="23"/>
      <c r="YI34" s="23"/>
      <c r="YJ34" s="23"/>
      <c r="YK34" s="23"/>
      <c r="YL34" s="23"/>
      <c r="YM34" s="23"/>
      <c r="YN34" s="23"/>
      <c r="YO34" s="23"/>
      <c r="YP34" s="23"/>
      <c r="YQ34" s="23"/>
      <c r="YR34" s="23"/>
      <c r="YS34" s="23"/>
      <c r="YT34" s="23"/>
      <c r="YU34" s="23"/>
      <c r="YV34" s="23"/>
      <c r="YW34" s="23"/>
      <c r="YX34" s="23"/>
      <c r="YY34" s="23"/>
      <c r="YZ34" s="23"/>
      <c r="ZA34" s="23"/>
      <c r="ZB34" s="23"/>
      <c r="ZC34" s="23"/>
      <c r="ZD34" s="23"/>
      <c r="ZE34" s="53"/>
    </row>
    <row r="35" spans="1:681" s="50" customFormat="1" x14ac:dyDescent="0.25">
      <c r="A35" s="30">
        <v>4000</v>
      </c>
      <c r="B35" s="129" t="s">
        <v>44</v>
      </c>
      <c r="C35" s="103" t="s">
        <v>66</v>
      </c>
      <c r="D35" s="5" t="s">
        <v>65</v>
      </c>
      <c r="E35" s="103" t="s">
        <v>49</v>
      </c>
      <c r="F35" s="5" t="s">
        <v>48</v>
      </c>
      <c r="G35" s="56">
        <v>2</v>
      </c>
      <c r="H35" s="46" t="s">
        <v>43</v>
      </c>
      <c r="I35" s="47"/>
      <c r="J35" s="48">
        <f ca="1">OFFSET(MJ_Initialisation!D51,0,2)</f>
        <v>0</v>
      </c>
      <c r="K35" s="48">
        <f ca="1">OFFSET(MJ_Initialisation!E51,0,2)</f>
        <v>0</v>
      </c>
      <c r="L35" s="48">
        <f ca="1">OFFSET(MJ_Initialisation!F51,0,2)</f>
        <v>0</v>
      </c>
      <c r="M35" s="48">
        <f ca="1">OFFSET(MJ_Initialisation!G51,0,2)</f>
        <v>0</v>
      </c>
      <c r="N35" s="48">
        <f ca="1">OFFSET(MJ_Initialisation!H51,0,2)</f>
        <v>0</v>
      </c>
      <c r="O35" s="48">
        <f ca="1">OFFSET(MJ_Initialisation!I51,0,2)</f>
        <v>0</v>
      </c>
      <c r="P35" s="48">
        <f ca="1">OFFSET(MJ_Initialisation!J51,0,2)</f>
        <v>0</v>
      </c>
      <c r="Q35" s="48">
        <f ca="1">OFFSET(MJ_Initialisation!K51,0,2)</f>
        <v>0</v>
      </c>
      <c r="R35" s="48">
        <f ca="1">OFFSET(MJ_Initialisation!L51,0,2)</f>
        <v>0</v>
      </c>
      <c r="S35" s="48">
        <f ca="1">OFFSET(MJ_Initialisation!M51,0,2)</f>
        <v>0</v>
      </c>
      <c r="T35" s="48">
        <f ca="1">OFFSET(MJ_Initialisation!N51,0,2)</f>
        <v>0</v>
      </c>
      <c r="U35" s="48">
        <f ca="1">OFFSET(MJ_Initialisation!O51,0,2)</f>
        <v>0</v>
      </c>
      <c r="V35" s="48">
        <f ca="1">OFFSET(MJ_Initialisation!P51,0,2)</f>
        <v>0</v>
      </c>
      <c r="W35" s="48">
        <f ca="1">OFFSET(MJ_Initialisation!Q51,0,2)</f>
        <v>0</v>
      </c>
      <c r="X35" s="48">
        <f ca="1">OFFSET(MJ_Initialisation!R51,0,2)</f>
        <v>0</v>
      </c>
      <c r="Y35" s="48">
        <f ca="1">OFFSET(MJ_Initialisation!S51,0,2)</f>
        <v>0</v>
      </c>
      <c r="Z35" s="48">
        <f ca="1">OFFSET(MJ_Initialisation!T51,0,2)</f>
        <v>0</v>
      </c>
      <c r="AA35" s="48">
        <f ca="1">OFFSET(MJ_Initialisation!U51,0,2)</f>
        <v>0</v>
      </c>
      <c r="AB35" s="48">
        <f ca="1">OFFSET(MJ_Initialisation!V51,0,2)</f>
        <v>0</v>
      </c>
      <c r="AC35" s="48">
        <f ca="1">OFFSET(MJ_Initialisation!W51,0,2)</f>
        <v>0</v>
      </c>
      <c r="AD35" s="48">
        <f ca="1">OFFSET(MJ_Initialisation!X51,0,2)</f>
        <v>0</v>
      </c>
      <c r="AE35" s="48">
        <f ca="1">OFFSET(MJ_Initialisation!Y51,0,2)</f>
        <v>0</v>
      </c>
      <c r="AF35" s="48">
        <f ca="1">OFFSET(MJ_Initialisation!Z51,0,2)</f>
        <v>0</v>
      </c>
      <c r="AG35" s="48">
        <f ca="1">OFFSET(MJ_Initialisation!AA51,0,2)</f>
        <v>0</v>
      </c>
      <c r="AH35" s="241"/>
      <c r="AI35" s="241"/>
      <c r="AJ35" s="241"/>
      <c r="AK35" s="241"/>
      <c r="AL35" s="23"/>
      <c r="AM35" s="23"/>
      <c r="AN35" s="23"/>
      <c r="AO35" s="23"/>
      <c r="AP35" s="23"/>
      <c r="AQ35" s="23"/>
      <c r="AR35" s="23"/>
      <c r="AS35" s="23"/>
      <c r="AT35" s="23"/>
      <c r="AU35" s="23"/>
      <c r="AV35" s="23"/>
      <c r="AW35" s="23"/>
      <c r="AX35" s="23"/>
      <c r="AY35" s="23"/>
      <c r="AZ35" s="23"/>
      <c r="BA35" s="23"/>
      <c r="BB35" s="23"/>
      <c r="BC35" s="23"/>
      <c r="BD35" s="23"/>
      <c r="BE35" s="23"/>
      <c r="BF35" s="23"/>
      <c r="BG35" s="23"/>
      <c r="BH35" s="23"/>
      <c r="BI35" s="23"/>
      <c r="BJ35" s="23"/>
      <c r="BK35" s="23"/>
      <c r="BL35" s="23"/>
      <c r="BM35" s="23"/>
      <c r="BN35" s="23"/>
      <c r="BO35" s="23"/>
      <c r="BP35" s="23"/>
      <c r="BQ35" s="23"/>
      <c r="BR35" s="23"/>
      <c r="BS35" s="23"/>
      <c r="BT35" s="23"/>
      <c r="BU35" s="23"/>
      <c r="BV35" s="23"/>
      <c r="BW35" s="23"/>
      <c r="BX35" s="23"/>
      <c r="BY35" s="23"/>
      <c r="BZ35" s="23"/>
      <c r="CA35" s="23"/>
      <c r="CB35" s="23"/>
      <c r="CC35" s="23"/>
      <c r="CD35" s="23"/>
      <c r="CE35" s="23"/>
      <c r="CF35" s="23"/>
      <c r="CG35" s="23"/>
      <c r="CH35" s="23"/>
      <c r="CI35" s="23"/>
      <c r="CJ35" s="23"/>
      <c r="CK35" s="23"/>
      <c r="CL35" s="23"/>
      <c r="CM35" s="23"/>
      <c r="CN35" s="23"/>
      <c r="CO35" s="23"/>
      <c r="CP35" s="23"/>
      <c r="CQ35" s="23"/>
      <c r="CR35" s="23"/>
      <c r="CS35" s="23"/>
      <c r="CT35" s="23"/>
      <c r="CU35" s="23"/>
      <c r="CV35" s="23"/>
      <c r="CW35" s="23"/>
      <c r="CX35" s="23"/>
      <c r="CY35" s="23"/>
      <c r="CZ35" s="23"/>
      <c r="DA35" s="23"/>
      <c r="DB35" s="23"/>
      <c r="DC35" s="23"/>
      <c r="DD35" s="23"/>
      <c r="DE35" s="23"/>
      <c r="DF35" s="23"/>
      <c r="DG35" s="23"/>
      <c r="DH35" s="23"/>
      <c r="DI35" s="23"/>
      <c r="DJ35" s="23"/>
      <c r="DK35" s="23"/>
      <c r="DL35" s="23"/>
      <c r="DM35" s="23"/>
      <c r="DN35" s="23"/>
      <c r="DO35" s="23"/>
      <c r="DP35" s="23"/>
      <c r="DQ35" s="23"/>
      <c r="DR35" s="23"/>
      <c r="DS35" s="23"/>
      <c r="DT35" s="23"/>
      <c r="DU35" s="23"/>
      <c r="DV35" s="23"/>
      <c r="DW35" s="23"/>
      <c r="DX35" s="23"/>
      <c r="DY35" s="23"/>
      <c r="DZ35" s="23"/>
      <c r="EA35" s="23"/>
      <c r="EB35" s="23"/>
      <c r="EC35" s="23"/>
      <c r="ED35" s="23"/>
      <c r="EE35" s="23"/>
      <c r="EF35" s="23"/>
      <c r="EG35" s="23"/>
      <c r="EH35" s="23"/>
      <c r="EI35" s="23"/>
      <c r="EJ35" s="23"/>
      <c r="EK35" s="23"/>
      <c r="EL35" s="23"/>
      <c r="EM35" s="23"/>
      <c r="EN35" s="23"/>
      <c r="EO35" s="23"/>
      <c r="EP35" s="23"/>
      <c r="EQ35" s="23"/>
      <c r="ER35" s="23"/>
      <c r="ES35" s="23"/>
      <c r="ET35" s="23"/>
      <c r="EU35" s="23"/>
      <c r="EV35" s="23"/>
      <c r="EW35" s="23"/>
      <c r="EX35" s="23"/>
      <c r="EY35" s="23"/>
      <c r="EZ35" s="23"/>
      <c r="FA35" s="23"/>
      <c r="FB35" s="23"/>
      <c r="FC35" s="23"/>
      <c r="FD35" s="23"/>
      <c r="FE35" s="23"/>
      <c r="FF35" s="23"/>
      <c r="FG35" s="23"/>
      <c r="FH35" s="23"/>
      <c r="FI35" s="23"/>
      <c r="FJ35" s="23"/>
      <c r="FK35" s="23"/>
      <c r="FL35" s="23"/>
      <c r="FM35" s="23"/>
      <c r="FN35" s="23"/>
      <c r="FO35" s="23"/>
      <c r="FP35" s="23"/>
      <c r="FQ35" s="23"/>
      <c r="FR35" s="23"/>
      <c r="FS35" s="23"/>
      <c r="FT35" s="23"/>
      <c r="FU35" s="23"/>
      <c r="FV35" s="23"/>
      <c r="FW35" s="23"/>
      <c r="FX35" s="23"/>
      <c r="FY35" s="23"/>
      <c r="FZ35" s="23"/>
      <c r="GA35" s="23"/>
      <c r="GB35" s="23"/>
      <c r="GC35" s="23"/>
      <c r="GD35" s="23"/>
      <c r="GE35" s="23"/>
      <c r="GF35" s="23"/>
      <c r="GG35" s="23"/>
      <c r="GH35" s="23"/>
      <c r="GI35" s="23"/>
      <c r="GJ35" s="23"/>
      <c r="GK35" s="23"/>
      <c r="GL35" s="23"/>
      <c r="GM35" s="23"/>
      <c r="GN35" s="23"/>
      <c r="GO35" s="23"/>
      <c r="GP35" s="23"/>
      <c r="GQ35" s="23"/>
      <c r="GR35" s="23"/>
      <c r="GS35" s="23"/>
      <c r="GT35" s="23"/>
      <c r="GU35" s="23"/>
      <c r="GV35" s="23"/>
      <c r="GW35" s="23"/>
      <c r="GX35" s="23"/>
      <c r="GY35" s="23"/>
      <c r="GZ35" s="23"/>
      <c r="HA35" s="23"/>
      <c r="HB35" s="23"/>
      <c r="HC35" s="23"/>
      <c r="HD35" s="23"/>
      <c r="HE35" s="23"/>
      <c r="HF35" s="23"/>
      <c r="HG35" s="23"/>
      <c r="HH35" s="23"/>
      <c r="HI35" s="23"/>
      <c r="HJ35" s="23"/>
      <c r="HK35" s="23"/>
      <c r="HL35" s="23"/>
      <c r="HM35" s="23"/>
      <c r="HN35" s="23"/>
      <c r="HO35" s="23"/>
      <c r="HP35" s="23"/>
      <c r="HQ35" s="23"/>
      <c r="HR35" s="23"/>
      <c r="HS35" s="23"/>
      <c r="HT35" s="23"/>
      <c r="HU35" s="23"/>
      <c r="HV35" s="23"/>
      <c r="HW35" s="23"/>
      <c r="HX35" s="23"/>
      <c r="HY35" s="23"/>
      <c r="HZ35" s="23"/>
      <c r="IA35" s="23"/>
      <c r="IB35" s="23"/>
      <c r="IC35" s="23"/>
      <c r="ID35" s="23"/>
      <c r="IE35" s="23"/>
      <c r="IF35" s="23"/>
      <c r="IG35" s="23"/>
      <c r="IH35" s="23"/>
      <c r="II35" s="23"/>
      <c r="IJ35" s="23"/>
      <c r="IK35" s="23"/>
      <c r="IL35" s="23"/>
      <c r="IM35" s="23"/>
      <c r="IN35" s="23"/>
      <c r="IO35" s="23"/>
      <c r="IP35" s="23"/>
      <c r="IQ35" s="23"/>
      <c r="IR35" s="23"/>
      <c r="IS35" s="23"/>
      <c r="IT35" s="23"/>
      <c r="IU35" s="23"/>
      <c r="IV35" s="23"/>
      <c r="IW35" s="23"/>
      <c r="IX35" s="23"/>
      <c r="IY35" s="23"/>
      <c r="IZ35" s="23"/>
      <c r="JA35" s="23"/>
      <c r="JB35" s="23"/>
      <c r="JC35" s="23"/>
      <c r="JD35" s="23"/>
      <c r="JE35" s="23"/>
      <c r="JF35" s="23"/>
      <c r="JG35" s="23"/>
      <c r="JH35" s="23"/>
      <c r="JI35" s="23"/>
      <c r="JJ35" s="23"/>
      <c r="JK35" s="23"/>
      <c r="JL35" s="23"/>
      <c r="JM35" s="23"/>
      <c r="JN35" s="23"/>
      <c r="JO35" s="23"/>
      <c r="JP35" s="23"/>
      <c r="JQ35" s="23"/>
      <c r="JR35" s="23"/>
      <c r="JS35" s="23"/>
      <c r="JT35" s="23"/>
      <c r="JU35" s="23"/>
      <c r="JV35" s="23"/>
      <c r="JW35" s="23"/>
      <c r="JX35" s="23"/>
      <c r="JY35" s="23"/>
      <c r="JZ35" s="23"/>
      <c r="KA35" s="23"/>
      <c r="KB35" s="23"/>
      <c r="KC35" s="23"/>
      <c r="KD35" s="23"/>
      <c r="KE35" s="23"/>
      <c r="KF35" s="23"/>
      <c r="KG35" s="23"/>
      <c r="KH35" s="23"/>
      <c r="KI35" s="23"/>
      <c r="KJ35" s="23"/>
      <c r="KK35" s="23"/>
      <c r="KL35" s="23"/>
      <c r="KM35" s="23"/>
      <c r="KN35" s="23"/>
      <c r="KO35" s="23"/>
      <c r="KP35" s="23"/>
      <c r="KQ35" s="23"/>
      <c r="KR35" s="23"/>
      <c r="KS35" s="23"/>
      <c r="KT35" s="23"/>
      <c r="KU35" s="23"/>
      <c r="KV35" s="23"/>
      <c r="KW35" s="23"/>
      <c r="KX35" s="23"/>
      <c r="KY35" s="23"/>
      <c r="KZ35" s="23"/>
      <c r="LA35" s="23"/>
      <c r="LB35" s="23"/>
      <c r="LC35" s="23"/>
      <c r="LD35" s="23"/>
      <c r="LE35" s="23"/>
      <c r="LF35" s="23"/>
      <c r="LG35" s="23"/>
      <c r="LH35" s="23"/>
      <c r="LI35" s="23"/>
      <c r="LJ35" s="23"/>
      <c r="LK35" s="23"/>
      <c r="LL35" s="23"/>
      <c r="LM35" s="23"/>
      <c r="LN35" s="23"/>
      <c r="LO35" s="23"/>
      <c r="LP35" s="23"/>
      <c r="LQ35" s="23"/>
      <c r="LR35" s="23"/>
      <c r="LS35" s="23"/>
      <c r="LT35" s="23"/>
      <c r="LU35" s="23"/>
      <c r="LV35" s="23"/>
      <c r="LW35" s="23"/>
      <c r="LX35" s="23"/>
      <c r="LY35" s="23"/>
      <c r="LZ35" s="23"/>
      <c r="MA35" s="23"/>
      <c r="MB35" s="23"/>
      <c r="MC35" s="23"/>
      <c r="MD35" s="23"/>
      <c r="ME35" s="23"/>
      <c r="MF35" s="23"/>
      <c r="MG35" s="23"/>
      <c r="MH35" s="23"/>
      <c r="MI35" s="23"/>
      <c r="MJ35" s="23"/>
      <c r="MK35" s="23"/>
      <c r="ML35" s="23"/>
      <c r="MM35" s="23"/>
      <c r="MN35" s="23"/>
      <c r="MO35" s="23"/>
      <c r="MP35" s="23"/>
      <c r="MQ35" s="23"/>
      <c r="MR35" s="23"/>
      <c r="MS35" s="23"/>
      <c r="MT35" s="23"/>
      <c r="MU35" s="23"/>
      <c r="MV35" s="23"/>
      <c r="MW35" s="23"/>
      <c r="MX35" s="23"/>
      <c r="MY35" s="23"/>
      <c r="MZ35" s="23"/>
      <c r="NA35" s="23"/>
      <c r="NB35" s="23"/>
      <c r="NC35" s="23"/>
      <c r="ND35" s="23"/>
      <c r="NE35" s="23"/>
      <c r="NF35" s="23"/>
      <c r="NG35" s="23"/>
      <c r="NH35" s="23"/>
      <c r="NI35" s="23"/>
      <c r="NJ35" s="23"/>
      <c r="NK35" s="23"/>
      <c r="NL35" s="23"/>
      <c r="NM35" s="23"/>
      <c r="NN35" s="23"/>
      <c r="NO35" s="23"/>
      <c r="NP35" s="23"/>
      <c r="NQ35" s="23"/>
      <c r="NR35" s="23"/>
      <c r="NS35" s="23"/>
      <c r="NT35" s="23"/>
      <c r="NU35" s="23"/>
      <c r="NV35" s="23"/>
      <c r="NW35" s="23"/>
      <c r="NX35" s="23"/>
      <c r="NY35" s="23"/>
      <c r="NZ35" s="23"/>
      <c r="OA35" s="23"/>
      <c r="OB35" s="23"/>
      <c r="OC35" s="23"/>
      <c r="OD35" s="23"/>
      <c r="OE35" s="23"/>
      <c r="OF35" s="23"/>
      <c r="OG35" s="23"/>
      <c r="OH35" s="23"/>
      <c r="OI35" s="23"/>
      <c r="OJ35" s="23"/>
      <c r="OK35" s="23"/>
      <c r="OL35" s="23"/>
      <c r="OM35" s="23"/>
      <c r="ON35" s="23"/>
      <c r="OO35" s="23"/>
      <c r="OP35" s="23"/>
      <c r="OQ35" s="23"/>
      <c r="OR35" s="23"/>
      <c r="OS35" s="23"/>
      <c r="OT35" s="23"/>
      <c r="OU35" s="23"/>
      <c r="OV35" s="23"/>
      <c r="OW35" s="23"/>
      <c r="OX35" s="23"/>
      <c r="OY35" s="23"/>
      <c r="OZ35" s="23"/>
      <c r="PA35" s="23"/>
      <c r="PB35" s="23"/>
      <c r="PC35" s="23"/>
      <c r="PD35" s="23"/>
      <c r="PE35" s="23"/>
      <c r="PF35" s="23"/>
      <c r="PG35" s="23"/>
      <c r="PH35" s="23"/>
      <c r="PI35" s="23"/>
      <c r="PJ35" s="23"/>
      <c r="PK35" s="23"/>
      <c r="PL35" s="23"/>
      <c r="PM35" s="23"/>
      <c r="PN35" s="23"/>
      <c r="PO35" s="23"/>
      <c r="PP35" s="23"/>
      <c r="PQ35" s="23"/>
      <c r="PR35" s="23"/>
      <c r="PS35" s="23"/>
      <c r="PT35" s="23"/>
      <c r="PU35" s="23"/>
      <c r="PV35" s="23"/>
      <c r="PW35" s="23"/>
      <c r="PX35" s="23"/>
      <c r="PY35" s="23"/>
      <c r="PZ35" s="23"/>
      <c r="QA35" s="23"/>
      <c r="QB35" s="23"/>
      <c r="QC35" s="23"/>
      <c r="QD35" s="23"/>
      <c r="QE35" s="23"/>
      <c r="QF35" s="23"/>
      <c r="QG35" s="23"/>
      <c r="QH35" s="23"/>
      <c r="QI35" s="23"/>
      <c r="QJ35" s="23"/>
      <c r="QK35" s="23"/>
      <c r="QL35" s="23"/>
      <c r="QM35" s="23"/>
      <c r="QN35" s="23"/>
      <c r="QO35" s="23"/>
      <c r="QP35" s="23"/>
      <c r="QQ35" s="23"/>
      <c r="QR35" s="23"/>
      <c r="QS35" s="23"/>
      <c r="QT35" s="23"/>
      <c r="QU35" s="23"/>
      <c r="QV35" s="23"/>
      <c r="QW35" s="23"/>
      <c r="QX35" s="23"/>
      <c r="QY35" s="23"/>
      <c r="QZ35" s="23"/>
      <c r="RA35" s="23"/>
      <c r="RB35" s="23"/>
      <c r="RC35" s="23"/>
      <c r="RD35" s="23"/>
      <c r="RE35" s="23"/>
      <c r="RF35" s="23"/>
      <c r="RG35" s="23"/>
      <c r="RH35" s="23"/>
      <c r="RI35" s="23"/>
      <c r="RJ35" s="23"/>
      <c r="RK35" s="23"/>
      <c r="RL35" s="23"/>
      <c r="RM35" s="23"/>
      <c r="RN35" s="23"/>
      <c r="RO35" s="23"/>
      <c r="RP35" s="23"/>
      <c r="RQ35" s="23"/>
      <c r="RR35" s="23"/>
      <c r="RS35" s="23"/>
      <c r="RT35" s="23"/>
      <c r="RU35" s="23"/>
      <c r="RV35" s="23"/>
      <c r="RW35" s="23"/>
      <c r="RX35" s="23"/>
      <c r="RY35" s="23"/>
      <c r="RZ35" s="23"/>
      <c r="SA35" s="23"/>
      <c r="SB35" s="23"/>
      <c r="SC35" s="23"/>
      <c r="SD35" s="23"/>
      <c r="SE35" s="23"/>
      <c r="SF35" s="23"/>
      <c r="SG35" s="23"/>
      <c r="SH35" s="23"/>
      <c r="SI35" s="23"/>
      <c r="SJ35" s="23"/>
      <c r="SK35" s="23"/>
      <c r="SL35" s="23"/>
      <c r="SM35" s="23"/>
      <c r="SN35" s="23"/>
      <c r="SO35" s="23"/>
      <c r="SP35" s="23"/>
      <c r="SQ35" s="23"/>
      <c r="SR35" s="23"/>
      <c r="SS35" s="23"/>
      <c r="ST35" s="23"/>
      <c r="SU35" s="23"/>
      <c r="SV35" s="23"/>
      <c r="SW35" s="23"/>
      <c r="SX35" s="23"/>
      <c r="SY35" s="23"/>
      <c r="SZ35" s="23"/>
      <c r="TA35" s="23"/>
      <c r="TB35" s="23"/>
      <c r="TC35" s="23"/>
      <c r="TD35" s="23"/>
      <c r="TE35" s="23"/>
      <c r="TF35" s="23"/>
      <c r="TG35" s="23"/>
      <c r="TH35" s="23"/>
      <c r="TI35" s="23"/>
      <c r="TJ35" s="23"/>
      <c r="TK35" s="23"/>
      <c r="TL35" s="23"/>
      <c r="TM35" s="23"/>
      <c r="TN35" s="23"/>
      <c r="TO35" s="23"/>
      <c r="TP35" s="23"/>
      <c r="TQ35" s="23"/>
      <c r="TR35" s="23"/>
      <c r="TS35" s="23"/>
      <c r="TT35" s="23"/>
      <c r="TU35" s="23"/>
      <c r="TV35" s="23"/>
      <c r="TW35" s="23"/>
      <c r="TX35" s="23"/>
      <c r="TY35" s="23"/>
      <c r="TZ35" s="23"/>
      <c r="UA35" s="23"/>
      <c r="UB35" s="23"/>
      <c r="UC35" s="23"/>
      <c r="UD35" s="23"/>
      <c r="UE35" s="23"/>
      <c r="UF35" s="23"/>
      <c r="UG35" s="23"/>
      <c r="UH35" s="23"/>
      <c r="UI35" s="23"/>
      <c r="UJ35" s="23"/>
      <c r="UK35" s="23"/>
      <c r="UL35" s="23"/>
      <c r="UM35" s="23"/>
      <c r="UN35" s="23"/>
      <c r="UO35" s="23"/>
      <c r="UP35" s="23"/>
      <c r="UQ35" s="23"/>
      <c r="UR35" s="23"/>
      <c r="US35" s="23"/>
      <c r="UT35" s="23"/>
      <c r="UU35" s="23"/>
      <c r="UV35" s="23"/>
      <c r="UW35" s="23"/>
      <c r="UX35" s="23"/>
      <c r="UY35" s="23"/>
      <c r="UZ35" s="23"/>
      <c r="VA35" s="23"/>
      <c r="VB35" s="23"/>
      <c r="VC35" s="23"/>
      <c r="VD35" s="23"/>
      <c r="VE35" s="23"/>
      <c r="VF35" s="23"/>
      <c r="VG35" s="23"/>
      <c r="VH35" s="23"/>
      <c r="VI35" s="23"/>
      <c r="VJ35" s="23"/>
      <c r="VK35" s="23"/>
      <c r="VL35" s="23"/>
      <c r="VM35" s="23"/>
      <c r="VN35" s="23"/>
      <c r="VO35" s="23"/>
      <c r="VP35" s="23"/>
      <c r="VQ35" s="23"/>
      <c r="VR35" s="23"/>
      <c r="VS35" s="23"/>
      <c r="VT35" s="23"/>
      <c r="VU35" s="23"/>
      <c r="VV35" s="23"/>
      <c r="VW35" s="23"/>
      <c r="VX35" s="23"/>
      <c r="VY35" s="23"/>
      <c r="VZ35" s="23"/>
      <c r="WA35" s="23"/>
      <c r="WB35" s="23"/>
      <c r="WC35" s="23"/>
      <c r="WD35" s="23"/>
      <c r="WE35" s="23"/>
      <c r="WF35" s="23"/>
      <c r="WG35" s="23"/>
      <c r="WH35" s="23"/>
      <c r="WI35" s="23"/>
      <c r="WJ35" s="23"/>
      <c r="WK35" s="23"/>
      <c r="WL35" s="23"/>
      <c r="WM35" s="23"/>
      <c r="WN35" s="23"/>
      <c r="WO35" s="23"/>
      <c r="WP35" s="23"/>
      <c r="WQ35" s="23"/>
      <c r="WR35" s="23"/>
      <c r="WS35" s="23"/>
      <c r="WT35" s="23"/>
      <c r="WU35" s="23"/>
      <c r="WV35" s="23"/>
      <c r="WW35" s="23"/>
      <c r="WX35" s="23"/>
      <c r="WY35" s="23"/>
      <c r="WZ35" s="23"/>
      <c r="XA35" s="23"/>
      <c r="XB35" s="23"/>
      <c r="XC35" s="23"/>
      <c r="XD35" s="23"/>
      <c r="XE35" s="23"/>
      <c r="XF35" s="23"/>
      <c r="XG35" s="23"/>
      <c r="XH35" s="23"/>
      <c r="XI35" s="23"/>
      <c r="XJ35" s="23"/>
      <c r="XK35" s="23"/>
      <c r="XL35" s="23"/>
      <c r="XM35" s="23"/>
      <c r="XN35" s="23"/>
      <c r="XO35" s="23"/>
      <c r="XP35" s="23"/>
      <c r="XQ35" s="23"/>
      <c r="XR35" s="23"/>
      <c r="XS35" s="23"/>
      <c r="XT35" s="23"/>
      <c r="XU35" s="23"/>
      <c r="XV35" s="23"/>
      <c r="XW35" s="23"/>
      <c r="XX35" s="23"/>
      <c r="XY35" s="23"/>
      <c r="XZ35" s="23"/>
      <c r="YA35" s="23"/>
      <c r="YB35" s="23"/>
      <c r="YC35" s="23"/>
      <c r="YD35" s="23"/>
      <c r="YE35" s="23"/>
      <c r="YF35" s="23"/>
      <c r="YG35" s="23"/>
      <c r="YH35" s="23"/>
      <c r="YI35" s="23"/>
      <c r="YJ35" s="23"/>
      <c r="YK35" s="23"/>
      <c r="YL35" s="23"/>
      <c r="YM35" s="23"/>
      <c r="YN35" s="23"/>
      <c r="YO35" s="23"/>
      <c r="YP35" s="23"/>
      <c r="YQ35" s="23"/>
      <c r="YR35" s="23"/>
      <c r="YS35" s="23"/>
      <c r="YT35" s="23"/>
      <c r="YU35" s="23"/>
      <c r="YV35" s="23"/>
      <c r="YW35" s="23"/>
      <c r="YX35" s="23"/>
      <c r="YY35" s="23"/>
      <c r="YZ35" s="23"/>
      <c r="ZA35" s="23"/>
      <c r="ZB35" s="23"/>
      <c r="ZC35" s="23"/>
      <c r="ZD35" s="23"/>
      <c r="ZE35" s="53"/>
    </row>
    <row r="36" spans="1:681" s="50" customFormat="1" ht="15" customHeight="1" x14ac:dyDescent="0.25">
      <c r="A36" s="30">
        <v>4000</v>
      </c>
      <c r="B36" s="129" t="s">
        <v>44</v>
      </c>
      <c r="C36" s="103" t="s">
        <v>66</v>
      </c>
      <c r="D36" s="5" t="s">
        <v>65</v>
      </c>
      <c r="E36" s="103" t="s">
        <v>49</v>
      </c>
      <c r="F36" s="5" t="s">
        <v>48</v>
      </c>
      <c r="G36" s="56">
        <v>2</v>
      </c>
      <c r="H36" s="106" t="s">
        <v>47</v>
      </c>
      <c r="I36" s="47"/>
      <c r="J36" s="250">
        <f ca="1">J34</f>
        <v>80</v>
      </c>
      <c r="K36" s="250">
        <f ca="1">K34</f>
        <v>71</v>
      </c>
      <c r="L36" s="246">
        <f ca="1">ROUNDDOWN(IF(L$8&gt;L$5, MIN( ((L33+K38)/L$8)*L$5, MAX(L33+K38,L34)), MAX(L33+K38,L34)),0)</f>
        <v>99</v>
      </c>
      <c r="M36" s="246">
        <f t="shared" ref="M36:AG36" ca="1" si="55">ROUNDDOWN(IF(M$8&gt;M$5, MIN( ((M33+L38)/M$8)*M$5, MAX(M33+L38,M34)), MAX(M33+L38,M34)),0)</f>
        <v>105</v>
      </c>
      <c r="N36" s="246">
        <f t="shared" ca="1" si="55"/>
        <v>163</v>
      </c>
      <c r="O36" s="246">
        <f t="shared" ca="1" si="55"/>
        <v>28</v>
      </c>
      <c r="P36" s="246">
        <f t="shared" ca="1" si="55"/>
        <v>121</v>
      </c>
      <c r="Q36" s="246">
        <f t="shared" ca="1" si="55"/>
        <v>199</v>
      </c>
      <c r="R36" s="246">
        <f t="shared" ca="1" si="55"/>
        <v>115</v>
      </c>
      <c r="S36" s="246">
        <f t="shared" ca="1" si="55"/>
        <v>168</v>
      </c>
      <c r="T36" s="246">
        <f t="shared" ca="1" si="55"/>
        <v>168</v>
      </c>
      <c r="U36" s="246">
        <f t="shared" ca="1" si="55"/>
        <v>132</v>
      </c>
      <c r="V36" s="246">
        <f t="shared" ca="1" si="55"/>
        <v>160</v>
      </c>
      <c r="W36" s="246">
        <f t="shared" ca="1" si="55"/>
        <v>136</v>
      </c>
      <c r="X36" s="246">
        <f t="shared" ca="1" si="55"/>
        <v>152</v>
      </c>
      <c r="Y36" s="246">
        <f t="shared" ca="1" si="55"/>
        <v>56</v>
      </c>
      <c r="Z36" s="246">
        <f t="shared" ca="1" si="55"/>
        <v>131</v>
      </c>
      <c r="AA36" s="246">
        <f t="shared" ca="1" si="55"/>
        <v>115</v>
      </c>
      <c r="AB36" s="246">
        <f t="shared" ca="1" si="55"/>
        <v>17</v>
      </c>
      <c r="AC36" s="246">
        <f t="shared" ca="1" si="55"/>
        <v>56</v>
      </c>
      <c r="AD36" s="246">
        <f t="shared" ca="1" si="55"/>
        <v>153</v>
      </c>
      <c r="AE36" s="246">
        <f t="shared" ca="1" si="55"/>
        <v>113</v>
      </c>
      <c r="AF36" s="246">
        <f t="shared" ca="1" si="55"/>
        <v>0</v>
      </c>
      <c r="AG36" s="246">
        <f t="shared" ca="1" si="55"/>
        <v>0</v>
      </c>
      <c r="AH36" s="246"/>
      <c r="AI36" s="246"/>
      <c r="AJ36" s="246"/>
      <c r="AK36" s="246"/>
      <c r="AL36" s="23"/>
      <c r="AM36" s="23"/>
      <c r="AN36" s="23"/>
      <c r="AO36" s="23"/>
      <c r="AP36" s="23"/>
      <c r="AQ36" s="23"/>
      <c r="AR36" s="23"/>
      <c r="AS36" s="23"/>
      <c r="AT36" s="23"/>
      <c r="AU36" s="23"/>
      <c r="AV36" s="23"/>
      <c r="AW36" s="23"/>
      <c r="AX36" s="23"/>
      <c r="AY36" s="23"/>
      <c r="AZ36" s="23"/>
      <c r="BA36" s="23"/>
      <c r="BB36" s="23"/>
      <c r="BC36" s="23"/>
      <c r="BD36" s="23"/>
      <c r="BE36" s="23"/>
      <c r="BF36" s="23"/>
      <c r="BG36" s="23"/>
      <c r="BH36" s="23"/>
      <c r="BI36" s="23"/>
      <c r="BJ36" s="23"/>
      <c r="BK36" s="23"/>
      <c r="BL36" s="23"/>
      <c r="BM36" s="23"/>
      <c r="BN36" s="23"/>
      <c r="BO36" s="23"/>
      <c r="BP36" s="23"/>
      <c r="BQ36" s="23"/>
      <c r="BR36" s="23"/>
      <c r="BS36" s="23"/>
      <c r="BT36" s="23"/>
      <c r="BU36" s="23"/>
      <c r="BV36" s="23"/>
      <c r="BW36" s="23"/>
      <c r="BX36" s="23"/>
      <c r="BY36" s="23"/>
      <c r="BZ36" s="23"/>
      <c r="CA36" s="23"/>
      <c r="CB36" s="23"/>
      <c r="CC36" s="23"/>
      <c r="CD36" s="23"/>
      <c r="CE36" s="23"/>
      <c r="CF36" s="23"/>
      <c r="CG36" s="23"/>
      <c r="CH36" s="23"/>
      <c r="CI36" s="23"/>
      <c r="CJ36" s="23"/>
      <c r="CK36" s="23"/>
      <c r="CL36" s="23"/>
      <c r="CM36" s="23"/>
      <c r="CN36" s="23"/>
      <c r="CO36" s="23"/>
      <c r="CP36" s="23"/>
      <c r="CQ36" s="23"/>
      <c r="CR36" s="23"/>
      <c r="CS36" s="23"/>
      <c r="CT36" s="23"/>
      <c r="CU36" s="23"/>
      <c r="CV36" s="23"/>
      <c r="CW36" s="23"/>
      <c r="CX36" s="23"/>
      <c r="CY36" s="23"/>
      <c r="CZ36" s="23"/>
      <c r="DA36" s="23"/>
      <c r="DB36" s="23"/>
      <c r="DC36" s="23"/>
      <c r="DD36" s="23"/>
      <c r="DE36" s="23"/>
      <c r="DF36" s="23"/>
      <c r="DG36" s="23"/>
      <c r="DH36" s="23"/>
      <c r="DI36" s="23"/>
      <c r="DJ36" s="23"/>
      <c r="DK36" s="23"/>
      <c r="DL36" s="23"/>
      <c r="DM36" s="23"/>
      <c r="DN36" s="23"/>
      <c r="DO36" s="23"/>
      <c r="DP36" s="23"/>
      <c r="DQ36" s="23"/>
      <c r="DR36" s="23"/>
      <c r="DS36" s="23"/>
      <c r="DT36" s="23"/>
      <c r="DU36" s="23"/>
      <c r="DV36" s="23"/>
      <c r="DW36" s="23"/>
      <c r="DX36" s="23"/>
      <c r="DY36" s="23"/>
      <c r="DZ36" s="23"/>
      <c r="EA36" s="23"/>
      <c r="EB36" s="23"/>
      <c r="EC36" s="23"/>
      <c r="ED36" s="23"/>
      <c r="EE36" s="23"/>
      <c r="EF36" s="23"/>
      <c r="EG36" s="23"/>
      <c r="EH36" s="23"/>
      <c r="EI36" s="23"/>
      <c r="EJ36" s="23"/>
      <c r="EK36" s="23"/>
      <c r="EL36" s="23"/>
      <c r="EM36" s="23"/>
      <c r="EN36" s="23"/>
      <c r="EO36" s="23"/>
      <c r="EP36" s="23"/>
      <c r="EQ36" s="23"/>
      <c r="ER36" s="23"/>
      <c r="ES36" s="23"/>
      <c r="ET36" s="23"/>
      <c r="EU36" s="23"/>
      <c r="EV36" s="23"/>
      <c r="EW36" s="23"/>
      <c r="EX36" s="23"/>
      <c r="EY36" s="23"/>
      <c r="EZ36" s="23"/>
      <c r="FA36" s="23"/>
      <c r="FB36" s="23"/>
      <c r="FC36" s="23"/>
      <c r="FD36" s="23"/>
      <c r="FE36" s="23"/>
      <c r="FF36" s="23"/>
      <c r="FG36" s="23"/>
      <c r="FH36" s="23"/>
      <c r="FI36" s="23"/>
      <c r="FJ36" s="23"/>
      <c r="FK36" s="23"/>
      <c r="FL36" s="23"/>
      <c r="FM36" s="23"/>
      <c r="FN36" s="23"/>
      <c r="FO36" s="23"/>
      <c r="FP36" s="23"/>
      <c r="FQ36" s="23"/>
      <c r="FR36" s="23"/>
      <c r="FS36" s="23"/>
      <c r="FT36" s="23"/>
      <c r="FU36" s="23"/>
      <c r="FV36" s="23"/>
      <c r="FW36" s="23"/>
      <c r="FX36" s="23"/>
      <c r="FY36" s="23"/>
      <c r="FZ36" s="23"/>
      <c r="GA36" s="23"/>
      <c r="GB36" s="23"/>
      <c r="GC36" s="23"/>
      <c r="GD36" s="23"/>
      <c r="GE36" s="23"/>
      <c r="GF36" s="23"/>
      <c r="GG36" s="23"/>
      <c r="GH36" s="23"/>
      <c r="GI36" s="23"/>
      <c r="GJ36" s="23"/>
      <c r="GK36" s="23"/>
      <c r="GL36" s="23"/>
      <c r="GM36" s="23"/>
      <c r="GN36" s="23"/>
      <c r="GO36" s="23"/>
      <c r="GP36" s="23"/>
      <c r="GQ36" s="23"/>
      <c r="GR36" s="23"/>
      <c r="GS36" s="23"/>
      <c r="GT36" s="23"/>
      <c r="GU36" s="23"/>
      <c r="GV36" s="23"/>
      <c r="GW36" s="23"/>
      <c r="GX36" s="23"/>
      <c r="GY36" s="23"/>
      <c r="GZ36" s="23"/>
      <c r="HA36" s="23"/>
      <c r="HB36" s="23"/>
      <c r="HC36" s="23"/>
      <c r="HD36" s="23"/>
      <c r="HE36" s="23"/>
      <c r="HF36" s="23"/>
      <c r="HG36" s="23"/>
      <c r="HH36" s="23"/>
      <c r="HI36" s="23"/>
      <c r="HJ36" s="23"/>
      <c r="HK36" s="23"/>
      <c r="HL36" s="23"/>
      <c r="HM36" s="23"/>
      <c r="HN36" s="23"/>
      <c r="HO36" s="23"/>
      <c r="HP36" s="23"/>
      <c r="HQ36" s="23"/>
      <c r="HR36" s="23"/>
      <c r="HS36" s="23"/>
      <c r="HT36" s="23"/>
      <c r="HU36" s="23"/>
      <c r="HV36" s="23"/>
      <c r="HW36" s="23"/>
      <c r="HX36" s="23"/>
      <c r="HY36" s="23"/>
      <c r="HZ36" s="23"/>
      <c r="IA36" s="23"/>
      <c r="IB36" s="23"/>
      <c r="IC36" s="23"/>
      <c r="ID36" s="23"/>
      <c r="IE36" s="23"/>
      <c r="IF36" s="23"/>
      <c r="IG36" s="23"/>
      <c r="IH36" s="23"/>
      <c r="II36" s="23"/>
      <c r="IJ36" s="23"/>
      <c r="IK36" s="23"/>
      <c r="IL36" s="23"/>
      <c r="IM36" s="23"/>
      <c r="IN36" s="23"/>
      <c r="IO36" s="23"/>
      <c r="IP36" s="23"/>
      <c r="IQ36" s="23"/>
      <c r="IR36" s="23"/>
      <c r="IS36" s="23"/>
      <c r="IT36" s="23"/>
      <c r="IU36" s="23"/>
      <c r="IV36" s="23"/>
      <c r="IW36" s="23"/>
      <c r="IX36" s="23"/>
      <c r="IY36" s="23"/>
      <c r="IZ36" s="23"/>
      <c r="JA36" s="23"/>
      <c r="JB36" s="23"/>
      <c r="JC36" s="23"/>
      <c r="JD36" s="23"/>
      <c r="JE36" s="23"/>
      <c r="JF36" s="23"/>
      <c r="JG36" s="23"/>
      <c r="JH36" s="23"/>
      <c r="JI36" s="23"/>
      <c r="JJ36" s="23"/>
      <c r="JK36" s="23"/>
      <c r="JL36" s="23"/>
      <c r="JM36" s="23"/>
      <c r="JN36" s="23"/>
      <c r="JO36" s="23"/>
      <c r="JP36" s="23"/>
      <c r="JQ36" s="23"/>
      <c r="JR36" s="23"/>
      <c r="JS36" s="23"/>
      <c r="JT36" s="23"/>
      <c r="JU36" s="23"/>
      <c r="JV36" s="23"/>
      <c r="JW36" s="23"/>
      <c r="JX36" s="23"/>
      <c r="JY36" s="23"/>
      <c r="JZ36" s="23"/>
      <c r="KA36" s="23"/>
      <c r="KB36" s="23"/>
      <c r="KC36" s="23"/>
      <c r="KD36" s="23"/>
      <c r="KE36" s="23"/>
      <c r="KF36" s="23"/>
      <c r="KG36" s="23"/>
      <c r="KH36" s="23"/>
      <c r="KI36" s="23"/>
      <c r="KJ36" s="23"/>
      <c r="KK36" s="23"/>
      <c r="KL36" s="23"/>
      <c r="KM36" s="23"/>
      <c r="KN36" s="23"/>
      <c r="KO36" s="23"/>
      <c r="KP36" s="23"/>
      <c r="KQ36" s="23"/>
      <c r="KR36" s="23"/>
      <c r="KS36" s="23"/>
      <c r="KT36" s="23"/>
      <c r="KU36" s="23"/>
      <c r="KV36" s="23"/>
      <c r="KW36" s="23"/>
      <c r="KX36" s="23"/>
      <c r="KY36" s="23"/>
      <c r="KZ36" s="23"/>
      <c r="LA36" s="23"/>
      <c r="LB36" s="23"/>
      <c r="LC36" s="23"/>
      <c r="LD36" s="23"/>
      <c r="LE36" s="23"/>
      <c r="LF36" s="23"/>
      <c r="LG36" s="23"/>
      <c r="LH36" s="23"/>
      <c r="LI36" s="23"/>
      <c r="LJ36" s="23"/>
      <c r="LK36" s="23"/>
      <c r="LL36" s="23"/>
      <c r="LM36" s="23"/>
      <c r="LN36" s="23"/>
      <c r="LO36" s="23"/>
      <c r="LP36" s="23"/>
      <c r="LQ36" s="23"/>
      <c r="LR36" s="23"/>
      <c r="LS36" s="23"/>
      <c r="LT36" s="23"/>
      <c r="LU36" s="23"/>
      <c r="LV36" s="23"/>
      <c r="LW36" s="23"/>
      <c r="LX36" s="23"/>
      <c r="LY36" s="23"/>
      <c r="LZ36" s="23"/>
      <c r="MA36" s="23"/>
      <c r="MB36" s="23"/>
      <c r="MC36" s="23"/>
      <c r="MD36" s="23"/>
      <c r="ME36" s="23"/>
      <c r="MF36" s="23"/>
      <c r="MG36" s="23"/>
      <c r="MH36" s="23"/>
      <c r="MI36" s="23"/>
      <c r="MJ36" s="23"/>
      <c r="MK36" s="23"/>
      <c r="ML36" s="23"/>
      <c r="MM36" s="23"/>
      <c r="MN36" s="23"/>
      <c r="MO36" s="23"/>
      <c r="MP36" s="23"/>
      <c r="MQ36" s="23"/>
      <c r="MR36" s="23"/>
      <c r="MS36" s="23"/>
      <c r="MT36" s="23"/>
      <c r="MU36" s="23"/>
      <c r="MV36" s="23"/>
      <c r="MW36" s="23"/>
      <c r="MX36" s="23"/>
      <c r="MY36" s="23"/>
      <c r="MZ36" s="23"/>
      <c r="NA36" s="23"/>
      <c r="NB36" s="23"/>
      <c r="NC36" s="23"/>
      <c r="ND36" s="23"/>
      <c r="NE36" s="23"/>
      <c r="NF36" s="23"/>
      <c r="NG36" s="23"/>
      <c r="NH36" s="23"/>
      <c r="NI36" s="23"/>
      <c r="NJ36" s="23"/>
      <c r="NK36" s="23"/>
      <c r="NL36" s="23"/>
      <c r="NM36" s="23"/>
      <c r="NN36" s="23"/>
      <c r="NO36" s="23"/>
      <c r="NP36" s="23"/>
      <c r="NQ36" s="23"/>
      <c r="NR36" s="23"/>
      <c r="NS36" s="23"/>
      <c r="NT36" s="23"/>
      <c r="NU36" s="23"/>
      <c r="NV36" s="23"/>
      <c r="NW36" s="23"/>
      <c r="NX36" s="23"/>
      <c r="NY36" s="23"/>
      <c r="NZ36" s="23"/>
      <c r="OA36" s="23"/>
      <c r="OB36" s="23"/>
      <c r="OC36" s="23"/>
      <c r="OD36" s="23"/>
      <c r="OE36" s="23"/>
      <c r="OF36" s="23"/>
      <c r="OG36" s="23"/>
      <c r="OH36" s="23"/>
      <c r="OI36" s="23"/>
      <c r="OJ36" s="23"/>
      <c r="OK36" s="23"/>
      <c r="OL36" s="23"/>
      <c r="OM36" s="23"/>
      <c r="ON36" s="23"/>
      <c r="OO36" s="23"/>
      <c r="OP36" s="23"/>
      <c r="OQ36" s="23"/>
      <c r="OR36" s="23"/>
      <c r="OS36" s="23"/>
      <c r="OT36" s="23"/>
      <c r="OU36" s="23"/>
      <c r="OV36" s="23"/>
      <c r="OW36" s="23"/>
      <c r="OX36" s="23"/>
      <c r="OY36" s="23"/>
      <c r="OZ36" s="23"/>
      <c r="PA36" s="23"/>
      <c r="PB36" s="23"/>
      <c r="PC36" s="23"/>
      <c r="PD36" s="23"/>
      <c r="PE36" s="23"/>
      <c r="PF36" s="23"/>
      <c r="PG36" s="23"/>
      <c r="PH36" s="23"/>
      <c r="PI36" s="23"/>
      <c r="PJ36" s="23"/>
      <c r="PK36" s="23"/>
      <c r="PL36" s="23"/>
      <c r="PM36" s="23"/>
      <c r="PN36" s="23"/>
      <c r="PO36" s="23"/>
      <c r="PP36" s="23"/>
      <c r="PQ36" s="23"/>
      <c r="PR36" s="23"/>
      <c r="PS36" s="23"/>
      <c r="PT36" s="23"/>
      <c r="PU36" s="23"/>
      <c r="PV36" s="23"/>
      <c r="PW36" s="23"/>
      <c r="PX36" s="23"/>
      <c r="PY36" s="23"/>
      <c r="PZ36" s="23"/>
      <c r="QA36" s="23"/>
      <c r="QB36" s="23"/>
      <c r="QC36" s="23"/>
      <c r="QD36" s="23"/>
      <c r="QE36" s="23"/>
      <c r="QF36" s="23"/>
      <c r="QG36" s="23"/>
      <c r="QH36" s="23"/>
      <c r="QI36" s="23"/>
      <c r="QJ36" s="23"/>
      <c r="QK36" s="23"/>
      <c r="QL36" s="23"/>
      <c r="QM36" s="23"/>
      <c r="QN36" s="23"/>
      <c r="QO36" s="23"/>
      <c r="QP36" s="23"/>
      <c r="QQ36" s="23"/>
      <c r="QR36" s="23"/>
      <c r="QS36" s="23"/>
      <c r="QT36" s="23"/>
      <c r="QU36" s="23"/>
      <c r="QV36" s="23"/>
      <c r="QW36" s="23"/>
      <c r="QX36" s="23"/>
      <c r="QY36" s="23"/>
      <c r="QZ36" s="23"/>
      <c r="RA36" s="23"/>
      <c r="RB36" s="23"/>
      <c r="RC36" s="23"/>
      <c r="RD36" s="23"/>
      <c r="RE36" s="23"/>
      <c r="RF36" s="23"/>
      <c r="RG36" s="23"/>
      <c r="RH36" s="23"/>
      <c r="RI36" s="23"/>
      <c r="RJ36" s="23"/>
      <c r="RK36" s="23"/>
      <c r="RL36" s="23"/>
      <c r="RM36" s="23"/>
      <c r="RN36" s="23"/>
      <c r="RO36" s="23"/>
      <c r="RP36" s="23"/>
      <c r="RQ36" s="23"/>
      <c r="RR36" s="23"/>
      <c r="RS36" s="23"/>
      <c r="RT36" s="23"/>
      <c r="RU36" s="23"/>
      <c r="RV36" s="23"/>
      <c r="RW36" s="23"/>
      <c r="RX36" s="23"/>
      <c r="RY36" s="23"/>
      <c r="RZ36" s="23"/>
      <c r="SA36" s="23"/>
      <c r="SB36" s="23"/>
      <c r="SC36" s="23"/>
      <c r="SD36" s="23"/>
      <c r="SE36" s="23"/>
      <c r="SF36" s="23"/>
      <c r="SG36" s="23"/>
      <c r="SH36" s="23"/>
      <c r="SI36" s="23"/>
      <c r="SJ36" s="23"/>
      <c r="SK36" s="23"/>
      <c r="SL36" s="23"/>
      <c r="SM36" s="23"/>
      <c r="SN36" s="23"/>
      <c r="SO36" s="23"/>
      <c r="SP36" s="23"/>
      <c r="SQ36" s="23"/>
      <c r="SR36" s="23"/>
      <c r="SS36" s="23"/>
      <c r="ST36" s="23"/>
      <c r="SU36" s="23"/>
      <c r="SV36" s="23"/>
      <c r="SW36" s="23"/>
      <c r="SX36" s="23"/>
      <c r="SY36" s="23"/>
      <c r="SZ36" s="23"/>
      <c r="TA36" s="23"/>
      <c r="TB36" s="23"/>
      <c r="TC36" s="23"/>
      <c r="TD36" s="23"/>
      <c r="TE36" s="23"/>
      <c r="TF36" s="23"/>
      <c r="TG36" s="23"/>
      <c r="TH36" s="23"/>
      <c r="TI36" s="23"/>
      <c r="TJ36" s="23"/>
      <c r="TK36" s="23"/>
      <c r="TL36" s="23"/>
      <c r="TM36" s="23"/>
      <c r="TN36" s="23"/>
      <c r="TO36" s="23"/>
      <c r="TP36" s="23"/>
      <c r="TQ36" s="23"/>
      <c r="TR36" s="23"/>
      <c r="TS36" s="23"/>
      <c r="TT36" s="23"/>
      <c r="TU36" s="23"/>
      <c r="TV36" s="23"/>
      <c r="TW36" s="23"/>
      <c r="TX36" s="23"/>
      <c r="TY36" s="23"/>
      <c r="TZ36" s="23"/>
      <c r="UA36" s="23"/>
      <c r="UB36" s="23"/>
      <c r="UC36" s="23"/>
      <c r="UD36" s="23"/>
      <c r="UE36" s="23"/>
      <c r="UF36" s="23"/>
      <c r="UG36" s="23"/>
      <c r="UH36" s="23"/>
      <c r="UI36" s="23"/>
      <c r="UJ36" s="23"/>
      <c r="UK36" s="23"/>
      <c r="UL36" s="23"/>
      <c r="UM36" s="23"/>
      <c r="UN36" s="23"/>
      <c r="UO36" s="23"/>
      <c r="UP36" s="23"/>
      <c r="UQ36" s="23"/>
      <c r="UR36" s="23"/>
      <c r="US36" s="23"/>
      <c r="UT36" s="23"/>
      <c r="UU36" s="23"/>
      <c r="UV36" s="23"/>
      <c r="UW36" s="23"/>
      <c r="UX36" s="23"/>
      <c r="UY36" s="23"/>
      <c r="UZ36" s="23"/>
      <c r="VA36" s="23"/>
      <c r="VB36" s="23"/>
      <c r="VC36" s="23"/>
      <c r="VD36" s="23"/>
      <c r="VE36" s="23"/>
      <c r="VF36" s="23"/>
      <c r="VG36" s="23"/>
      <c r="VH36" s="23"/>
      <c r="VI36" s="23"/>
      <c r="VJ36" s="23"/>
      <c r="VK36" s="23"/>
      <c r="VL36" s="23"/>
      <c r="VM36" s="23"/>
      <c r="VN36" s="23"/>
      <c r="VO36" s="23"/>
      <c r="VP36" s="23"/>
      <c r="VQ36" s="23"/>
      <c r="VR36" s="23"/>
      <c r="VS36" s="23"/>
      <c r="VT36" s="23"/>
      <c r="VU36" s="23"/>
      <c r="VV36" s="23"/>
      <c r="VW36" s="23"/>
      <c r="VX36" s="23"/>
      <c r="VY36" s="23"/>
      <c r="VZ36" s="23"/>
      <c r="WA36" s="23"/>
      <c r="WB36" s="23"/>
      <c r="WC36" s="23"/>
      <c r="WD36" s="23"/>
      <c r="WE36" s="23"/>
      <c r="WF36" s="23"/>
      <c r="WG36" s="23"/>
      <c r="WH36" s="23"/>
      <c r="WI36" s="23"/>
      <c r="WJ36" s="23"/>
      <c r="WK36" s="23"/>
      <c r="WL36" s="23"/>
      <c r="WM36" s="23"/>
      <c r="WN36" s="23"/>
      <c r="WO36" s="23"/>
      <c r="WP36" s="23"/>
      <c r="WQ36" s="23"/>
      <c r="WR36" s="23"/>
      <c r="WS36" s="23"/>
      <c r="WT36" s="23"/>
      <c r="WU36" s="23"/>
      <c r="WV36" s="23"/>
      <c r="WW36" s="23"/>
      <c r="WX36" s="23"/>
      <c r="WY36" s="23"/>
      <c r="WZ36" s="23"/>
      <c r="XA36" s="23"/>
      <c r="XB36" s="23"/>
      <c r="XC36" s="23"/>
      <c r="XD36" s="23"/>
      <c r="XE36" s="23"/>
      <c r="XF36" s="23"/>
      <c r="XG36" s="23"/>
      <c r="XH36" s="23"/>
      <c r="XI36" s="23"/>
      <c r="XJ36" s="23"/>
      <c r="XK36" s="23"/>
      <c r="XL36" s="23"/>
      <c r="XM36" s="23"/>
      <c r="XN36" s="23"/>
      <c r="XO36" s="23"/>
      <c r="XP36" s="23"/>
      <c r="XQ36" s="23"/>
      <c r="XR36" s="23"/>
      <c r="XS36" s="23"/>
      <c r="XT36" s="23"/>
      <c r="XU36" s="23"/>
      <c r="XV36" s="23"/>
      <c r="XW36" s="23"/>
      <c r="XX36" s="23"/>
      <c r="XY36" s="23"/>
      <c r="XZ36" s="23"/>
      <c r="YA36" s="23"/>
      <c r="YB36" s="23"/>
      <c r="YC36" s="23"/>
      <c r="YD36" s="23"/>
      <c r="YE36" s="23"/>
      <c r="YF36" s="23"/>
      <c r="YG36" s="23"/>
      <c r="YH36" s="23"/>
      <c r="YI36" s="23"/>
      <c r="YJ36" s="23"/>
      <c r="YK36" s="23"/>
      <c r="YL36" s="23"/>
      <c r="YM36" s="23"/>
      <c r="YN36" s="23"/>
      <c r="YO36" s="23"/>
      <c r="YP36" s="23"/>
      <c r="YQ36" s="23"/>
      <c r="YR36" s="23"/>
      <c r="YS36" s="23"/>
      <c r="YT36" s="23"/>
      <c r="YU36" s="23"/>
      <c r="YV36" s="23"/>
      <c r="YW36" s="23"/>
      <c r="YX36" s="23"/>
      <c r="YY36" s="23"/>
      <c r="YZ36" s="23"/>
      <c r="ZA36" s="23"/>
      <c r="ZB36" s="23"/>
      <c r="ZC36" s="23"/>
      <c r="ZD36" s="23"/>
      <c r="ZE36" s="53"/>
    </row>
    <row r="37" spans="1:681" s="50" customFormat="1" ht="15" customHeight="1" x14ac:dyDescent="0.25">
      <c r="A37" s="30">
        <v>4000</v>
      </c>
      <c r="B37" s="129" t="s">
        <v>44</v>
      </c>
      <c r="C37" s="103" t="s">
        <v>66</v>
      </c>
      <c r="D37" s="5" t="s">
        <v>65</v>
      </c>
      <c r="E37" s="103" t="s">
        <v>66</v>
      </c>
      <c r="F37" s="5" t="s">
        <v>65</v>
      </c>
      <c r="G37" s="56">
        <v>2</v>
      </c>
      <c r="H37" s="100" t="s">
        <v>46</v>
      </c>
      <c r="I37" s="131"/>
      <c r="J37" s="250">
        <f ca="1">J36</f>
        <v>80</v>
      </c>
      <c r="K37" s="250">
        <f t="shared" ref="K37" ca="1" si="56">K36</f>
        <v>71</v>
      </c>
      <c r="L37" s="250">
        <f t="shared" ref="L37" ca="1" si="57">L36</f>
        <v>99</v>
      </c>
      <c r="M37" s="250">
        <f t="shared" ref="M37" ca="1" si="58">M36</f>
        <v>105</v>
      </c>
      <c r="N37" s="250">
        <f t="shared" ref="N37" ca="1" si="59">N36</f>
        <v>163</v>
      </c>
      <c r="O37" s="250">
        <f t="shared" ref="O37" ca="1" si="60">O36</f>
        <v>28</v>
      </c>
      <c r="P37" s="250">
        <f t="shared" ref="P37" ca="1" si="61">P36</f>
        <v>121</v>
      </c>
      <c r="Q37" s="250">
        <f t="shared" ref="Q37" ca="1" si="62">Q36</f>
        <v>199</v>
      </c>
      <c r="R37" s="250">
        <f t="shared" ref="R37" ca="1" si="63">R36</f>
        <v>115</v>
      </c>
      <c r="S37" s="250">
        <f t="shared" ref="S37" ca="1" si="64">S36</f>
        <v>168</v>
      </c>
      <c r="T37" s="250">
        <f t="shared" ref="T37" ca="1" si="65">T36</f>
        <v>168</v>
      </c>
      <c r="U37" s="250">
        <f t="shared" ref="U37" ca="1" si="66">U36</f>
        <v>132</v>
      </c>
      <c r="V37" s="250">
        <f t="shared" ref="V37" ca="1" si="67">V36</f>
        <v>160</v>
      </c>
      <c r="W37" s="250">
        <f t="shared" ref="W37" ca="1" si="68">W36</f>
        <v>136</v>
      </c>
      <c r="X37" s="250">
        <f t="shared" ref="X37" ca="1" si="69">X36</f>
        <v>152</v>
      </c>
      <c r="Y37" s="250">
        <f t="shared" ref="Y37" ca="1" si="70">Y36</f>
        <v>56</v>
      </c>
      <c r="Z37" s="250">
        <f t="shared" ref="Z37" ca="1" si="71">Z36</f>
        <v>131</v>
      </c>
      <c r="AA37" s="250">
        <f t="shared" ref="AA37" ca="1" si="72">AA36</f>
        <v>115</v>
      </c>
      <c r="AB37" s="250">
        <f t="shared" ref="AB37" ca="1" si="73">AB36</f>
        <v>17</v>
      </c>
      <c r="AC37" s="250">
        <f t="shared" ref="AC37" ca="1" si="74">AC36</f>
        <v>56</v>
      </c>
      <c r="AD37" s="250">
        <f t="shared" ref="AD37" ca="1" si="75">AD36</f>
        <v>153</v>
      </c>
      <c r="AE37" s="250">
        <f t="shared" ref="AE37" ca="1" si="76">AE36</f>
        <v>113</v>
      </c>
      <c r="AF37" s="250">
        <f t="shared" ref="AF37" ca="1" si="77">AF36</f>
        <v>0</v>
      </c>
      <c r="AG37" s="250">
        <f t="shared" ref="AG37" ca="1" si="78">AG36</f>
        <v>0</v>
      </c>
      <c r="AH37" s="246"/>
      <c r="AI37" s="246"/>
      <c r="AJ37" s="246"/>
      <c r="AK37" s="246"/>
      <c r="AL37" s="23"/>
      <c r="AM37" s="23"/>
      <c r="AN37" s="23"/>
      <c r="AO37" s="23"/>
      <c r="AP37" s="23"/>
      <c r="AQ37" s="23"/>
      <c r="AR37" s="23"/>
      <c r="AS37" s="23"/>
      <c r="AT37" s="23"/>
      <c r="AU37" s="23"/>
      <c r="AV37" s="23"/>
      <c r="AW37" s="23"/>
      <c r="AX37" s="23"/>
      <c r="AY37" s="23"/>
      <c r="AZ37" s="23"/>
      <c r="BA37" s="23"/>
      <c r="BB37" s="23"/>
      <c r="BC37" s="23"/>
      <c r="BD37" s="23"/>
      <c r="BE37" s="23"/>
      <c r="BF37" s="23"/>
      <c r="BG37" s="23"/>
      <c r="BH37" s="23"/>
      <c r="BI37" s="23"/>
      <c r="BJ37" s="23"/>
      <c r="BK37" s="23"/>
      <c r="BL37" s="23"/>
      <c r="BM37" s="23"/>
      <c r="BN37" s="23"/>
      <c r="BO37" s="23"/>
      <c r="BP37" s="23"/>
      <c r="BQ37" s="23"/>
      <c r="BR37" s="23"/>
      <c r="BS37" s="23"/>
      <c r="BT37" s="23"/>
      <c r="BU37" s="23"/>
      <c r="BV37" s="23"/>
      <c r="BW37" s="23"/>
      <c r="BX37" s="23"/>
      <c r="BY37" s="23"/>
      <c r="BZ37" s="23"/>
      <c r="CA37" s="23"/>
      <c r="CB37" s="23"/>
      <c r="CC37" s="23"/>
      <c r="CD37" s="23"/>
      <c r="CE37" s="23"/>
      <c r="CF37" s="23"/>
      <c r="CG37" s="23"/>
      <c r="CH37" s="23"/>
      <c r="CI37" s="23"/>
      <c r="CJ37" s="23"/>
      <c r="CK37" s="23"/>
      <c r="CL37" s="23"/>
      <c r="CM37" s="23"/>
      <c r="CN37" s="23"/>
      <c r="CO37" s="23"/>
      <c r="CP37" s="23"/>
      <c r="CQ37" s="23"/>
      <c r="CR37" s="23"/>
      <c r="CS37" s="23"/>
      <c r="CT37" s="23"/>
      <c r="CU37" s="23"/>
      <c r="CV37" s="23"/>
      <c r="CW37" s="23"/>
      <c r="CX37" s="23"/>
      <c r="CY37" s="23"/>
      <c r="CZ37" s="23"/>
      <c r="DA37" s="23"/>
      <c r="DB37" s="23"/>
      <c r="DC37" s="23"/>
      <c r="DD37" s="23"/>
      <c r="DE37" s="23"/>
      <c r="DF37" s="23"/>
      <c r="DG37" s="23"/>
      <c r="DH37" s="23"/>
      <c r="DI37" s="23"/>
      <c r="DJ37" s="23"/>
      <c r="DK37" s="23"/>
      <c r="DL37" s="23"/>
      <c r="DM37" s="23"/>
      <c r="DN37" s="23"/>
      <c r="DO37" s="23"/>
      <c r="DP37" s="23"/>
      <c r="DQ37" s="23"/>
      <c r="DR37" s="23"/>
      <c r="DS37" s="23"/>
      <c r="DT37" s="23"/>
      <c r="DU37" s="23"/>
      <c r="DV37" s="23"/>
      <c r="DW37" s="23"/>
      <c r="DX37" s="23"/>
      <c r="DY37" s="23"/>
      <c r="DZ37" s="23"/>
      <c r="EA37" s="23"/>
      <c r="EB37" s="23"/>
      <c r="EC37" s="23"/>
      <c r="ED37" s="23"/>
      <c r="EE37" s="23"/>
      <c r="EF37" s="23"/>
      <c r="EG37" s="23"/>
      <c r="EH37" s="23"/>
      <c r="EI37" s="23"/>
      <c r="EJ37" s="23"/>
      <c r="EK37" s="23"/>
      <c r="EL37" s="23"/>
      <c r="EM37" s="23"/>
      <c r="EN37" s="23"/>
      <c r="EO37" s="23"/>
      <c r="EP37" s="23"/>
      <c r="EQ37" s="23"/>
      <c r="ER37" s="23"/>
      <c r="ES37" s="23"/>
      <c r="ET37" s="23"/>
      <c r="EU37" s="23"/>
      <c r="EV37" s="23"/>
      <c r="EW37" s="23"/>
      <c r="EX37" s="23"/>
      <c r="EY37" s="23"/>
      <c r="EZ37" s="23"/>
      <c r="FA37" s="23"/>
      <c r="FB37" s="23"/>
      <c r="FC37" s="23"/>
      <c r="FD37" s="23"/>
      <c r="FE37" s="23"/>
      <c r="FF37" s="23"/>
      <c r="FG37" s="23"/>
      <c r="FH37" s="23"/>
      <c r="FI37" s="23"/>
      <c r="FJ37" s="23"/>
      <c r="FK37" s="23"/>
      <c r="FL37" s="23"/>
      <c r="FM37" s="23"/>
      <c r="FN37" s="23"/>
      <c r="FO37" s="23"/>
      <c r="FP37" s="23"/>
      <c r="FQ37" s="23"/>
      <c r="FR37" s="23"/>
      <c r="FS37" s="23"/>
      <c r="FT37" s="23"/>
      <c r="FU37" s="23"/>
      <c r="FV37" s="23"/>
      <c r="FW37" s="23"/>
      <c r="FX37" s="23"/>
      <c r="FY37" s="23"/>
      <c r="FZ37" s="23"/>
      <c r="GA37" s="23"/>
      <c r="GB37" s="23"/>
      <c r="GC37" s="23"/>
      <c r="GD37" s="23"/>
      <c r="GE37" s="23"/>
      <c r="GF37" s="23"/>
      <c r="GG37" s="23"/>
      <c r="GH37" s="23"/>
      <c r="GI37" s="23"/>
      <c r="GJ37" s="23"/>
      <c r="GK37" s="23"/>
      <c r="GL37" s="23"/>
      <c r="GM37" s="23"/>
      <c r="GN37" s="23"/>
      <c r="GO37" s="23"/>
      <c r="GP37" s="23"/>
      <c r="GQ37" s="23"/>
      <c r="GR37" s="23"/>
      <c r="GS37" s="23"/>
      <c r="GT37" s="23"/>
      <c r="GU37" s="23"/>
      <c r="GV37" s="23"/>
      <c r="GW37" s="23"/>
      <c r="GX37" s="23"/>
      <c r="GY37" s="23"/>
      <c r="GZ37" s="23"/>
      <c r="HA37" s="23"/>
      <c r="HB37" s="23"/>
      <c r="HC37" s="23"/>
      <c r="HD37" s="23"/>
      <c r="HE37" s="23"/>
      <c r="HF37" s="23"/>
      <c r="HG37" s="23"/>
      <c r="HH37" s="23"/>
      <c r="HI37" s="23"/>
      <c r="HJ37" s="23"/>
      <c r="HK37" s="23"/>
      <c r="HL37" s="23"/>
      <c r="HM37" s="23"/>
      <c r="HN37" s="23"/>
      <c r="HO37" s="23"/>
      <c r="HP37" s="23"/>
      <c r="HQ37" s="23"/>
      <c r="HR37" s="23"/>
      <c r="HS37" s="23"/>
      <c r="HT37" s="23"/>
      <c r="HU37" s="23"/>
      <c r="HV37" s="23"/>
      <c r="HW37" s="23"/>
      <c r="HX37" s="23"/>
      <c r="HY37" s="23"/>
      <c r="HZ37" s="23"/>
      <c r="IA37" s="23"/>
      <c r="IB37" s="23"/>
      <c r="IC37" s="23"/>
      <c r="ID37" s="23"/>
      <c r="IE37" s="23"/>
      <c r="IF37" s="23"/>
      <c r="IG37" s="23"/>
      <c r="IH37" s="23"/>
      <c r="II37" s="23"/>
      <c r="IJ37" s="23"/>
      <c r="IK37" s="23"/>
      <c r="IL37" s="23"/>
      <c r="IM37" s="23"/>
      <c r="IN37" s="23"/>
      <c r="IO37" s="23"/>
      <c r="IP37" s="23"/>
      <c r="IQ37" s="23"/>
      <c r="IR37" s="23"/>
      <c r="IS37" s="23"/>
      <c r="IT37" s="23"/>
      <c r="IU37" s="23"/>
      <c r="IV37" s="23"/>
      <c r="IW37" s="23"/>
      <c r="IX37" s="23"/>
      <c r="IY37" s="23"/>
      <c r="IZ37" s="23"/>
      <c r="JA37" s="23"/>
      <c r="JB37" s="23"/>
      <c r="JC37" s="23"/>
      <c r="JD37" s="23"/>
      <c r="JE37" s="23"/>
      <c r="JF37" s="23"/>
      <c r="JG37" s="23"/>
      <c r="JH37" s="23"/>
      <c r="JI37" s="23"/>
      <c r="JJ37" s="23"/>
      <c r="JK37" s="23"/>
      <c r="JL37" s="23"/>
      <c r="JM37" s="23"/>
      <c r="JN37" s="23"/>
      <c r="JO37" s="23"/>
      <c r="JP37" s="23"/>
      <c r="JQ37" s="23"/>
      <c r="JR37" s="23"/>
      <c r="JS37" s="23"/>
      <c r="JT37" s="23"/>
      <c r="JU37" s="23"/>
      <c r="JV37" s="23"/>
      <c r="JW37" s="23"/>
      <c r="JX37" s="23"/>
      <c r="JY37" s="23"/>
      <c r="JZ37" s="23"/>
      <c r="KA37" s="23"/>
      <c r="KB37" s="23"/>
      <c r="KC37" s="23"/>
      <c r="KD37" s="23"/>
      <c r="KE37" s="23"/>
      <c r="KF37" s="23"/>
      <c r="KG37" s="23"/>
      <c r="KH37" s="23"/>
      <c r="KI37" s="23"/>
      <c r="KJ37" s="23"/>
      <c r="KK37" s="23"/>
      <c r="KL37" s="23"/>
      <c r="KM37" s="23"/>
      <c r="KN37" s="23"/>
      <c r="KO37" s="23"/>
      <c r="KP37" s="23"/>
      <c r="KQ37" s="23"/>
      <c r="KR37" s="23"/>
      <c r="KS37" s="23"/>
      <c r="KT37" s="23"/>
      <c r="KU37" s="23"/>
      <c r="KV37" s="23"/>
      <c r="KW37" s="23"/>
      <c r="KX37" s="23"/>
      <c r="KY37" s="23"/>
      <c r="KZ37" s="23"/>
      <c r="LA37" s="23"/>
      <c r="LB37" s="23"/>
      <c r="LC37" s="23"/>
      <c r="LD37" s="23"/>
      <c r="LE37" s="23"/>
      <c r="LF37" s="23"/>
      <c r="LG37" s="23"/>
      <c r="LH37" s="23"/>
      <c r="LI37" s="23"/>
      <c r="LJ37" s="23"/>
      <c r="LK37" s="23"/>
      <c r="LL37" s="23"/>
      <c r="LM37" s="23"/>
      <c r="LN37" s="23"/>
      <c r="LO37" s="23"/>
      <c r="LP37" s="23"/>
      <c r="LQ37" s="23"/>
      <c r="LR37" s="23"/>
      <c r="LS37" s="23"/>
      <c r="LT37" s="23"/>
      <c r="LU37" s="23"/>
      <c r="LV37" s="23"/>
      <c r="LW37" s="23"/>
      <c r="LX37" s="23"/>
      <c r="LY37" s="23"/>
      <c r="LZ37" s="23"/>
      <c r="MA37" s="23"/>
      <c r="MB37" s="23"/>
      <c r="MC37" s="23"/>
      <c r="MD37" s="23"/>
      <c r="ME37" s="23"/>
      <c r="MF37" s="23"/>
      <c r="MG37" s="23"/>
      <c r="MH37" s="23"/>
      <c r="MI37" s="23"/>
      <c r="MJ37" s="23"/>
      <c r="MK37" s="23"/>
      <c r="ML37" s="23"/>
      <c r="MM37" s="23"/>
      <c r="MN37" s="23"/>
      <c r="MO37" s="23"/>
      <c r="MP37" s="23"/>
      <c r="MQ37" s="23"/>
      <c r="MR37" s="23"/>
      <c r="MS37" s="23"/>
      <c r="MT37" s="23"/>
      <c r="MU37" s="23"/>
      <c r="MV37" s="23"/>
      <c r="MW37" s="23"/>
      <c r="MX37" s="23"/>
      <c r="MY37" s="23"/>
      <c r="MZ37" s="23"/>
      <c r="NA37" s="23"/>
      <c r="NB37" s="23"/>
      <c r="NC37" s="23"/>
      <c r="ND37" s="23"/>
      <c r="NE37" s="23"/>
      <c r="NF37" s="23"/>
      <c r="NG37" s="23"/>
      <c r="NH37" s="23"/>
      <c r="NI37" s="23"/>
      <c r="NJ37" s="23"/>
      <c r="NK37" s="23"/>
      <c r="NL37" s="23"/>
      <c r="NM37" s="23"/>
      <c r="NN37" s="23"/>
      <c r="NO37" s="23"/>
      <c r="NP37" s="23"/>
      <c r="NQ37" s="23"/>
      <c r="NR37" s="23"/>
      <c r="NS37" s="23"/>
      <c r="NT37" s="23"/>
      <c r="NU37" s="23"/>
      <c r="NV37" s="23"/>
      <c r="NW37" s="23"/>
      <c r="NX37" s="23"/>
      <c r="NY37" s="23"/>
      <c r="NZ37" s="23"/>
      <c r="OA37" s="23"/>
      <c r="OB37" s="23"/>
      <c r="OC37" s="23"/>
      <c r="OD37" s="23"/>
      <c r="OE37" s="23"/>
      <c r="OF37" s="23"/>
      <c r="OG37" s="23"/>
      <c r="OH37" s="23"/>
      <c r="OI37" s="23"/>
      <c r="OJ37" s="23"/>
      <c r="OK37" s="23"/>
      <c r="OL37" s="23"/>
      <c r="OM37" s="23"/>
      <c r="ON37" s="23"/>
      <c r="OO37" s="23"/>
      <c r="OP37" s="23"/>
      <c r="OQ37" s="23"/>
      <c r="OR37" s="23"/>
      <c r="OS37" s="23"/>
      <c r="OT37" s="23"/>
      <c r="OU37" s="23"/>
      <c r="OV37" s="23"/>
      <c r="OW37" s="23"/>
      <c r="OX37" s="23"/>
      <c r="OY37" s="23"/>
      <c r="OZ37" s="23"/>
      <c r="PA37" s="23"/>
      <c r="PB37" s="23"/>
      <c r="PC37" s="23"/>
      <c r="PD37" s="23"/>
      <c r="PE37" s="23"/>
      <c r="PF37" s="23"/>
      <c r="PG37" s="23"/>
      <c r="PH37" s="23"/>
      <c r="PI37" s="23"/>
      <c r="PJ37" s="23"/>
      <c r="PK37" s="23"/>
      <c r="PL37" s="23"/>
      <c r="PM37" s="23"/>
      <c r="PN37" s="23"/>
      <c r="PO37" s="23"/>
      <c r="PP37" s="23"/>
      <c r="PQ37" s="23"/>
      <c r="PR37" s="23"/>
      <c r="PS37" s="23"/>
      <c r="PT37" s="23"/>
      <c r="PU37" s="23"/>
      <c r="PV37" s="23"/>
      <c r="PW37" s="23"/>
      <c r="PX37" s="23"/>
      <c r="PY37" s="23"/>
      <c r="PZ37" s="23"/>
      <c r="QA37" s="23"/>
      <c r="QB37" s="23"/>
      <c r="QC37" s="23"/>
      <c r="QD37" s="23"/>
      <c r="QE37" s="23"/>
      <c r="QF37" s="23"/>
      <c r="QG37" s="23"/>
      <c r="QH37" s="23"/>
      <c r="QI37" s="23"/>
      <c r="QJ37" s="23"/>
      <c r="QK37" s="23"/>
      <c r="QL37" s="23"/>
      <c r="QM37" s="23"/>
      <c r="QN37" s="23"/>
      <c r="QO37" s="23"/>
      <c r="QP37" s="23"/>
      <c r="QQ37" s="23"/>
      <c r="QR37" s="23"/>
      <c r="QS37" s="23"/>
      <c r="QT37" s="23"/>
      <c r="QU37" s="23"/>
      <c r="QV37" s="23"/>
      <c r="QW37" s="23"/>
      <c r="QX37" s="23"/>
      <c r="QY37" s="23"/>
      <c r="QZ37" s="23"/>
      <c r="RA37" s="23"/>
      <c r="RB37" s="23"/>
      <c r="RC37" s="23"/>
      <c r="RD37" s="23"/>
      <c r="RE37" s="23"/>
      <c r="RF37" s="23"/>
      <c r="RG37" s="23"/>
      <c r="RH37" s="23"/>
      <c r="RI37" s="23"/>
      <c r="RJ37" s="23"/>
      <c r="RK37" s="23"/>
      <c r="RL37" s="23"/>
      <c r="RM37" s="23"/>
      <c r="RN37" s="23"/>
      <c r="RO37" s="23"/>
      <c r="RP37" s="23"/>
      <c r="RQ37" s="23"/>
      <c r="RR37" s="23"/>
      <c r="RS37" s="23"/>
      <c r="RT37" s="23"/>
      <c r="RU37" s="23"/>
      <c r="RV37" s="23"/>
      <c r="RW37" s="23"/>
      <c r="RX37" s="23"/>
      <c r="RY37" s="23"/>
      <c r="RZ37" s="23"/>
      <c r="SA37" s="23"/>
      <c r="SB37" s="23"/>
      <c r="SC37" s="23"/>
      <c r="SD37" s="23"/>
      <c r="SE37" s="23"/>
      <c r="SF37" s="23"/>
      <c r="SG37" s="23"/>
      <c r="SH37" s="23"/>
      <c r="SI37" s="23"/>
      <c r="SJ37" s="23"/>
      <c r="SK37" s="23"/>
      <c r="SL37" s="23"/>
      <c r="SM37" s="23"/>
      <c r="SN37" s="23"/>
      <c r="SO37" s="23"/>
      <c r="SP37" s="23"/>
      <c r="SQ37" s="23"/>
      <c r="SR37" s="23"/>
      <c r="SS37" s="23"/>
      <c r="ST37" s="23"/>
      <c r="SU37" s="23"/>
      <c r="SV37" s="23"/>
      <c r="SW37" s="23"/>
      <c r="SX37" s="23"/>
      <c r="SY37" s="23"/>
      <c r="SZ37" s="23"/>
      <c r="TA37" s="23"/>
      <c r="TB37" s="23"/>
      <c r="TC37" s="23"/>
      <c r="TD37" s="23"/>
      <c r="TE37" s="23"/>
      <c r="TF37" s="23"/>
      <c r="TG37" s="23"/>
      <c r="TH37" s="23"/>
      <c r="TI37" s="23"/>
      <c r="TJ37" s="23"/>
      <c r="TK37" s="23"/>
      <c r="TL37" s="23"/>
      <c r="TM37" s="23"/>
      <c r="TN37" s="23"/>
      <c r="TO37" s="23"/>
      <c r="TP37" s="23"/>
      <c r="TQ37" s="23"/>
      <c r="TR37" s="23"/>
      <c r="TS37" s="23"/>
      <c r="TT37" s="23"/>
      <c r="TU37" s="23"/>
      <c r="TV37" s="23"/>
      <c r="TW37" s="23"/>
      <c r="TX37" s="23"/>
      <c r="TY37" s="23"/>
      <c r="TZ37" s="23"/>
      <c r="UA37" s="23"/>
      <c r="UB37" s="23"/>
      <c r="UC37" s="23"/>
      <c r="UD37" s="23"/>
      <c r="UE37" s="23"/>
      <c r="UF37" s="23"/>
      <c r="UG37" s="23"/>
      <c r="UH37" s="23"/>
      <c r="UI37" s="23"/>
      <c r="UJ37" s="23"/>
      <c r="UK37" s="23"/>
      <c r="UL37" s="23"/>
      <c r="UM37" s="23"/>
      <c r="UN37" s="23"/>
      <c r="UO37" s="23"/>
      <c r="UP37" s="23"/>
      <c r="UQ37" s="23"/>
      <c r="UR37" s="23"/>
      <c r="US37" s="23"/>
      <c r="UT37" s="23"/>
      <c r="UU37" s="23"/>
      <c r="UV37" s="23"/>
      <c r="UW37" s="23"/>
      <c r="UX37" s="23"/>
      <c r="UY37" s="23"/>
      <c r="UZ37" s="23"/>
      <c r="VA37" s="23"/>
      <c r="VB37" s="23"/>
      <c r="VC37" s="23"/>
      <c r="VD37" s="23"/>
      <c r="VE37" s="23"/>
      <c r="VF37" s="23"/>
      <c r="VG37" s="23"/>
      <c r="VH37" s="23"/>
      <c r="VI37" s="23"/>
      <c r="VJ37" s="23"/>
      <c r="VK37" s="23"/>
      <c r="VL37" s="23"/>
      <c r="VM37" s="23"/>
      <c r="VN37" s="23"/>
      <c r="VO37" s="23"/>
      <c r="VP37" s="23"/>
      <c r="VQ37" s="23"/>
      <c r="VR37" s="23"/>
      <c r="VS37" s="23"/>
      <c r="VT37" s="23"/>
      <c r="VU37" s="23"/>
      <c r="VV37" s="23"/>
      <c r="VW37" s="23"/>
      <c r="VX37" s="23"/>
      <c r="VY37" s="23"/>
      <c r="VZ37" s="23"/>
      <c r="WA37" s="23"/>
      <c r="WB37" s="23"/>
      <c r="WC37" s="23"/>
      <c r="WD37" s="23"/>
      <c r="WE37" s="23"/>
      <c r="WF37" s="23"/>
      <c r="WG37" s="23"/>
      <c r="WH37" s="23"/>
      <c r="WI37" s="23"/>
      <c r="WJ37" s="23"/>
      <c r="WK37" s="23"/>
      <c r="WL37" s="23"/>
      <c r="WM37" s="23"/>
      <c r="WN37" s="23"/>
      <c r="WO37" s="23"/>
      <c r="WP37" s="23"/>
      <c r="WQ37" s="23"/>
      <c r="WR37" s="23"/>
      <c r="WS37" s="23"/>
      <c r="WT37" s="23"/>
      <c r="WU37" s="23"/>
      <c r="WV37" s="23"/>
      <c r="WW37" s="23"/>
      <c r="WX37" s="23"/>
      <c r="WY37" s="23"/>
      <c r="WZ37" s="23"/>
      <c r="XA37" s="23"/>
      <c r="XB37" s="23"/>
      <c r="XC37" s="23"/>
      <c r="XD37" s="23"/>
      <c r="XE37" s="23"/>
      <c r="XF37" s="23"/>
      <c r="XG37" s="23"/>
      <c r="XH37" s="23"/>
      <c r="XI37" s="23"/>
      <c r="XJ37" s="23"/>
      <c r="XK37" s="23"/>
      <c r="XL37" s="23"/>
      <c r="XM37" s="23"/>
      <c r="XN37" s="23"/>
      <c r="XO37" s="23"/>
      <c r="XP37" s="23"/>
      <c r="XQ37" s="23"/>
      <c r="XR37" s="23"/>
      <c r="XS37" s="23"/>
      <c r="XT37" s="23"/>
      <c r="XU37" s="23"/>
      <c r="XV37" s="23"/>
      <c r="XW37" s="23"/>
      <c r="XX37" s="23"/>
      <c r="XY37" s="23"/>
      <c r="XZ37" s="23"/>
      <c r="YA37" s="23"/>
      <c r="YB37" s="23"/>
      <c r="YC37" s="23"/>
      <c r="YD37" s="23"/>
      <c r="YE37" s="23"/>
      <c r="YF37" s="23"/>
      <c r="YG37" s="23"/>
      <c r="YH37" s="23"/>
      <c r="YI37" s="23"/>
      <c r="YJ37" s="23"/>
      <c r="YK37" s="23"/>
      <c r="YL37" s="23"/>
      <c r="YM37" s="23"/>
      <c r="YN37" s="23"/>
      <c r="YO37" s="23"/>
      <c r="YP37" s="23"/>
      <c r="YQ37" s="23"/>
      <c r="YR37" s="23"/>
      <c r="YS37" s="23"/>
      <c r="YT37" s="23"/>
      <c r="YU37" s="23"/>
      <c r="YV37" s="23"/>
      <c r="YW37" s="23"/>
      <c r="YX37" s="23"/>
      <c r="YY37" s="23"/>
      <c r="YZ37" s="23"/>
      <c r="ZA37" s="23"/>
      <c r="ZB37" s="23"/>
      <c r="ZC37" s="23"/>
      <c r="ZD37" s="23"/>
      <c r="ZE37" s="53"/>
    </row>
    <row r="38" spans="1:681" s="2" customFormat="1" ht="15" customHeight="1" x14ac:dyDescent="0.25">
      <c r="A38" s="30">
        <v>4000</v>
      </c>
      <c r="B38" s="129" t="s">
        <v>44</v>
      </c>
      <c r="C38" s="103" t="s">
        <v>66</v>
      </c>
      <c r="D38" s="5" t="s">
        <v>65</v>
      </c>
      <c r="E38" s="103" t="s">
        <v>66</v>
      </c>
      <c r="F38" s="5" t="s">
        <v>65</v>
      </c>
      <c r="G38" s="56">
        <v>2</v>
      </c>
      <c r="H38" s="100" t="s">
        <v>60</v>
      </c>
      <c r="I38" s="131"/>
      <c r="J38" s="97">
        <f t="shared" ref="J38:AG38" ca="1" si="79">J33+I38-J36</f>
        <v>0</v>
      </c>
      <c r="K38" s="97">
        <f t="shared" ca="1" si="79"/>
        <v>0</v>
      </c>
      <c r="L38" s="97">
        <f t="shared" ca="1" si="79"/>
        <v>0</v>
      </c>
      <c r="M38" s="97">
        <f t="shared" ca="1" si="79"/>
        <v>0</v>
      </c>
      <c r="N38" s="97">
        <f t="shared" ca="1" si="79"/>
        <v>0</v>
      </c>
      <c r="O38" s="97">
        <f t="shared" ca="1" si="79"/>
        <v>0</v>
      </c>
      <c r="P38" s="97">
        <f t="shared" ca="1" si="79"/>
        <v>0</v>
      </c>
      <c r="Q38" s="97">
        <f t="shared" ca="1" si="79"/>
        <v>0</v>
      </c>
      <c r="R38" s="97">
        <f t="shared" ca="1" si="79"/>
        <v>0</v>
      </c>
      <c r="S38" s="97">
        <f t="shared" ca="1" si="79"/>
        <v>0</v>
      </c>
      <c r="T38" s="97">
        <f t="shared" ca="1" si="79"/>
        <v>0</v>
      </c>
      <c r="U38" s="97">
        <f t="shared" ca="1" si="79"/>
        <v>0</v>
      </c>
      <c r="V38" s="97">
        <f t="shared" ca="1" si="79"/>
        <v>0</v>
      </c>
      <c r="W38" s="97">
        <f t="shared" ca="1" si="79"/>
        <v>0</v>
      </c>
      <c r="X38" s="97">
        <f t="shared" ca="1" si="79"/>
        <v>0</v>
      </c>
      <c r="Y38" s="97">
        <f t="shared" ca="1" si="79"/>
        <v>0</v>
      </c>
      <c r="Z38" s="97">
        <f t="shared" ca="1" si="79"/>
        <v>0</v>
      </c>
      <c r="AA38" s="97">
        <f t="shared" ca="1" si="79"/>
        <v>0</v>
      </c>
      <c r="AB38" s="97">
        <f t="shared" ca="1" si="79"/>
        <v>0</v>
      </c>
      <c r="AC38" s="97">
        <f t="shared" ca="1" si="79"/>
        <v>0</v>
      </c>
      <c r="AD38" s="97">
        <f t="shared" ca="1" si="79"/>
        <v>0</v>
      </c>
      <c r="AE38" s="97">
        <f t="shared" ca="1" si="79"/>
        <v>0</v>
      </c>
      <c r="AF38" s="97">
        <f t="shared" ca="1" si="79"/>
        <v>0</v>
      </c>
      <c r="AG38" s="97">
        <f t="shared" ca="1" si="79"/>
        <v>0</v>
      </c>
      <c r="AH38" s="250"/>
      <c r="AI38" s="250"/>
      <c r="AJ38" s="250"/>
      <c r="AK38" s="250"/>
      <c r="AL38" s="23"/>
      <c r="AM38" s="23"/>
      <c r="AN38" s="23"/>
      <c r="AO38" s="23"/>
      <c r="AP38" s="23"/>
      <c r="AQ38" s="23"/>
      <c r="AR38" s="23"/>
      <c r="AS38" s="23"/>
      <c r="AT38" s="23"/>
      <c r="AU38" s="23"/>
      <c r="AV38" s="23"/>
      <c r="AW38" s="23"/>
      <c r="AX38" s="23"/>
      <c r="AY38" s="23"/>
      <c r="AZ38" s="23"/>
      <c r="BA38" s="23"/>
      <c r="BB38" s="23"/>
      <c r="BC38" s="23"/>
      <c r="BD38" s="23"/>
      <c r="BE38" s="23"/>
      <c r="BF38" s="23"/>
      <c r="BG38" s="23"/>
      <c r="BH38" s="23"/>
      <c r="BI38" s="23"/>
      <c r="BJ38" s="23"/>
      <c r="BK38" s="23"/>
      <c r="BL38" s="23"/>
      <c r="BM38" s="23"/>
      <c r="BN38" s="23"/>
      <c r="BO38" s="23"/>
      <c r="BP38" s="23"/>
      <c r="BQ38" s="23"/>
      <c r="BR38" s="23"/>
      <c r="BS38" s="23"/>
      <c r="BT38" s="23"/>
      <c r="BU38" s="23"/>
      <c r="BV38" s="23"/>
      <c r="BW38" s="23"/>
      <c r="BX38" s="23"/>
      <c r="BY38" s="23"/>
      <c r="BZ38" s="23"/>
      <c r="CA38" s="23"/>
      <c r="CB38" s="23"/>
      <c r="CC38" s="23"/>
      <c r="CD38" s="23"/>
      <c r="CE38" s="23"/>
      <c r="CF38" s="23"/>
      <c r="CG38" s="23"/>
      <c r="CH38" s="23"/>
      <c r="CI38" s="23"/>
      <c r="CJ38" s="23"/>
      <c r="CK38" s="23"/>
      <c r="CL38" s="23"/>
      <c r="CM38" s="23"/>
      <c r="CN38" s="23"/>
      <c r="CO38" s="23"/>
      <c r="CP38" s="23"/>
      <c r="CQ38" s="23"/>
      <c r="CR38" s="23"/>
      <c r="CS38" s="23"/>
      <c r="CT38" s="23"/>
      <c r="CU38" s="23"/>
      <c r="CV38" s="23"/>
      <c r="CW38" s="23"/>
      <c r="CX38" s="23"/>
      <c r="CY38" s="23"/>
      <c r="CZ38" s="23"/>
      <c r="DA38" s="23"/>
      <c r="DB38" s="23"/>
      <c r="DC38" s="23"/>
      <c r="DD38" s="23"/>
      <c r="DE38" s="23"/>
      <c r="DF38" s="23"/>
      <c r="DG38" s="23"/>
      <c r="DH38" s="23"/>
      <c r="DI38" s="23"/>
      <c r="DJ38" s="23"/>
      <c r="DK38" s="23"/>
      <c r="DL38" s="23"/>
      <c r="DM38" s="23"/>
      <c r="DN38" s="23"/>
      <c r="DO38" s="23"/>
      <c r="DP38" s="23"/>
      <c r="DQ38" s="23"/>
      <c r="DR38" s="23"/>
      <c r="DS38" s="23"/>
      <c r="DT38" s="23"/>
      <c r="DU38" s="23"/>
      <c r="DV38" s="23"/>
      <c r="DW38" s="23"/>
      <c r="DX38" s="23"/>
      <c r="DY38" s="23"/>
      <c r="DZ38" s="23"/>
      <c r="EA38" s="23"/>
      <c r="EB38" s="23"/>
      <c r="EC38" s="23"/>
      <c r="ED38" s="23"/>
      <c r="EE38" s="23"/>
      <c r="EF38" s="23"/>
      <c r="EG38" s="23"/>
      <c r="EH38" s="23"/>
      <c r="EI38" s="23"/>
      <c r="EJ38" s="23"/>
      <c r="EK38" s="23"/>
      <c r="EL38" s="23"/>
      <c r="EM38" s="23"/>
      <c r="EN38" s="23"/>
      <c r="EO38" s="23"/>
      <c r="EP38" s="23"/>
      <c r="EQ38" s="23"/>
      <c r="ER38" s="23"/>
      <c r="ES38" s="23"/>
      <c r="ET38" s="23"/>
      <c r="EU38" s="23"/>
      <c r="EV38" s="23"/>
      <c r="EW38" s="23"/>
      <c r="EX38" s="23"/>
      <c r="EY38" s="23"/>
      <c r="EZ38" s="23"/>
      <c r="FA38" s="23"/>
      <c r="FB38" s="23"/>
      <c r="FC38" s="23"/>
      <c r="FD38" s="23"/>
      <c r="FE38" s="23"/>
      <c r="FF38" s="23"/>
      <c r="FG38" s="23"/>
      <c r="FH38" s="23"/>
      <c r="FI38" s="23"/>
      <c r="FJ38" s="23"/>
      <c r="FK38" s="23"/>
      <c r="FL38" s="23"/>
      <c r="FM38" s="23"/>
      <c r="FN38" s="23"/>
      <c r="FO38" s="23"/>
      <c r="FP38" s="23"/>
      <c r="FQ38" s="23"/>
      <c r="FR38" s="23"/>
      <c r="FS38" s="23"/>
      <c r="FT38" s="23"/>
      <c r="FU38" s="23"/>
      <c r="FV38" s="23"/>
      <c r="FW38" s="23"/>
      <c r="FX38" s="23"/>
      <c r="FY38" s="23"/>
      <c r="FZ38" s="23"/>
      <c r="GA38" s="23"/>
      <c r="GB38" s="23"/>
      <c r="GC38" s="23"/>
      <c r="GD38" s="23"/>
      <c r="GE38" s="23"/>
      <c r="GF38" s="23"/>
      <c r="GG38" s="23"/>
      <c r="GH38" s="23"/>
      <c r="GI38" s="23"/>
      <c r="GJ38" s="23"/>
      <c r="GK38" s="23"/>
      <c r="GL38" s="23"/>
      <c r="GM38" s="23"/>
      <c r="GN38" s="23"/>
      <c r="GO38" s="23"/>
      <c r="GP38" s="23"/>
      <c r="GQ38" s="23"/>
      <c r="GR38" s="23"/>
      <c r="GS38" s="23"/>
      <c r="GT38" s="23"/>
      <c r="GU38" s="23"/>
      <c r="GV38" s="23"/>
      <c r="GW38" s="23"/>
      <c r="GX38" s="23"/>
      <c r="GY38" s="23"/>
      <c r="GZ38" s="23"/>
      <c r="HA38" s="23"/>
      <c r="HB38" s="23"/>
      <c r="HC38" s="23"/>
      <c r="HD38" s="23"/>
      <c r="HE38" s="23"/>
      <c r="HF38" s="23"/>
      <c r="HG38" s="23"/>
      <c r="HH38" s="23"/>
      <c r="HI38" s="23"/>
      <c r="HJ38" s="23"/>
      <c r="HK38" s="23"/>
      <c r="HL38" s="23"/>
      <c r="HM38" s="23"/>
      <c r="HN38" s="23"/>
      <c r="HO38" s="23"/>
      <c r="HP38" s="23"/>
      <c r="HQ38" s="23"/>
      <c r="HR38" s="23"/>
      <c r="HS38" s="23"/>
      <c r="HT38" s="23"/>
      <c r="HU38" s="23"/>
      <c r="HV38" s="23"/>
      <c r="HW38" s="23"/>
      <c r="HX38" s="23"/>
      <c r="HY38" s="23"/>
      <c r="HZ38" s="23"/>
      <c r="IA38" s="23"/>
      <c r="IB38" s="23"/>
      <c r="IC38" s="23"/>
      <c r="ID38" s="23"/>
      <c r="IE38" s="23"/>
      <c r="IF38" s="23"/>
      <c r="IG38" s="23"/>
      <c r="IH38" s="23"/>
      <c r="II38" s="23"/>
      <c r="IJ38" s="23"/>
      <c r="IK38" s="23"/>
      <c r="IL38" s="23"/>
      <c r="IM38" s="23"/>
      <c r="IN38" s="23"/>
      <c r="IO38" s="23"/>
      <c r="IP38" s="23"/>
      <c r="IQ38" s="23"/>
      <c r="IR38" s="23"/>
      <c r="IS38" s="23"/>
      <c r="IT38" s="23"/>
      <c r="IU38" s="23"/>
      <c r="IV38" s="23"/>
      <c r="IW38" s="23"/>
      <c r="IX38" s="23"/>
      <c r="IY38" s="23"/>
      <c r="IZ38" s="23"/>
      <c r="JA38" s="23"/>
      <c r="JB38" s="23"/>
      <c r="JC38" s="23"/>
      <c r="JD38" s="23"/>
      <c r="JE38" s="23"/>
      <c r="JF38" s="23"/>
      <c r="JG38" s="23"/>
      <c r="JH38" s="23"/>
      <c r="JI38" s="23"/>
      <c r="JJ38" s="23"/>
      <c r="JK38" s="23"/>
      <c r="JL38" s="23"/>
      <c r="JM38" s="23"/>
      <c r="JN38" s="23"/>
      <c r="JO38" s="23"/>
      <c r="JP38" s="23"/>
      <c r="JQ38" s="23"/>
      <c r="JR38" s="23"/>
      <c r="JS38" s="23"/>
      <c r="JT38" s="23"/>
      <c r="JU38" s="23"/>
      <c r="JV38" s="23"/>
      <c r="JW38" s="23"/>
      <c r="JX38" s="23"/>
      <c r="JY38" s="23"/>
      <c r="JZ38" s="23"/>
      <c r="KA38" s="23"/>
      <c r="KB38" s="23"/>
      <c r="KC38" s="23"/>
      <c r="KD38" s="23"/>
      <c r="KE38" s="23"/>
      <c r="KF38" s="23"/>
      <c r="KG38" s="23"/>
      <c r="KH38" s="23"/>
      <c r="KI38" s="23"/>
      <c r="KJ38" s="23"/>
      <c r="KK38" s="23"/>
      <c r="KL38" s="23"/>
      <c r="KM38" s="23"/>
      <c r="KN38" s="23"/>
      <c r="KO38" s="23"/>
      <c r="KP38" s="23"/>
      <c r="KQ38" s="23"/>
      <c r="KR38" s="23"/>
      <c r="KS38" s="23"/>
      <c r="KT38" s="23"/>
      <c r="KU38" s="23"/>
      <c r="KV38" s="23"/>
      <c r="KW38" s="23"/>
      <c r="KX38" s="23"/>
      <c r="KY38" s="23"/>
      <c r="KZ38" s="23"/>
      <c r="LA38" s="23"/>
      <c r="LB38" s="23"/>
      <c r="LC38" s="23"/>
      <c r="LD38" s="23"/>
      <c r="LE38" s="23"/>
      <c r="LF38" s="23"/>
      <c r="LG38" s="23"/>
      <c r="LH38" s="23"/>
      <c r="LI38" s="23"/>
      <c r="LJ38" s="23"/>
      <c r="LK38" s="23"/>
      <c r="LL38" s="23"/>
      <c r="LM38" s="23"/>
      <c r="LN38" s="23"/>
      <c r="LO38" s="23"/>
      <c r="LP38" s="23"/>
      <c r="LQ38" s="23"/>
      <c r="LR38" s="23"/>
      <c r="LS38" s="23"/>
      <c r="LT38" s="23"/>
      <c r="LU38" s="23"/>
      <c r="LV38" s="23"/>
      <c r="LW38" s="23"/>
      <c r="LX38" s="23"/>
      <c r="LY38" s="23"/>
      <c r="LZ38" s="23"/>
      <c r="MA38" s="23"/>
      <c r="MB38" s="23"/>
      <c r="MC38" s="23"/>
      <c r="MD38" s="23"/>
      <c r="ME38" s="23"/>
      <c r="MF38" s="23"/>
      <c r="MG38" s="23"/>
      <c r="MH38" s="23"/>
      <c r="MI38" s="23"/>
      <c r="MJ38" s="23"/>
      <c r="MK38" s="23"/>
      <c r="ML38" s="23"/>
      <c r="MM38" s="23"/>
      <c r="MN38" s="23"/>
      <c r="MO38" s="23"/>
      <c r="MP38" s="23"/>
      <c r="MQ38" s="23"/>
      <c r="MR38" s="23"/>
      <c r="MS38" s="23"/>
      <c r="MT38" s="23"/>
      <c r="MU38" s="23"/>
      <c r="MV38" s="23"/>
      <c r="MW38" s="23"/>
      <c r="MX38" s="23"/>
      <c r="MY38" s="23"/>
      <c r="MZ38" s="23"/>
      <c r="NA38" s="23"/>
      <c r="NB38" s="23"/>
      <c r="NC38" s="23"/>
      <c r="ND38" s="23"/>
      <c r="NE38" s="23"/>
      <c r="NF38" s="23"/>
      <c r="NG38" s="23"/>
      <c r="NH38" s="23"/>
      <c r="NI38" s="23"/>
      <c r="NJ38" s="23"/>
      <c r="NK38" s="23"/>
      <c r="NL38" s="23"/>
      <c r="NM38" s="23"/>
      <c r="NN38" s="23"/>
      <c r="NO38" s="23"/>
      <c r="NP38" s="23"/>
      <c r="NQ38" s="23"/>
      <c r="NR38" s="23"/>
      <c r="NS38" s="23"/>
      <c r="NT38" s="23"/>
      <c r="NU38" s="23"/>
      <c r="NV38" s="23"/>
      <c r="NW38" s="23"/>
      <c r="NX38" s="23"/>
      <c r="NY38" s="23"/>
      <c r="NZ38" s="23"/>
      <c r="OA38" s="23"/>
      <c r="OB38" s="23"/>
      <c r="OC38" s="23"/>
      <c r="OD38" s="23"/>
      <c r="OE38" s="23"/>
      <c r="OF38" s="23"/>
      <c r="OG38" s="23"/>
      <c r="OH38" s="23"/>
      <c r="OI38" s="23"/>
      <c r="OJ38" s="23"/>
      <c r="OK38" s="23"/>
      <c r="OL38" s="23"/>
      <c r="OM38" s="23"/>
      <c r="ON38" s="23"/>
      <c r="OO38" s="23"/>
      <c r="OP38" s="23"/>
      <c r="OQ38" s="23"/>
      <c r="OR38" s="23"/>
      <c r="OS38" s="23"/>
      <c r="OT38" s="23"/>
      <c r="OU38" s="23"/>
      <c r="OV38" s="23"/>
      <c r="OW38" s="23"/>
      <c r="OX38" s="23"/>
      <c r="OY38" s="23"/>
      <c r="OZ38" s="23"/>
      <c r="PA38" s="23"/>
      <c r="PB38" s="23"/>
      <c r="PC38" s="23"/>
      <c r="PD38" s="23"/>
      <c r="PE38" s="23"/>
      <c r="PF38" s="23"/>
      <c r="PG38" s="23"/>
      <c r="PH38" s="23"/>
      <c r="PI38" s="23"/>
      <c r="PJ38" s="23"/>
      <c r="PK38" s="23"/>
      <c r="PL38" s="23"/>
      <c r="PM38" s="23"/>
      <c r="PN38" s="23"/>
      <c r="PO38" s="23"/>
      <c r="PP38" s="23"/>
      <c r="PQ38" s="23"/>
      <c r="PR38" s="23"/>
      <c r="PS38" s="23"/>
      <c r="PT38" s="23"/>
      <c r="PU38" s="23"/>
      <c r="PV38" s="23"/>
      <c r="PW38" s="23"/>
      <c r="PX38" s="23"/>
      <c r="PY38" s="23"/>
      <c r="PZ38" s="23"/>
      <c r="QA38" s="23"/>
      <c r="QB38" s="23"/>
      <c r="QC38" s="23"/>
      <c r="QD38" s="23"/>
      <c r="QE38" s="23"/>
      <c r="QF38" s="23"/>
      <c r="QG38" s="23"/>
      <c r="QH38" s="23"/>
      <c r="QI38" s="23"/>
      <c r="QJ38" s="23"/>
      <c r="QK38" s="23"/>
      <c r="QL38" s="23"/>
      <c r="QM38" s="23"/>
      <c r="QN38" s="23"/>
      <c r="QO38" s="23"/>
      <c r="QP38" s="23"/>
      <c r="QQ38" s="23"/>
      <c r="QR38" s="23"/>
      <c r="QS38" s="23"/>
      <c r="QT38" s="23"/>
      <c r="QU38" s="23"/>
      <c r="QV38" s="23"/>
      <c r="QW38" s="23"/>
      <c r="QX38" s="23"/>
      <c r="QY38" s="23"/>
      <c r="QZ38" s="23"/>
      <c r="RA38" s="23"/>
      <c r="RB38" s="23"/>
      <c r="RC38" s="23"/>
      <c r="RD38" s="23"/>
      <c r="RE38" s="23"/>
      <c r="RF38" s="23"/>
      <c r="RG38" s="23"/>
      <c r="RH38" s="23"/>
      <c r="RI38" s="23"/>
      <c r="RJ38" s="23"/>
      <c r="RK38" s="23"/>
      <c r="RL38" s="23"/>
      <c r="RM38" s="23"/>
      <c r="RN38" s="23"/>
      <c r="RO38" s="23"/>
      <c r="RP38" s="23"/>
      <c r="RQ38" s="23"/>
      <c r="RR38" s="23"/>
      <c r="RS38" s="23"/>
      <c r="RT38" s="23"/>
      <c r="RU38" s="23"/>
      <c r="RV38" s="23"/>
      <c r="RW38" s="23"/>
      <c r="RX38" s="23"/>
      <c r="RY38" s="23"/>
      <c r="RZ38" s="23"/>
      <c r="SA38" s="23"/>
      <c r="SB38" s="23"/>
      <c r="SC38" s="23"/>
      <c r="SD38" s="23"/>
      <c r="SE38" s="23"/>
      <c r="SF38" s="23"/>
      <c r="SG38" s="23"/>
      <c r="SH38" s="23"/>
      <c r="SI38" s="23"/>
      <c r="SJ38" s="23"/>
      <c r="SK38" s="23"/>
      <c r="SL38" s="23"/>
      <c r="SM38" s="23"/>
      <c r="SN38" s="23"/>
      <c r="SO38" s="23"/>
      <c r="SP38" s="23"/>
      <c r="SQ38" s="23"/>
      <c r="SR38" s="23"/>
      <c r="SS38" s="23"/>
      <c r="ST38" s="23"/>
      <c r="SU38" s="23"/>
      <c r="SV38" s="23"/>
      <c r="SW38" s="23"/>
      <c r="SX38" s="23"/>
      <c r="SY38" s="23"/>
      <c r="SZ38" s="23"/>
      <c r="TA38" s="23"/>
      <c r="TB38" s="23"/>
      <c r="TC38" s="23"/>
      <c r="TD38" s="23"/>
      <c r="TE38" s="23"/>
      <c r="TF38" s="23"/>
      <c r="TG38" s="23"/>
      <c r="TH38" s="23"/>
      <c r="TI38" s="23"/>
      <c r="TJ38" s="23"/>
      <c r="TK38" s="23"/>
      <c r="TL38" s="23"/>
      <c r="TM38" s="23"/>
      <c r="TN38" s="23"/>
      <c r="TO38" s="23"/>
      <c r="TP38" s="23"/>
      <c r="TQ38" s="23"/>
      <c r="TR38" s="23"/>
      <c r="TS38" s="23"/>
      <c r="TT38" s="23"/>
      <c r="TU38" s="23"/>
      <c r="TV38" s="23"/>
      <c r="TW38" s="23"/>
      <c r="TX38" s="23"/>
      <c r="TY38" s="23"/>
      <c r="TZ38" s="23"/>
      <c r="UA38" s="23"/>
      <c r="UB38" s="23"/>
      <c r="UC38" s="23"/>
      <c r="UD38" s="23"/>
      <c r="UE38" s="23"/>
      <c r="UF38" s="23"/>
      <c r="UG38" s="23"/>
      <c r="UH38" s="23"/>
      <c r="UI38" s="23"/>
      <c r="UJ38" s="23"/>
      <c r="UK38" s="23"/>
      <c r="UL38" s="23"/>
      <c r="UM38" s="23"/>
      <c r="UN38" s="23"/>
      <c r="UO38" s="23"/>
      <c r="UP38" s="23"/>
      <c r="UQ38" s="23"/>
      <c r="UR38" s="23"/>
      <c r="US38" s="23"/>
      <c r="UT38" s="23"/>
      <c r="UU38" s="23"/>
      <c r="UV38" s="23"/>
      <c r="UW38" s="23"/>
      <c r="UX38" s="23"/>
      <c r="UY38" s="23"/>
      <c r="UZ38" s="23"/>
      <c r="VA38" s="23"/>
      <c r="VB38" s="23"/>
      <c r="VC38" s="23"/>
      <c r="VD38" s="23"/>
      <c r="VE38" s="23"/>
      <c r="VF38" s="23"/>
      <c r="VG38" s="23"/>
      <c r="VH38" s="23"/>
      <c r="VI38" s="23"/>
      <c r="VJ38" s="23"/>
      <c r="VK38" s="23"/>
      <c r="VL38" s="23"/>
      <c r="VM38" s="23"/>
      <c r="VN38" s="23"/>
      <c r="VO38" s="23"/>
      <c r="VP38" s="23"/>
      <c r="VQ38" s="23"/>
      <c r="VR38" s="23"/>
      <c r="VS38" s="23"/>
      <c r="VT38" s="23"/>
      <c r="VU38" s="23"/>
      <c r="VV38" s="23"/>
      <c r="VW38" s="23"/>
      <c r="VX38" s="23"/>
      <c r="VY38" s="23"/>
      <c r="VZ38" s="23"/>
      <c r="WA38" s="23"/>
      <c r="WB38" s="23"/>
      <c r="WC38" s="23"/>
      <c r="WD38" s="23"/>
      <c r="WE38" s="23"/>
      <c r="WF38" s="23"/>
      <c r="WG38" s="23"/>
      <c r="WH38" s="23"/>
      <c r="WI38" s="23"/>
      <c r="WJ38" s="23"/>
      <c r="WK38" s="23"/>
      <c r="WL38" s="23"/>
      <c r="WM38" s="23"/>
      <c r="WN38" s="23"/>
      <c r="WO38" s="23"/>
      <c r="WP38" s="23"/>
      <c r="WQ38" s="23"/>
      <c r="WR38" s="23"/>
      <c r="WS38" s="23"/>
      <c r="WT38" s="23"/>
      <c r="WU38" s="23"/>
      <c r="WV38" s="23"/>
      <c r="WW38" s="23"/>
      <c r="WX38" s="23"/>
      <c r="WY38" s="23"/>
      <c r="WZ38" s="23"/>
      <c r="XA38" s="23"/>
      <c r="XB38" s="23"/>
      <c r="XC38" s="23"/>
      <c r="XD38" s="23"/>
      <c r="XE38" s="23"/>
      <c r="XF38" s="23"/>
      <c r="XG38" s="23"/>
      <c r="XH38" s="23"/>
      <c r="XI38" s="23"/>
      <c r="XJ38" s="23"/>
      <c r="XK38" s="23"/>
      <c r="XL38" s="23"/>
      <c r="XM38" s="23"/>
      <c r="XN38" s="23"/>
      <c r="XO38" s="23"/>
      <c r="XP38" s="23"/>
      <c r="XQ38" s="23"/>
      <c r="XR38" s="23"/>
      <c r="XS38" s="23"/>
      <c r="XT38" s="23"/>
      <c r="XU38" s="23"/>
      <c r="XV38" s="23"/>
      <c r="XW38" s="23"/>
      <c r="XX38" s="23"/>
      <c r="XY38" s="23"/>
      <c r="XZ38" s="23"/>
      <c r="YA38" s="23"/>
      <c r="YB38" s="23"/>
      <c r="YC38" s="23"/>
      <c r="YD38" s="23"/>
      <c r="YE38" s="23"/>
      <c r="YF38" s="23"/>
      <c r="YG38" s="23"/>
      <c r="YH38" s="23"/>
      <c r="YI38" s="23"/>
      <c r="YJ38" s="23"/>
      <c r="YK38" s="23"/>
      <c r="YL38" s="23"/>
      <c r="YM38" s="23"/>
      <c r="YN38" s="23"/>
      <c r="YO38" s="23"/>
      <c r="YP38" s="23"/>
      <c r="YQ38" s="23"/>
      <c r="YR38" s="23"/>
      <c r="YS38" s="23"/>
      <c r="YT38" s="23"/>
      <c r="YU38" s="23"/>
      <c r="YV38" s="23"/>
      <c r="YW38" s="23"/>
      <c r="YX38" s="23"/>
      <c r="YY38" s="23"/>
      <c r="YZ38" s="23"/>
      <c r="ZA38" s="23"/>
      <c r="ZB38" s="23"/>
      <c r="ZC38" s="23"/>
      <c r="ZD38" s="23"/>
      <c r="ZE38" s="54"/>
    </row>
  </sheetData>
  <phoneticPr fontId="17" type="noConversion"/>
  <conditionalFormatting sqref="J6:AK6">
    <cfRule type="expression" dxfId="6" priority="8">
      <formula>J6&gt;J5</formula>
    </cfRule>
  </conditionalFormatting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Feuil10"/>
  <dimension ref="A1:AJ102"/>
  <sheetViews>
    <sheetView topLeftCell="E1" zoomScale="62" zoomScaleNormal="62" workbookViewId="0">
      <pane ySplit="4" topLeftCell="A35" activePane="bottomLeft" state="frozen"/>
      <selection pane="bottomLeft" activeCell="K73" sqref="K73"/>
    </sheetView>
  </sheetViews>
  <sheetFormatPr baseColWidth="10" defaultColWidth="11.42578125" defaultRowHeight="15" x14ac:dyDescent="0.25"/>
  <cols>
    <col min="1" max="1" width="13.140625" style="24" customWidth="1"/>
    <col min="2" max="6" width="11.42578125" style="24"/>
    <col min="7" max="7" width="20.7109375" style="24" customWidth="1"/>
    <col min="8" max="8" width="7.140625" style="24" customWidth="1"/>
    <col min="9" max="33" width="6.85546875" style="24" customWidth="1"/>
    <col min="34" max="34" width="6" style="24" customWidth="1"/>
    <col min="35" max="16384" width="11.42578125" style="24"/>
  </cols>
  <sheetData>
    <row r="1" spans="1:36" ht="15.75" thickBot="1" x14ac:dyDescent="0.3">
      <c r="F1" s="101"/>
      <c r="J1" s="234"/>
      <c r="L1" s="297"/>
      <c r="M1" s="297"/>
    </row>
    <row r="2" spans="1:36" ht="21.75" thickBot="1" x14ac:dyDescent="0.4">
      <c r="A2" s="120" t="s">
        <v>103</v>
      </c>
      <c r="B2" s="1" t="str">
        <f>I4</f>
        <v>W2/20</v>
      </c>
      <c r="C2" s="41"/>
      <c r="D2" s="41"/>
      <c r="F2" s="25"/>
      <c r="I2" s="234"/>
      <c r="J2" s="234"/>
    </row>
    <row r="3" spans="1:36" x14ac:dyDescent="0.25">
      <c r="H3" s="24" t="s">
        <v>104</v>
      </c>
      <c r="I3" s="234"/>
      <c r="J3" s="234"/>
    </row>
    <row r="4" spans="1:36" x14ac:dyDescent="0.25">
      <c r="A4" s="68" t="s">
        <v>121</v>
      </c>
      <c r="B4" s="68" t="s">
        <v>122</v>
      </c>
      <c r="C4" s="68" t="s">
        <v>105</v>
      </c>
      <c r="D4" s="68" t="s">
        <v>123</v>
      </c>
      <c r="E4" s="68" t="s">
        <v>101</v>
      </c>
      <c r="F4" s="68" t="s">
        <v>124</v>
      </c>
      <c r="G4" s="146" t="s">
        <v>102</v>
      </c>
      <c r="H4" s="256" t="s">
        <v>76</v>
      </c>
      <c r="I4" s="256" t="s">
        <v>77</v>
      </c>
      <c r="J4" s="256" t="s">
        <v>78</v>
      </c>
      <c r="K4" s="256" t="s">
        <v>79</v>
      </c>
      <c r="L4" s="256" t="s">
        <v>80</v>
      </c>
      <c r="M4" s="256" t="s">
        <v>81</v>
      </c>
      <c r="N4" s="256" t="s">
        <v>82</v>
      </c>
      <c r="O4" s="256" t="s">
        <v>83</v>
      </c>
      <c r="P4" s="256" t="s">
        <v>84</v>
      </c>
      <c r="Q4" s="256" t="s">
        <v>85</v>
      </c>
      <c r="R4" s="256" t="s">
        <v>86</v>
      </c>
      <c r="S4" s="256" t="s">
        <v>87</v>
      </c>
      <c r="T4" s="256" t="s">
        <v>88</v>
      </c>
      <c r="U4" s="256" t="s">
        <v>89</v>
      </c>
      <c r="V4" s="256" t="s">
        <v>90</v>
      </c>
      <c r="W4" s="256" t="s">
        <v>91</v>
      </c>
      <c r="X4" s="256" t="s">
        <v>92</v>
      </c>
      <c r="Y4" s="256" t="s">
        <v>93</v>
      </c>
      <c r="Z4" s="256" t="s">
        <v>94</v>
      </c>
      <c r="AA4" s="256" t="s">
        <v>95</v>
      </c>
      <c r="AB4" s="256" t="s">
        <v>96</v>
      </c>
      <c r="AC4" s="256" t="s">
        <v>97</v>
      </c>
      <c r="AD4" s="256" t="s">
        <v>98</v>
      </c>
      <c r="AE4" s="257" t="s">
        <v>99</v>
      </c>
      <c r="AF4" s="256" t="s">
        <v>100</v>
      </c>
      <c r="AG4" s="256"/>
      <c r="AH4" s="256"/>
      <c r="AI4" s="256"/>
      <c r="AJ4" s="256"/>
    </row>
    <row r="5" spans="1:36" x14ac:dyDescent="0.25">
      <c r="A5" s="30">
        <v>1000</v>
      </c>
      <c r="B5" s="102" t="s">
        <v>29</v>
      </c>
      <c r="C5" s="155">
        <v>111</v>
      </c>
      <c r="D5" s="42" t="s">
        <v>65</v>
      </c>
      <c r="E5" s="103" t="s">
        <v>49</v>
      </c>
      <c r="F5" s="42" t="s">
        <v>48</v>
      </c>
      <c r="G5" s="98" t="s">
        <v>47</v>
      </c>
      <c r="H5" s="14"/>
      <c r="I5" s="153"/>
      <c r="J5" s="153"/>
      <c r="K5" s="16">
        <f ca="1">Factory!J12</f>
        <v>460</v>
      </c>
      <c r="L5" s="16">
        <f ca="1">Factory!K12</f>
        <v>327</v>
      </c>
      <c r="M5" s="16">
        <f ca="1">Factory!L12</f>
        <v>290</v>
      </c>
      <c r="N5" s="16">
        <f ca="1">Factory!M12</f>
        <v>483</v>
      </c>
      <c r="O5" s="16">
        <f ca="1">Factory!N12</f>
        <v>680</v>
      </c>
      <c r="P5" s="16">
        <f ca="1">Factory!O12</f>
        <v>448</v>
      </c>
      <c r="Q5" s="16">
        <f ca="1">Factory!P12</f>
        <v>762</v>
      </c>
      <c r="R5" s="16">
        <f ca="1">Factory!Q12</f>
        <v>600</v>
      </c>
      <c r="S5" s="16">
        <f ca="1">Factory!R12</f>
        <v>530</v>
      </c>
      <c r="T5" s="16">
        <f ca="1">Factory!S12</f>
        <v>860</v>
      </c>
      <c r="U5" s="16">
        <f ca="1">Factory!T12</f>
        <v>390</v>
      </c>
      <c r="V5" s="16">
        <f ca="1">Factory!U12</f>
        <v>620</v>
      </c>
      <c r="W5" s="16">
        <f ca="1">Factory!V12</f>
        <v>434</v>
      </c>
      <c r="X5" s="16">
        <f ca="1">Factory!W12</f>
        <v>686</v>
      </c>
      <c r="Y5" s="16">
        <f ca="1">Factory!X12</f>
        <v>550</v>
      </c>
      <c r="Z5" s="16">
        <f ca="1">Factory!Y12</f>
        <v>620</v>
      </c>
      <c r="AA5" s="16">
        <f ca="1">Factory!Z12</f>
        <v>1000</v>
      </c>
      <c r="AB5" s="16">
        <f ca="1">Factory!AA12</f>
        <v>710</v>
      </c>
      <c r="AC5" s="16">
        <f ca="1">Factory!AB12</f>
        <v>450</v>
      </c>
      <c r="AD5" s="16">
        <f ca="1">Factory!AC12</f>
        <v>237</v>
      </c>
      <c r="AE5" s="16">
        <f ca="1">Factory!AD12</f>
        <v>256</v>
      </c>
      <c r="AF5" s="16">
        <f ca="1">Factory!AE12</f>
        <v>132</v>
      </c>
      <c r="AG5" s="229"/>
      <c r="AH5" s="229"/>
      <c r="AI5" s="229"/>
      <c r="AJ5" s="229"/>
    </row>
    <row r="6" spans="1:36" x14ac:dyDescent="0.25">
      <c r="A6" s="30">
        <v>1000</v>
      </c>
      <c r="B6" s="102" t="s">
        <v>29</v>
      </c>
      <c r="C6" s="155">
        <v>111</v>
      </c>
      <c r="D6" s="42" t="s">
        <v>65</v>
      </c>
      <c r="E6" s="103" t="s">
        <v>49</v>
      </c>
      <c r="F6" s="42" t="s">
        <v>48</v>
      </c>
      <c r="G6" s="35" t="s">
        <v>73</v>
      </c>
      <c r="H6" s="31"/>
      <c r="I6" s="36">
        <f>MJ_Initialisation!D44</f>
        <v>220</v>
      </c>
      <c r="J6" s="237">
        <f>MJ_Initialisation!E44</f>
        <v>280</v>
      </c>
      <c r="K6" s="186"/>
      <c r="L6" s="186"/>
      <c r="M6" s="186"/>
      <c r="N6" s="186"/>
      <c r="O6" s="186"/>
      <c r="P6" s="186"/>
      <c r="Q6" s="186"/>
      <c r="R6" s="186"/>
      <c r="S6" s="186"/>
      <c r="T6" s="186"/>
      <c r="U6" s="186"/>
      <c r="V6" s="186"/>
      <c r="W6" s="186"/>
      <c r="X6" s="186"/>
      <c r="Y6" s="186"/>
      <c r="Z6" s="186"/>
      <c r="AA6" s="186"/>
      <c r="AB6" s="186"/>
      <c r="AC6" s="186"/>
      <c r="AD6" s="186"/>
      <c r="AE6" s="186"/>
      <c r="AF6" s="186"/>
      <c r="AG6" s="271"/>
      <c r="AH6" s="271"/>
      <c r="AI6" s="271"/>
      <c r="AJ6" s="271"/>
    </row>
    <row r="7" spans="1:36" x14ac:dyDescent="0.25">
      <c r="A7" s="30">
        <v>1000</v>
      </c>
      <c r="B7" s="102" t="s">
        <v>29</v>
      </c>
      <c r="C7" s="155">
        <v>111</v>
      </c>
      <c r="D7" s="42" t="s">
        <v>65</v>
      </c>
      <c r="E7" s="103" t="s">
        <v>49</v>
      </c>
      <c r="F7" s="42" t="s">
        <v>48</v>
      </c>
      <c r="G7" s="106" t="s">
        <v>127</v>
      </c>
      <c r="H7" s="42"/>
      <c r="I7" s="250">
        <f>I5+I6</f>
        <v>220</v>
      </c>
      <c r="J7" s="87">
        <f t="shared" ref="J7" si="0">J5+J6</f>
        <v>280</v>
      </c>
      <c r="K7" s="97">
        <f ca="1">K5</f>
        <v>460</v>
      </c>
      <c r="L7" s="97">
        <f ca="1">L5</f>
        <v>327</v>
      </c>
      <c r="M7" s="97">
        <f ca="1">M5</f>
        <v>290</v>
      </c>
      <c r="N7" s="97">
        <f t="shared" ref="N7:AF7" ca="1" si="1">N5</f>
        <v>483</v>
      </c>
      <c r="O7" s="97">
        <f t="shared" ca="1" si="1"/>
        <v>680</v>
      </c>
      <c r="P7" s="97">
        <f t="shared" ca="1" si="1"/>
        <v>448</v>
      </c>
      <c r="Q7" s="97">
        <f t="shared" ca="1" si="1"/>
        <v>762</v>
      </c>
      <c r="R7" s="97">
        <f t="shared" ca="1" si="1"/>
        <v>600</v>
      </c>
      <c r="S7" s="97">
        <f t="shared" ca="1" si="1"/>
        <v>530</v>
      </c>
      <c r="T7" s="97">
        <f t="shared" ca="1" si="1"/>
        <v>860</v>
      </c>
      <c r="U7" s="97">
        <f t="shared" ca="1" si="1"/>
        <v>390</v>
      </c>
      <c r="V7" s="97">
        <f t="shared" ca="1" si="1"/>
        <v>620</v>
      </c>
      <c r="W7" s="97">
        <f t="shared" ca="1" si="1"/>
        <v>434</v>
      </c>
      <c r="X7" s="97">
        <f t="shared" ca="1" si="1"/>
        <v>686</v>
      </c>
      <c r="Y7" s="97">
        <f t="shared" ca="1" si="1"/>
        <v>550</v>
      </c>
      <c r="Z7" s="97">
        <f t="shared" ca="1" si="1"/>
        <v>620</v>
      </c>
      <c r="AA7" s="97">
        <f t="shared" ca="1" si="1"/>
        <v>1000</v>
      </c>
      <c r="AB7" s="97">
        <f t="shared" ca="1" si="1"/>
        <v>710</v>
      </c>
      <c r="AC7" s="97">
        <f t="shared" ca="1" si="1"/>
        <v>450</v>
      </c>
      <c r="AD7" s="97">
        <f t="shared" ca="1" si="1"/>
        <v>237</v>
      </c>
      <c r="AE7" s="97">
        <f t="shared" ca="1" si="1"/>
        <v>256</v>
      </c>
      <c r="AF7" s="97">
        <f t="shared" ca="1" si="1"/>
        <v>132</v>
      </c>
      <c r="AG7" s="250"/>
      <c r="AH7" s="250"/>
      <c r="AI7" s="250"/>
      <c r="AJ7" s="250"/>
    </row>
    <row r="8" spans="1:36" ht="15.75" thickBot="1" x14ac:dyDescent="0.3">
      <c r="A8" s="30">
        <v>1000</v>
      </c>
      <c r="B8" s="102" t="s">
        <v>29</v>
      </c>
      <c r="C8" s="103" t="s">
        <v>49</v>
      </c>
      <c r="D8" s="42" t="s">
        <v>48</v>
      </c>
      <c r="E8" s="103" t="s">
        <v>49</v>
      </c>
      <c r="F8" s="42" t="s">
        <v>48</v>
      </c>
      <c r="G8" s="168" t="s">
        <v>120</v>
      </c>
      <c r="H8" s="19">
        <f>CBN_CDC!H11</f>
        <v>300</v>
      </c>
      <c r="I8" s="19"/>
      <c r="J8" s="19"/>
      <c r="K8" s="19"/>
      <c r="L8" s="19"/>
      <c r="M8" s="19"/>
      <c r="N8" s="19"/>
      <c r="O8" s="19"/>
      <c r="P8" s="19"/>
      <c r="Q8" s="19"/>
      <c r="R8" s="19"/>
      <c r="S8" s="19"/>
      <c r="T8" s="19"/>
      <c r="U8" s="19"/>
      <c r="V8" s="19"/>
      <c r="W8" s="19"/>
      <c r="X8" s="19"/>
      <c r="Y8" s="19"/>
      <c r="Z8" s="19"/>
      <c r="AA8" s="19"/>
      <c r="AB8" s="19"/>
      <c r="AC8" s="19"/>
      <c r="AD8" s="19"/>
      <c r="AE8" s="19"/>
      <c r="AF8" s="19"/>
      <c r="AG8" s="231"/>
      <c r="AH8" s="231"/>
      <c r="AI8" s="231"/>
      <c r="AJ8" s="231"/>
    </row>
    <row r="9" spans="1:36" x14ac:dyDescent="0.25">
      <c r="A9" s="30">
        <v>1000</v>
      </c>
      <c r="B9" s="102" t="s">
        <v>29</v>
      </c>
      <c r="C9" s="103" t="s">
        <v>49</v>
      </c>
      <c r="D9" s="42" t="s">
        <v>48</v>
      </c>
      <c r="E9" s="103" t="s">
        <v>49</v>
      </c>
      <c r="F9" s="42" t="s">
        <v>48</v>
      </c>
      <c r="G9" s="106" t="s">
        <v>63</v>
      </c>
      <c r="H9" s="47"/>
      <c r="I9" s="87">
        <f ca="1">IF(I16&gt;0,0,I14+H18)+IF(I21&gt;0,0,I19+H23)+IF(I26&gt;0,0,I24+H28)+IF(I31&gt;0,0,I29+H33)</f>
        <v>220</v>
      </c>
      <c r="J9" s="87">
        <f ca="1">IF(J16&gt;0,0,J14+I18)+IF(J21&gt;0,0,J19+I23)+IF(J26&gt;0,0,J24+I28)+IF(J31&gt;0,0,J29+I33)</f>
        <v>280</v>
      </c>
      <c r="K9" s="87">
        <f ca="1">IF(K16&gt;0,0,K14+J18)+IF(K21&gt;0,0,K19+J23)+IF(K26&gt;0,0,K24+J28)+IF(K31&gt;0,0,K29+J33)</f>
        <v>460</v>
      </c>
      <c r="L9" s="87">
        <f t="shared" ref="L9:AD9" ca="1" si="2">IF(L16&gt;0,0,L14+K18)+IF(L21&gt;0,0,L19+K23)+IF(L26&gt;0,0,L24+K28)+IF(L31&gt;0,0,L29+K33)</f>
        <v>140</v>
      </c>
      <c r="M9" s="87">
        <f t="shared" ca="1" si="2"/>
        <v>460</v>
      </c>
      <c r="N9" s="87">
        <f t="shared" ca="1" si="2"/>
        <v>500</v>
      </c>
      <c r="O9" s="87">
        <f t="shared" ca="1" si="2"/>
        <v>680</v>
      </c>
      <c r="P9" s="87">
        <f t="shared" ca="1" si="2"/>
        <v>350</v>
      </c>
      <c r="Q9" s="87">
        <f t="shared" ca="1" si="2"/>
        <v>860</v>
      </c>
      <c r="R9" s="87">
        <f t="shared" ca="1" si="2"/>
        <v>600</v>
      </c>
      <c r="S9" s="87">
        <f t="shared" ca="1" si="2"/>
        <v>530</v>
      </c>
      <c r="T9" s="87">
        <f t="shared" ca="1" si="2"/>
        <v>860</v>
      </c>
      <c r="U9" s="87">
        <f t="shared" ca="1" si="2"/>
        <v>390</v>
      </c>
      <c r="V9" s="87">
        <f t="shared" ca="1" si="2"/>
        <v>620</v>
      </c>
      <c r="W9" s="87">
        <f t="shared" ca="1" si="2"/>
        <v>420</v>
      </c>
      <c r="X9" s="87">
        <f t="shared" ca="1" si="2"/>
        <v>700</v>
      </c>
      <c r="Y9" s="87">
        <f t="shared" ca="1" si="2"/>
        <v>550</v>
      </c>
      <c r="Z9" s="87">
        <f t="shared" ca="1" si="2"/>
        <v>620</v>
      </c>
      <c r="AA9" s="87">
        <f t="shared" ca="1" si="2"/>
        <v>1000</v>
      </c>
      <c r="AB9" s="87">
        <f t="shared" ca="1" si="2"/>
        <v>710</v>
      </c>
      <c r="AC9" s="87">
        <f t="shared" ca="1" si="2"/>
        <v>450</v>
      </c>
      <c r="AD9" s="87">
        <f t="shared" ca="1" si="2"/>
        <v>220</v>
      </c>
      <c r="AE9" s="87">
        <f ca="1">IF(AE16&gt;0,0,AE14+AD18)+IF(AE21&gt;0,0,AE19+AD23)+IF(AE26&gt;0,0,AE24+AD28)+IF(AE31&gt;0,0,AE29+AD33)</f>
        <v>210</v>
      </c>
      <c r="AF9" s="87">
        <f t="shared" ref="AF9" ca="1" si="3">IF(AF16&gt;0,0,AF14+AE18)+IF(AF21&gt;0,0,AF19+AE23)+IF(AF26&gt;0,0,AF24+AE28)+IF(AF31&gt;0,0,AF29+AE33)</f>
        <v>40</v>
      </c>
      <c r="AG9" s="246"/>
      <c r="AH9" s="246"/>
      <c r="AI9" s="246"/>
      <c r="AJ9" s="246"/>
    </row>
    <row r="10" spans="1:36" x14ac:dyDescent="0.25">
      <c r="A10" s="30">
        <v>1000</v>
      </c>
      <c r="B10" s="102" t="s">
        <v>29</v>
      </c>
      <c r="C10" s="103" t="s">
        <v>49</v>
      </c>
      <c r="D10" s="42" t="s">
        <v>48</v>
      </c>
      <c r="E10" s="103" t="s">
        <v>49</v>
      </c>
      <c r="F10" s="42" t="s">
        <v>48</v>
      </c>
      <c r="G10" s="99" t="s">
        <v>59</v>
      </c>
      <c r="H10" s="14"/>
      <c r="I10" s="17">
        <f ca="1">I15+I20+I25+I30</f>
        <v>220</v>
      </c>
      <c r="J10" s="17">
        <f t="shared" ref="J10:AE10" ca="1" si="4">J15+J20+J25+J30</f>
        <v>280</v>
      </c>
      <c r="K10" s="17">
        <f t="shared" ca="1" si="4"/>
        <v>460</v>
      </c>
      <c r="L10" s="17">
        <f t="shared" ca="1" si="4"/>
        <v>140</v>
      </c>
      <c r="M10" s="17">
        <f t="shared" ca="1" si="4"/>
        <v>460</v>
      </c>
      <c r="N10" s="17">
        <f t="shared" ca="1" si="4"/>
        <v>500</v>
      </c>
      <c r="O10" s="17">
        <f t="shared" ca="1" si="4"/>
        <v>680</v>
      </c>
      <c r="P10" s="17">
        <f t="shared" ca="1" si="4"/>
        <v>350</v>
      </c>
      <c r="Q10" s="17">
        <f t="shared" ca="1" si="4"/>
        <v>860</v>
      </c>
      <c r="R10" s="17">
        <f t="shared" ca="1" si="4"/>
        <v>600</v>
      </c>
      <c r="S10" s="17">
        <f t="shared" ca="1" si="4"/>
        <v>530</v>
      </c>
      <c r="T10" s="17">
        <f t="shared" ca="1" si="4"/>
        <v>860</v>
      </c>
      <c r="U10" s="17">
        <f t="shared" ca="1" si="4"/>
        <v>390</v>
      </c>
      <c r="V10" s="17">
        <f t="shared" ca="1" si="4"/>
        <v>620</v>
      </c>
      <c r="W10" s="17">
        <f t="shared" ca="1" si="4"/>
        <v>420</v>
      </c>
      <c r="X10" s="17">
        <f t="shared" ca="1" si="4"/>
        <v>700</v>
      </c>
      <c r="Y10" s="17">
        <f t="shared" ca="1" si="4"/>
        <v>550</v>
      </c>
      <c r="Z10" s="17">
        <f t="shared" ca="1" si="4"/>
        <v>620</v>
      </c>
      <c r="AA10" s="17">
        <f t="shared" ca="1" si="4"/>
        <v>1000</v>
      </c>
      <c r="AB10" s="17">
        <f t="shared" ca="1" si="4"/>
        <v>710</v>
      </c>
      <c r="AC10" s="17">
        <f t="shared" ca="1" si="4"/>
        <v>450</v>
      </c>
      <c r="AD10" s="17">
        <f t="shared" ca="1" si="4"/>
        <v>220</v>
      </c>
      <c r="AE10" s="17">
        <f t="shared" ca="1" si="4"/>
        <v>210</v>
      </c>
      <c r="AF10" s="17">
        <f ca="1">AF15+AF20+AF25+AF30</f>
        <v>40</v>
      </c>
      <c r="AG10" s="230"/>
      <c r="AH10" s="230"/>
      <c r="AI10" s="230"/>
      <c r="AJ10" s="230"/>
    </row>
    <row r="11" spans="1:36" x14ac:dyDescent="0.25">
      <c r="A11" s="30">
        <v>1000</v>
      </c>
      <c r="B11" s="102" t="s">
        <v>29</v>
      </c>
      <c r="C11" s="155" t="s">
        <v>49</v>
      </c>
      <c r="D11" s="42" t="s">
        <v>48</v>
      </c>
      <c r="E11" s="103" t="s">
        <v>49</v>
      </c>
      <c r="F11" s="42" t="s">
        <v>48</v>
      </c>
      <c r="G11" s="99" t="s">
        <v>64</v>
      </c>
      <c r="H11" s="14"/>
      <c r="I11" s="17">
        <f ca="1">SUM(I16,I21,I26,I31)</f>
        <v>0</v>
      </c>
      <c r="J11" s="17">
        <f t="shared" ref="J11:AF11" ca="1" si="5">SUM(J16,J21,J26,J31)</f>
        <v>0</v>
      </c>
      <c r="K11" s="17">
        <v>0</v>
      </c>
      <c r="L11" s="17">
        <f t="shared" ca="1" si="5"/>
        <v>0</v>
      </c>
      <c r="M11" s="17">
        <f t="shared" ca="1" si="5"/>
        <v>0</v>
      </c>
      <c r="N11" s="17">
        <f t="shared" ca="1" si="5"/>
        <v>0</v>
      </c>
      <c r="O11" s="17">
        <f t="shared" ca="1" si="5"/>
        <v>0</v>
      </c>
      <c r="P11" s="17">
        <f t="shared" ca="1" si="5"/>
        <v>0</v>
      </c>
      <c r="Q11" s="17">
        <f t="shared" ca="1" si="5"/>
        <v>0</v>
      </c>
      <c r="R11" s="17">
        <f t="shared" ca="1" si="5"/>
        <v>0</v>
      </c>
      <c r="S11" s="17">
        <f t="shared" ca="1" si="5"/>
        <v>0</v>
      </c>
      <c r="T11" s="17">
        <f t="shared" ca="1" si="5"/>
        <v>0</v>
      </c>
      <c r="U11" s="17">
        <f t="shared" ca="1" si="5"/>
        <v>0</v>
      </c>
      <c r="V11" s="17">
        <f t="shared" ca="1" si="5"/>
        <v>0</v>
      </c>
      <c r="W11" s="17">
        <f t="shared" ca="1" si="5"/>
        <v>0</v>
      </c>
      <c r="X11" s="17">
        <f t="shared" ca="1" si="5"/>
        <v>0</v>
      </c>
      <c r="Y11" s="17">
        <f t="shared" ca="1" si="5"/>
        <v>0</v>
      </c>
      <c r="Z11" s="17">
        <f t="shared" ca="1" si="5"/>
        <v>0</v>
      </c>
      <c r="AA11" s="17">
        <f t="shared" ca="1" si="5"/>
        <v>0</v>
      </c>
      <c r="AB11" s="17">
        <f t="shared" ca="1" si="5"/>
        <v>0</v>
      </c>
      <c r="AC11" s="17">
        <f t="shared" ca="1" si="5"/>
        <v>0</v>
      </c>
      <c r="AD11" s="17">
        <f t="shared" ca="1" si="5"/>
        <v>0</v>
      </c>
      <c r="AE11" s="17">
        <f t="shared" ca="1" si="5"/>
        <v>0</v>
      </c>
      <c r="AF11" s="17">
        <f t="shared" ca="1" si="5"/>
        <v>0</v>
      </c>
      <c r="AG11" s="230"/>
      <c r="AH11" s="230"/>
      <c r="AI11" s="230"/>
      <c r="AJ11" s="230"/>
    </row>
    <row r="12" spans="1:36" x14ac:dyDescent="0.25">
      <c r="A12" s="30">
        <v>1000</v>
      </c>
      <c r="B12" s="102" t="s">
        <v>29</v>
      </c>
      <c r="C12" s="155" t="s">
        <v>49</v>
      </c>
      <c r="D12" s="42" t="s">
        <v>48</v>
      </c>
      <c r="E12" s="103" t="s">
        <v>49</v>
      </c>
      <c r="F12" s="42" t="s">
        <v>48</v>
      </c>
      <c r="G12" s="106" t="s">
        <v>61</v>
      </c>
      <c r="H12" s="42"/>
      <c r="I12" s="97">
        <f ca="1">I10</f>
        <v>220</v>
      </c>
      <c r="J12" s="97">
        <f ca="1">J10</f>
        <v>280</v>
      </c>
      <c r="K12" s="97">
        <f ca="1">MAX(MIN(K9,K5+J13-K11),0)</f>
        <v>460</v>
      </c>
      <c r="L12" s="250">
        <f t="shared" ref="L12:AF12" ca="1" si="6">MAX(MIN(L9,L5+K13-L11),0)</f>
        <v>140</v>
      </c>
      <c r="M12" s="250">
        <f t="shared" ca="1" si="6"/>
        <v>460</v>
      </c>
      <c r="N12" s="250">
        <f t="shared" ca="1" si="6"/>
        <v>500</v>
      </c>
      <c r="O12" s="250">
        <f t="shared" ca="1" si="6"/>
        <v>680</v>
      </c>
      <c r="P12" s="250">
        <f t="shared" ca="1" si="6"/>
        <v>350</v>
      </c>
      <c r="Q12" s="250">
        <f t="shared" ca="1" si="6"/>
        <v>860</v>
      </c>
      <c r="R12" s="250">
        <f t="shared" ca="1" si="6"/>
        <v>600</v>
      </c>
      <c r="S12" s="250">
        <f t="shared" ca="1" si="6"/>
        <v>530</v>
      </c>
      <c r="T12" s="250">
        <f t="shared" ca="1" si="6"/>
        <v>860</v>
      </c>
      <c r="U12" s="250">
        <f t="shared" ca="1" si="6"/>
        <v>390</v>
      </c>
      <c r="V12" s="250">
        <f t="shared" ca="1" si="6"/>
        <v>620</v>
      </c>
      <c r="W12" s="250">
        <f t="shared" ca="1" si="6"/>
        <v>420</v>
      </c>
      <c r="X12" s="250">
        <f t="shared" ca="1" si="6"/>
        <v>700</v>
      </c>
      <c r="Y12" s="250">
        <f t="shared" ca="1" si="6"/>
        <v>550</v>
      </c>
      <c r="Z12" s="250">
        <f t="shared" ca="1" si="6"/>
        <v>620</v>
      </c>
      <c r="AA12" s="250">
        <f t="shared" ca="1" si="6"/>
        <v>1000</v>
      </c>
      <c r="AB12" s="250">
        <f t="shared" ca="1" si="6"/>
        <v>710</v>
      </c>
      <c r="AC12" s="250">
        <f t="shared" ca="1" si="6"/>
        <v>450</v>
      </c>
      <c r="AD12" s="250">
        <f t="shared" ca="1" si="6"/>
        <v>220</v>
      </c>
      <c r="AE12" s="250">
        <f t="shared" ca="1" si="6"/>
        <v>210</v>
      </c>
      <c r="AF12" s="250">
        <f t="shared" ca="1" si="6"/>
        <v>40</v>
      </c>
      <c r="AG12" s="250"/>
      <c r="AH12" s="250"/>
      <c r="AI12" s="250"/>
      <c r="AJ12" s="250"/>
    </row>
    <row r="13" spans="1:36" x14ac:dyDescent="0.25">
      <c r="A13" s="30">
        <v>1000</v>
      </c>
      <c r="B13" s="102" t="s">
        <v>29</v>
      </c>
      <c r="C13" s="155" t="s">
        <v>49</v>
      </c>
      <c r="D13" s="42" t="s">
        <v>48</v>
      </c>
      <c r="E13" s="103" t="s">
        <v>49</v>
      </c>
      <c r="F13" s="42" t="s">
        <v>48</v>
      </c>
      <c r="G13" s="100" t="s">
        <v>37</v>
      </c>
      <c r="H13" s="92"/>
      <c r="I13" s="97">
        <f ca="1">H8+I7-I12-I11</f>
        <v>300</v>
      </c>
      <c r="J13" s="97">
        <f ca="1">I13+J7-J12-J11</f>
        <v>300</v>
      </c>
      <c r="K13" s="250">
        <f t="shared" ref="K13:AF13" ca="1" si="7">J13+K7-K12-K11</f>
        <v>300</v>
      </c>
      <c r="L13" s="250">
        <f t="shared" ca="1" si="7"/>
        <v>487</v>
      </c>
      <c r="M13" s="250">
        <f t="shared" ca="1" si="7"/>
        <v>317</v>
      </c>
      <c r="N13" s="250">
        <f t="shared" ca="1" si="7"/>
        <v>300</v>
      </c>
      <c r="O13" s="250">
        <f t="shared" ca="1" si="7"/>
        <v>300</v>
      </c>
      <c r="P13" s="250">
        <f t="shared" ca="1" si="7"/>
        <v>398</v>
      </c>
      <c r="Q13" s="250">
        <f t="shared" ca="1" si="7"/>
        <v>300</v>
      </c>
      <c r="R13" s="250">
        <f t="shared" ca="1" si="7"/>
        <v>300</v>
      </c>
      <c r="S13" s="250">
        <f t="shared" ca="1" si="7"/>
        <v>300</v>
      </c>
      <c r="T13" s="250">
        <f t="shared" ca="1" si="7"/>
        <v>300</v>
      </c>
      <c r="U13" s="250">
        <f t="shared" ca="1" si="7"/>
        <v>300</v>
      </c>
      <c r="V13" s="250">
        <f t="shared" ca="1" si="7"/>
        <v>300</v>
      </c>
      <c r="W13" s="250">
        <f t="shared" ca="1" si="7"/>
        <v>314</v>
      </c>
      <c r="X13" s="250">
        <f t="shared" ca="1" si="7"/>
        <v>300</v>
      </c>
      <c r="Y13" s="250">
        <f t="shared" ca="1" si="7"/>
        <v>300</v>
      </c>
      <c r="Z13" s="250">
        <f t="shared" ca="1" si="7"/>
        <v>300</v>
      </c>
      <c r="AA13" s="250">
        <f t="shared" ca="1" si="7"/>
        <v>300</v>
      </c>
      <c r="AB13" s="250">
        <f t="shared" ca="1" si="7"/>
        <v>300</v>
      </c>
      <c r="AC13" s="250">
        <f t="shared" ca="1" si="7"/>
        <v>300</v>
      </c>
      <c r="AD13" s="250">
        <f t="shared" ca="1" si="7"/>
        <v>317</v>
      </c>
      <c r="AE13" s="250">
        <f t="shared" ca="1" si="7"/>
        <v>363</v>
      </c>
      <c r="AF13" s="250">
        <f t="shared" ca="1" si="7"/>
        <v>455</v>
      </c>
      <c r="AG13" s="250"/>
      <c r="AH13" s="250"/>
      <c r="AI13" s="250"/>
      <c r="AJ13" s="250"/>
    </row>
    <row r="14" spans="1:36" x14ac:dyDescent="0.25">
      <c r="A14" s="30">
        <v>1000</v>
      </c>
      <c r="B14" s="102" t="s">
        <v>29</v>
      </c>
      <c r="C14" s="155" t="s">
        <v>50</v>
      </c>
      <c r="D14" s="116" t="s">
        <v>33</v>
      </c>
      <c r="E14" s="103" t="s">
        <v>49</v>
      </c>
      <c r="F14" s="42" t="s">
        <v>48</v>
      </c>
      <c r="G14" s="98" t="s">
        <v>57</v>
      </c>
      <c r="H14" s="14"/>
      <c r="I14" s="107">
        <f>France!J12</f>
        <v>0</v>
      </c>
      <c r="J14" s="107">
        <f>France!K12</f>
        <v>0</v>
      </c>
      <c r="K14" s="107">
        <f>France!L12</f>
        <v>170</v>
      </c>
      <c r="L14" s="107">
        <f>France!M12</f>
        <v>80</v>
      </c>
      <c r="M14" s="16">
        <f>France!N12</f>
        <v>70</v>
      </c>
      <c r="N14" s="107">
        <f>France!O12</f>
        <v>150</v>
      </c>
      <c r="O14" s="107">
        <f>France!P12</f>
        <v>130</v>
      </c>
      <c r="P14" s="107">
        <f>France!Q12</f>
        <v>200</v>
      </c>
      <c r="Q14" s="107">
        <f>France!R12</f>
        <v>70</v>
      </c>
      <c r="R14" s="107">
        <f>France!S12</f>
        <v>160</v>
      </c>
      <c r="S14" s="107">
        <f>France!T12</f>
        <v>170</v>
      </c>
      <c r="T14" s="107">
        <f>France!U12</f>
        <v>130</v>
      </c>
      <c r="U14" s="107">
        <f>France!V12</f>
        <v>30</v>
      </c>
      <c r="V14" s="107">
        <f>France!W12</f>
        <v>120</v>
      </c>
      <c r="W14" s="107">
        <f>France!X12</f>
        <v>40</v>
      </c>
      <c r="X14" s="107">
        <f>France!Y12</f>
        <v>150</v>
      </c>
      <c r="Y14" s="107">
        <f>France!Z12</f>
        <v>150</v>
      </c>
      <c r="Z14" s="107">
        <f>France!AA12</f>
        <v>20</v>
      </c>
      <c r="AA14" s="107">
        <f>France!AB12</f>
        <v>170</v>
      </c>
      <c r="AB14" s="107">
        <f>France!AC12</f>
        <v>40</v>
      </c>
      <c r="AC14" s="107">
        <f>France!AD12</f>
        <v>130</v>
      </c>
      <c r="AD14" s="107">
        <f>France!AE12</f>
        <v>100</v>
      </c>
      <c r="AE14" s="107">
        <f>France!AF12</f>
        <v>190</v>
      </c>
      <c r="AF14" s="107">
        <f>France!AG12</f>
        <v>40</v>
      </c>
      <c r="AG14" s="251"/>
      <c r="AH14" s="251"/>
      <c r="AI14" s="251"/>
      <c r="AJ14" s="251"/>
    </row>
    <row r="15" spans="1:36" x14ac:dyDescent="0.25">
      <c r="A15" s="30">
        <v>1000</v>
      </c>
      <c r="B15" s="102" t="s">
        <v>29</v>
      </c>
      <c r="C15" s="155" t="s">
        <v>49</v>
      </c>
      <c r="D15" s="42" t="s">
        <v>48</v>
      </c>
      <c r="E15" s="103" t="s">
        <v>50</v>
      </c>
      <c r="F15" s="116" t="s">
        <v>33</v>
      </c>
      <c r="G15" s="99" t="s">
        <v>54</v>
      </c>
      <c r="H15" s="14"/>
      <c r="I15" s="15">
        <f>MJ_Initialisation!D20</f>
        <v>0</v>
      </c>
      <c r="J15" s="15">
        <f>MJ_Initialisation!E20</f>
        <v>0</v>
      </c>
      <c r="K15" s="15">
        <f>MJ_Initialisation!F20</f>
        <v>170</v>
      </c>
      <c r="L15" s="15">
        <f>MJ_Initialisation!G20</f>
        <v>80</v>
      </c>
      <c r="M15" s="15">
        <f>MJ_Initialisation!H20</f>
        <v>70</v>
      </c>
      <c r="N15" s="15">
        <f>MJ_Initialisation!I20</f>
        <v>150</v>
      </c>
      <c r="O15" s="15">
        <f>MJ_Initialisation!J20</f>
        <v>130</v>
      </c>
      <c r="P15" s="15">
        <f>MJ_Initialisation!K20</f>
        <v>200</v>
      </c>
      <c r="Q15" s="15">
        <f>MJ_Initialisation!L20</f>
        <v>70</v>
      </c>
      <c r="R15" s="15">
        <f>MJ_Initialisation!M20</f>
        <v>160</v>
      </c>
      <c r="S15" s="15">
        <f>MJ_Initialisation!N20</f>
        <v>170</v>
      </c>
      <c r="T15" s="15">
        <f>MJ_Initialisation!O20</f>
        <v>130</v>
      </c>
      <c r="U15" s="15">
        <f>MJ_Initialisation!P20</f>
        <v>30</v>
      </c>
      <c r="V15" s="15">
        <f>MJ_Initialisation!Q20</f>
        <v>120</v>
      </c>
      <c r="W15" s="15">
        <f>MJ_Initialisation!R20</f>
        <v>40</v>
      </c>
      <c r="X15" s="15">
        <f>MJ_Initialisation!S20</f>
        <v>150</v>
      </c>
      <c r="Y15" s="15">
        <f>MJ_Initialisation!T20</f>
        <v>150</v>
      </c>
      <c r="Z15" s="15">
        <f>MJ_Initialisation!U20</f>
        <v>20</v>
      </c>
      <c r="AA15" s="15">
        <f>MJ_Initialisation!V20</f>
        <v>170</v>
      </c>
      <c r="AB15" s="15">
        <f>MJ_Initialisation!W20</f>
        <v>40</v>
      </c>
      <c r="AC15" s="15">
        <f>MJ_Initialisation!X20</f>
        <v>130</v>
      </c>
      <c r="AD15" s="15">
        <f>MJ_Initialisation!Y20</f>
        <v>100</v>
      </c>
      <c r="AE15" s="15">
        <f>MJ_Initialisation!Z20</f>
        <v>190</v>
      </c>
      <c r="AF15" s="15">
        <f>MJ_Initialisation!AA20</f>
        <v>40</v>
      </c>
      <c r="AG15" s="228"/>
      <c r="AH15" s="228"/>
      <c r="AI15" s="228"/>
      <c r="AJ15" s="228"/>
    </row>
    <row r="16" spans="1:36" x14ac:dyDescent="0.25">
      <c r="A16" s="30">
        <v>1000</v>
      </c>
      <c r="B16" s="102" t="s">
        <v>29</v>
      </c>
      <c r="C16" s="155" t="s">
        <v>49</v>
      </c>
      <c r="D16" s="42" t="s">
        <v>48</v>
      </c>
      <c r="E16" s="103" t="s">
        <v>50</v>
      </c>
      <c r="F16" s="116" t="s">
        <v>33</v>
      </c>
      <c r="G16" s="105" t="s">
        <v>55</v>
      </c>
      <c r="H16" s="14"/>
      <c r="I16" s="15">
        <f>MJ_Initialisation!D21</f>
        <v>0</v>
      </c>
      <c r="J16" s="15">
        <f>MJ_Initialisation!E21</f>
        <v>0</v>
      </c>
      <c r="K16" s="15">
        <f>MJ_Initialisation!F21</f>
        <v>0</v>
      </c>
      <c r="L16" s="15">
        <f>MJ_Initialisation!G21</f>
        <v>0</v>
      </c>
      <c r="M16" s="15">
        <f>MJ_Initialisation!H21</f>
        <v>0</v>
      </c>
      <c r="N16" s="15">
        <f>MJ_Initialisation!I21</f>
        <v>0</v>
      </c>
      <c r="O16" s="15">
        <f>MJ_Initialisation!J21</f>
        <v>0</v>
      </c>
      <c r="P16" s="15">
        <f>MJ_Initialisation!K21</f>
        <v>0</v>
      </c>
      <c r="Q16" s="15">
        <f>MJ_Initialisation!L21</f>
        <v>0</v>
      </c>
      <c r="R16" s="15">
        <f>MJ_Initialisation!M21</f>
        <v>0</v>
      </c>
      <c r="S16" s="15">
        <f>MJ_Initialisation!N21</f>
        <v>0</v>
      </c>
      <c r="T16" s="15">
        <f>MJ_Initialisation!O21</f>
        <v>0</v>
      </c>
      <c r="U16" s="15">
        <f>MJ_Initialisation!P21</f>
        <v>0</v>
      </c>
      <c r="V16" s="15">
        <f>MJ_Initialisation!Q21</f>
        <v>0</v>
      </c>
      <c r="W16" s="15">
        <f>MJ_Initialisation!R21</f>
        <v>0</v>
      </c>
      <c r="X16" s="15">
        <f>MJ_Initialisation!S21</f>
        <v>0</v>
      </c>
      <c r="Y16" s="15">
        <f>MJ_Initialisation!T21</f>
        <v>0</v>
      </c>
      <c r="Z16" s="15">
        <f>MJ_Initialisation!U21</f>
        <v>0</v>
      </c>
      <c r="AA16" s="15">
        <f>MJ_Initialisation!V21</f>
        <v>0</v>
      </c>
      <c r="AB16" s="15">
        <f>MJ_Initialisation!W21</f>
        <v>0</v>
      </c>
      <c r="AC16" s="15">
        <f>MJ_Initialisation!X21</f>
        <v>0</v>
      </c>
      <c r="AD16" s="15">
        <f>MJ_Initialisation!Y21</f>
        <v>0</v>
      </c>
      <c r="AE16" s="15">
        <f>MJ_Initialisation!Z21</f>
        <v>0</v>
      </c>
      <c r="AF16" s="15">
        <f>MJ_Initialisation!AA21</f>
        <v>0</v>
      </c>
      <c r="AG16" s="228"/>
      <c r="AH16" s="228"/>
      <c r="AI16" s="228"/>
      <c r="AJ16" s="228"/>
    </row>
    <row r="17" spans="1:36" x14ac:dyDescent="0.25">
      <c r="A17" s="30">
        <v>1000</v>
      </c>
      <c r="B17" s="102" t="s">
        <v>29</v>
      </c>
      <c r="C17" s="155" t="s">
        <v>49</v>
      </c>
      <c r="D17" s="42" t="s">
        <v>48</v>
      </c>
      <c r="E17" s="103" t="s">
        <v>50</v>
      </c>
      <c r="F17" s="116" t="s">
        <v>33</v>
      </c>
      <c r="G17" s="106" t="s">
        <v>56</v>
      </c>
      <c r="H17" s="14"/>
      <c r="I17" s="87">
        <f>I15</f>
        <v>0</v>
      </c>
      <c r="J17" s="87">
        <f>J15</f>
        <v>0</v>
      </c>
      <c r="K17" s="87">
        <f ca="1">IF(K16=0,IF(K$9&gt;0,MAX(ROUND((((K14+J18)/K$9)*K$12),0),0),0),K16)</f>
        <v>170</v>
      </c>
      <c r="L17" s="246">
        <f t="shared" ref="L17:AF17" ca="1" si="8">IF(L16=0,IF(L$9&gt;0,MAX(ROUND((((L14+K18)/L$9)*L$12),0),0),0),L16)</f>
        <v>80</v>
      </c>
      <c r="M17" s="246">
        <f t="shared" ca="1" si="8"/>
        <v>70</v>
      </c>
      <c r="N17" s="246">
        <f t="shared" ca="1" si="8"/>
        <v>150</v>
      </c>
      <c r="O17" s="246">
        <f t="shared" ca="1" si="8"/>
        <v>130</v>
      </c>
      <c r="P17" s="246">
        <f t="shared" ca="1" si="8"/>
        <v>200</v>
      </c>
      <c r="Q17" s="246">
        <f t="shared" ca="1" si="8"/>
        <v>70</v>
      </c>
      <c r="R17" s="246">
        <f t="shared" ca="1" si="8"/>
        <v>160</v>
      </c>
      <c r="S17" s="246">
        <f t="shared" ca="1" si="8"/>
        <v>170</v>
      </c>
      <c r="T17" s="246">
        <f t="shared" ca="1" si="8"/>
        <v>130</v>
      </c>
      <c r="U17" s="246">
        <f t="shared" ca="1" si="8"/>
        <v>30</v>
      </c>
      <c r="V17" s="246">
        <f t="shared" ca="1" si="8"/>
        <v>120</v>
      </c>
      <c r="W17" s="246">
        <f t="shared" ca="1" si="8"/>
        <v>40</v>
      </c>
      <c r="X17" s="246">
        <f t="shared" ca="1" si="8"/>
        <v>150</v>
      </c>
      <c r="Y17" s="246">
        <f t="shared" ca="1" si="8"/>
        <v>150</v>
      </c>
      <c r="Z17" s="246">
        <f t="shared" ca="1" si="8"/>
        <v>20</v>
      </c>
      <c r="AA17" s="246">
        <f t="shared" ca="1" si="8"/>
        <v>170</v>
      </c>
      <c r="AB17" s="246">
        <f t="shared" ca="1" si="8"/>
        <v>40</v>
      </c>
      <c r="AC17" s="246">
        <f t="shared" ca="1" si="8"/>
        <v>130</v>
      </c>
      <c r="AD17" s="246">
        <f t="shared" ca="1" si="8"/>
        <v>100</v>
      </c>
      <c r="AE17" s="246">
        <f t="shared" ca="1" si="8"/>
        <v>190</v>
      </c>
      <c r="AF17" s="246">
        <f t="shared" ca="1" si="8"/>
        <v>40</v>
      </c>
      <c r="AG17" s="246"/>
      <c r="AH17" s="246"/>
      <c r="AI17" s="246"/>
      <c r="AJ17" s="246"/>
    </row>
    <row r="18" spans="1:36" x14ac:dyDescent="0.25">
      <c r="A18" s="30">
        <v>1000</v>
      </c>
      <c r="B18" s="102" t="s">
        <v>29</v>
      </c>
      <c r="C18" s="155" t="s">
        <v>49</v>
      </c>
      <c r="D18" s="42" t="s">
        <v>48</v>
      </c>
      <c r="E18" s="103" t="s">
        <v>50</v>
      </c>
      <c r="F18" s="116" t="s">
        <v>33</v>
      </c>
      <c r="G18" s="100" t="s">
        <v>60</v>
      </c>
      <c r="H18" s="92"/>
      <c r="I18" s="87">
        <f>I14+H18-I17</f>
        <v>0</v>
      </c>
      <c r="J18" s="87">
        <f>J14+I18-J17</f>
        <v>0</v>
      </c>
      <c r="K18" s="87">
        <f t="shared" ref="K18:AF18" ca="1" si="9">K14+J18-K17</f>
        <v>0</v>
      </c>
      <c r="L18" s="87">
        <f t="shared" ca="1" si="9"/>
        <v>0</v>
      </c>
      <c r="M18" s="87">
        <f t="shared" ca="1" si="9"/>
        <v>0</v>
      </c>
      <c r="N18" s="87">
        <f t="shared" ca="1" si="9"/>
        <v>0</v>
      </c>
      <c r="O18" s="87">
        <f t="shared" ca="1" si="9"/>
        <v>0</v>
      </c>
      <c r="P18" s="87">
        <f t="shared" ca="1" si="9"/>
        <v>0</v>
      </c>
      <c r="Q18" s="87">
        <f t="shared" ca="1" si="9"/>
        <v>0</v>
      </c>
      <c r="R18" s="87">
        <f t="shared" ca="1" si="9"/>
        <v>0</v>
      </c>
      <c r="S18" s="87">
        <f t="shared" ca="1" si="9"/>
        <v>0</v>
      </c>
      <c r="T18" s="87">
        <f t="shared" ca="1" si="9"/>
        <v>0</v>
      </c>
      <c r="U18" s="87">
        <f t="shared" ca="1" si="9"/>
        <v>0</v>
      </c>
      <c r="V18" s="87">
        <f t="shared" ca="1" si="9"/>
        <v>0</v>
      </c>
      <c r="W18" s="87">
        <f t="shared" ca="1" si="9"/>
        <v>0</v>
      </c>
      <c r="X18" s="87">
        <f t="shared" ca="1" si="9"/>
        <v>0</v>
      </c>
      <c r="Y18" s="87">
        <f t="shared" ca="1" si="9"/>
        <v>0</v>
      </c>
      <c r="Z18" s="87">
        <f t="shared" ca="1" si="9"/>
        <v>0</v>
      </c>
      <c r="AA18" s="87">
        <f t="shared" ca="1" si="9"/>
        <v>0</v>
      </c>
      <c r="AB18" s="87">
        <f t="shared" ca="1" si="9"/>
        <v>0</v>
      </c>
      <c r="AC18" s="87">
        <f t="shared" ca="1" si="9"/>
        <v>0</v>
      </c>
      <c r="AD18" s="87">
        <f t="shared" ca="1" si="9"/>
        <v>0</v>
      </c>
      <c r="AE18" s="87">
        <f t="shared" ca="1" si="9"/>
        <v>0</v>
      </c>
      <c r="AF18" s="87">
        <f t="shared" ca="1" si="9"/>
        <v>0</v>
      </c>
      <c r="AG18" s="246"/>
      <c r="AH18" s="246"/>
      <c r="AI18" s="246"/>
      <c r="AJ18" s="246"/>
    </row>
    <row r="19" spans="1:36" x14ac:dyDescent="0.25">
      <c r="A19" s="30">
        <v>1000</v>
      </c>
      <c r="B19" s="102" t="s">
        <v>29</v>
      </c>
      <c r="C19" s="103" t="s">
        <v>51</v>
      </c>
      <c r="D19" s="117" t="s">
        <v>35</v>
      </c>
      <c r="E19" s="103" t="s">
        <v>49</v>
      </c>
      <c r="F19" s="42" t="s">
        <v>48</v>
      </c>
      <c r="G19" s="98" t="s">
        <v>57</v>
      </c>
      <c r="H19" s="14"/>
      <c r="I19" s="15">
        <f ca="1">OFFSET(Espagne!J12,0,1)</f>
        <v>70</v>
      </c>
      <c r="J19" s="15">
        <f ca="1">OFFSET(Espagne!K12,0,1)</f>
        <v>10</v>
      </c>
      <c r="K19" s="15">
        <f ca="1">OFFSET(Espagne!L12,0,1)</f>
        <v>90</v>
      </c>
      <c r="L19" s="15">
        <f ca="1">OFFSET(Espagne!M12,0,1)</f>
        <v>10</v>
      </c>
      <c r="M19" s="15">
        <f ca="1">OFFSET(Espagne!N12,0,1)</f>
        <v>40</v>
      </c>
      <c r="N19" s="15">
        <f ca="1">OFFSET(Espagne!O12,0,1)</f>
        <v>0</v>
      </c>
      <c r="O19" s="15">
        <f ca="1">OFFSET(Espagne!P12,0,1)</f>
        <v>150</v>
      </c>
      <c r="P19" s="15">
        <f ca="1">OFFSET(Espagne!Q12,0,1)</f>
        <v>0</v>
      </c>
      <c r="Q19" s="15">
        <f ca="1">OFFSET(Espagne!R12,0,1)</f>
        <v>140</v>
      </c>
      <c r="R19" s="15">
        <f ca="1">OFFSET(Espagne!S12,0,1)</f>
        <v>140</v>
      </c>
      <c r="S19" s="15">
        <f ca="1">OFFSET(Espagne!T12,0,1)</f>
        <v>110</v>
      </c>
      <c r="T19" s="15">
        <f ca="1">OFFSET(Espagne!U12,0,1)</f>
        <v>80</v>
      </c>
      <c r="U19" s="15">
        <f ca="1">OFFSET(Espagne!V12,0,1)</f>
        <v>60</v>
      </c>
      <c r="V19" s="15">
        <f ca="1">OFFSET(Espagne!W12,0,1)</f>
        <v>50</v>
      </c>
      <c r="W19" s="15">
        <f ca="1">OFFSET(Espagne!X12,0,1)</f>
        <v>30</v>
      </c>
      <c r="X19" s="15">
        <f ca="1">OFFSET(Espagne!Y12,0,1)</f>
        <v>100</v>
      </c>
      <c r="Y19" s="15">
        <f ca="1">OFFSET(Espagne!Z12,0,1)</f>
        <v>50</v>
      </c>
      <c r="Z19" s="15">
        <f ca="1">OFFSET(Espagne!AA12,0,1)</f>
        <v>150</v>
      </c>
      <c r="AA19" s="15">
        <f ca="1">OFFSET(Espagne!AB12,0,1)</f>
        <v>130</v>
      </c>
      <c r="AB19" s="15">
        <f ca="1">OFFSET(Espagne!AC12,0,1)</f>
        <v>170</v>
      </c>
      <c r="AC19" s="15">
        <f ca="1">OFFSET(Espagne!AD12,0,1)</f>
        <v>20</v>
      </c>
      <c r="AD19" s="15">
        <f ca="1">OFFSET(Espagne!AE12,0,1)</f>
        <v>20</v>
      </c>
      <c r="AE19" s="15">
        <f ca="1">OFFSET(Espagne!AF12,0,1)</f>
        <v>20</v>
      </c>
      <c r="AF19" s="15">
        <f ca="1">OFFSET(Espagne!AG12,0,1)</f>
        <v>0</v>
      </c>
      <c r="AG19" s="228"/>
      <c r="AH19" s="228"/>
      <c r="AI19" s="228"/>
      <c r="AJ19" s="228"/>
    </row>
    <row r="20" spans="1:36" x14ac:dyDescent="0.25">
      <c r="A20" s="30">
        <v>1000</v>
      </c>
      <c r="B20" s="102" t="s">
        <v>29</v>
      </c>
      <c r="C20" s="155" t="s">
        <v>49</v>
      </c>
      <c r="D20" s="42" t="s">
        <v>48</v>
      </c>
      <c r="E20" s="103" t="s">
        <v>51</v>
      </c>
      <c r="F20" s="117" t="s">
        <v>35</v>
      </c>
      <c r="G20" s="99" t="s">
        <v>54</v>
      </c>
      <c r="H20" s="14"/>
      <c r="I20" s="15">
        <f ca="1">OFFSET(MJ_Initialisation!D28,0,1)</f>
        <v>70</v>
      </c>
      <c r="J20" s="15">
        <f ca="1">OFFSET(MJ_Initialisation!E28,0,1)</f>
        <v>10</v>
      </c>
      <c r="K20" s="15">
        <f ca="1">OFFSET(MJ_Initialisation!F28,0,1)</f>
        <v>90</v>
      </c>
      <c r="L20" s="15">
        <f ca="1">OFFSET(MJ_Initialisation!G28,0,1)</f>
        <v>10</v>
      </c>
      <c r="M20" s="15">
        <f ca="1">OFFSET(MJ_Initialisation!H28,0,1)</f>
        <v>40</v>
      </c>
      <c r="N20" s="15">
        <f ca="1">OFFSET(MJ_Initialisation!I28,0,1)</f>
        <v>0</v>
      </c>
      <c r="O20" s="15">
        <f ca="1">OFFSET(MJ_Initialisation!J28,0,1)</f>
        <v>150</v>
      </c>
      <c r="P20" s="15">
        <f ca="1">OFFSET(MJ_Initialisation!K28,0,1)</f>
        <v>0</v>
      </c>
      <c r="Q20" s="15">
        <f ca="1">OFFSET(MJ_Initialisation!L28,0,1)</f>
        <v>140</v>
      </c>
      <c r="R20" s="15">
        <f ca="1">OFFSET(MJ_Initialisation!M28,0,1)</f>
        <v>140</v>
      </c>
      <c r="S20" s="15">
        <f ca="1">OFFSET(MJ_Initialisation!N28,0,1)</f>
        <v>110</v>
      </c>
      <c r="T20" s="15">
        <f ca="1">OFFSET(MJ_Initialisation!O28,0,1)</f>
        <v>80</v>
      </c>
      <c r="U20" s="15">
        <f ca="1">OFFSET(MJ_Initialisation!P28,0,1)</f>
        <v>60</v>
      </c>
      <c r="V20" s="15">
        <f ca="1">OFFSET(MJ_Initialisation!Q28,0,1)</f>
        <v>50</v>
      </c>
      <c r="W20" s="15">
        <f ca="1">OFFSET(MJ_Initialisation!R28,0,1)</f>
        <v>30</v>
      </c>
      <c r="X20" s="15">
        <f ca="1">OFFSET(MJ_Initialisation!S28,0,1)</f>
        <v>100</v>
      </c>
      <c r="Y20" s="15">
        <f ca="1">OFFSET(MJ_Initialisation!T28,0,1)</f>
        <v>50</v>
      </c>
      <c r="Z20" s="15">
        <f ca="1">OFFSET(MJ_Initialisation!U28,0,1)</f>
        <v>150</v>
      </c>
      <c r="AA20" s="15">
        <f ca="1">OFFSET(MJ_Initialisation!V28,0,1)</f>
        <v>130</v>
      </c>
      <c r="AB20" s="15">
        <f ca="1">OFFSET(MJ_Initialisation!W28,0,1)</f>
        <v>170</v>
      </c>
      <c r="AC20" s="15">
        <f ca="1">OFFSET(MJ_Initialisation!X28,0,1)</f>
        <v>20</v>
      </c>
      <c r="AD20" s="15">
        <f ca="1">OFFSET(MJ_Initialisation!Y28,0,1)</f>
        <v>20</v>
      </c>
      <c r="AE20" s="15">
        <f ca="1">OFFSET(MJ_Initialisation!Z28,0,1)</f>
        <v>20</v>
      </c>
      <c r="AF20" s="15">
        <f ca="1">OFFSET(MJ_Initialisation!AA28,0,1)</f>
        <v>0</v>
      </c>
      <c r="AG20" s="228"/>
      <c r="AH20" s="228"/>
      <c r="AI20" s="228"/>
      <c r="AJ20" s="228"/>
    </row>
    <row r="21" spans="1:36" x14ac:dyDescent="0.25">
      <c r="A21" s="30">
        <v>1000</v>
      </c>
      <c r="B21" s="102" t="s">
        <v>29</v>
      </c>
      <c r="C21" s="155" t="s">
        <v>49</v>
      </c>
      <c r="D21" s="42" t="s">
        <v>48</v>
      </c>
      <c r="E21" s="103" t="s">
        <v>51</v>
      </c>
      <c r="F21" s="117" t="s">
        <v>35</v>
      </c>
      <c r="G21" s="105" t="s">
        <v>55</v>
      </c>
      <c r="H21" s="14"/>
      <c r="I21" s="15">
        <f ca="1">OFFSET(MJ_Initialisation!D29,0,1)</f>
        <v>0</v>
      </c>
      <c r="J21" s="15">
        <f ca="1">OFFSET(MJ_Initialisation!E29,0,1)</f>
        <v>0</v>
      </c>
      <c r="K21" s="15">
        <f ca="1">OFFSET(MJ_Initialisation!F29,0,1)</f>
        <v>0</v>
      </c>
      <c r="L21" s="15">
        <f ca="1">OFFSET(MJ_Initialisation!G29,0,1)</f>
        <v>0</v>
      </c>
      <c r="M21" s="15">
        <f ca="1">OFFSET(MJ_Initialisation!H29,0,1)</f>
        <v>0</v>
      </c>
      <c r="N21" s="15">
        <f ca="1">OFFSET(MJ_Initialisation!I29,0,1)</f>
        <v>0</v>
      </c>
      <c r="O21" s="15">
        <f ca="1">OFFSET(MJ_Initialisation!J29,0,1)</f>
        <v>0</v>
      </c>
      <c r="P21" s="15">
        <f ca="1">OFFSET(MJ_Initialisation!K29,0,1)</f>
        <v>0</v>
      </c>
      <c r="Q21" s="15">
        <f ca="1">OFFSET(MJ_Initialisation!L29,0,1)</f>
        <v>0</v>
      </c>
      <c r="R21" s="15">
        <f ca="1">OFFSET(MJ_Initialisation!M29,0,1)</f>
        <v>0</v>
      </c>
      <c r="S21" s="15">
        <f ca="1">OFFSET(MJ_Initialisation!N29,0,1)</f>
        <v>0</v>
      </c>
      <c r="T21" s="15">
        <f ca="1">OFFSET(MJ_Initialisation!O29,0,1)</f>
        <v>0</v>
      </c>
      <c r="U21" s="15">
        <f ca="1">OFFSET(MJ_Initialisation!P29,0,1)</f>
        <v>0</v>
      </c>
      <c r="V21" s="15">
        <f ca="1">OFFSET(MJ_Initialisation!Q29,0,1)</f>
        <v>0</v>
      </c>
      <c r="W21" s="15">
        <f ca="1">OFFSET(MJ_Initialisation!R29,0,1)</f>
        <v>0</v>
      </c>
      <c r="X21" s="15">
        <f ca="1">OFFSET(MJ_Initialisation!S29,0,1)</f>
        <v>0</v>
      </c>
      <c r="Y21" s="15">
        <f ca="1">OFFSET(MJ_Initialisation!T29,0,1)</f>
        <v>0</v>
      </c>
      <c r="Z21" s="15">
        <f ca="1">OFFSET(MJ_Initialisation!U29,0,1)</f>
        <v>0</v>
      </c>
      <c r="AA21" s="15">
        <f ca="1">OFFSET(MJ_Initialisation!V29,0,1)</f>
        <v>0</v>
      </c>
      <c r="AB21" s="15">
        <f ca="1">OFFSET(MJ_Initialisation!W29,0,1)</f>
        <v>0</v>
      </c>
      <c r="AC21" s="15">
        <f ca="1">OFFSET(MJ_Initialisation!X29,0,1)</f>
        <v>0</v>
      </c>
      <c r="AD21" s="15">
        <f ca="1">OFFSET(MJ_Initialisation!Y29,0,1)</f>
        <v>0</v>
      </c>
      <c r="AE21" s="15">
        <f ca="1">OFFSET(MJ_Initialisation!Z29,0,1)</f>
        <v>0</v>
      </c>
      <c r="AF21" s="15">
        <f ca="1">OFFSET(MJ_Initialisation!AA29,0,1)</f>
        <v>0</v>
      </c>
      <c r="AG21" s="228"/>
      <c r="AH21" s="228"/>
      <c r="AI21" s="228"/>
      <c r="AJ21" s="228"/>
    </row>
    <row r="22" spans="1:36" x14ac:dyDescent="0.25">
      <c r="A22" s="30">
        <v>1000</v>
      </c>
      <c r="B22" s="102" t="s">
        <v>29</v>
      </c>
      <c r="C22" s="155" t="s">
        <v>49</v>
      </c>
      <c r="D22" s="42" t="s">
        <v>48</v>
      </c>
      <c r="E22" s="103" t="s">
        <v>51</v>
      </c>
      <c r="F22" s="117" t="s">
        <v>35</v>
      </c>
      <c r="G22" s="106" t="s">
        <v>56</v>
      </c>
      <c r="H22" s="14"/>
      <c r="I22" s="87">
        <f ca="1">I20</f>
        <v>70</v>
      </c>
      <c r="J22" s="87">
        <f ca="1">J20</f>
        <v>10</v>
      </c>
      <c r="K22" s="246">
        <f ca="1">IF(K21=0,IF(K$9&gt;0,MAX(ROUND((((K19+J23)/K$9)*K$12),0),0),0),K21)</f>
        <v>90</v>
      </c>
      <c r="L22" s="246">
        <f t="shared" ref="L22" ca="1" si="10">IF(L21=0,IF(L$9&gt;0,MAX(ROUND((((L19+K23)/L$9)*L$12),0),0),0),L21)</f>
        <v>10</v>
      </c>
      <c r="M22" s="246">
        <f t="shared" ref="M22" ca="1" si="11">IF(M21=0,IF(M$9&gt;0,MAX(ROUND((((M19+L23)/M$9)*M$12),0),0),0),M21)</f>
        <v>40</v>
      </c>
      <c r="N22" s="246">
        <f t="shared" ref="N22" ca="1" si="12">IF(N21=0,IF(N$9&gt;0,MAX(ROUND((((N19+M23)/N$9)*N$12),0),0),0),N21)</f>
        <v>0</v>
      </c>
      <c r="O22" s="246">
        <f t="shared" ref="O22" ca="1" si="13">IF(O21=0,IF(O$9&gt;0,MAX(ROUND((((O19+N23)/O$9)*O$12),0),0),0),O21)</f>
        <v>150</v>
      </c>
      <c r="P22" s="246">
        <f t="shared" ref="P22" ca="1" si="14">IF(P21=0,IF(P$9&gt;0,MAX(ROUND((((P19+O23)/P$9)*P$12),0),0),0),P21)</f>
        <v>0</v>
      </c>
      <c r="Q22" s="246">
        <f t="shared" ref="Q22" ca="1" si="15">IF(Q21=0,IF(Q$9&gt;0,MAX(ROUND((((Q19+P23)/Q$9)*Q$12),0),0),0),Q21)</f>
        <v>140</v>
      </c>
      <c r="R22" s="246">
        <f t="shared" ref="R22" ca="1" si="16">IF(R21=0,IF(R$9&gt;0,MAX(ROUND((((R19+Q23)/R$9)*R$12),0),0),0),R21)</f>
        <v>140</v>
      </c>
      <c r="S22" s="246">
        <f t="shared" ref="S22" ca="1" si="17">IF(S21=0,IF(S$9&gt;0,MAX(ROUND((((S19+R23)/S$9)*S$12),0),0),0),S21)</f>
        <v>110</v>
      </c>
      <c r="T22" s="246">
        <f t="shared" ref="T22" ca="1" si="18">IF(T21=0,IF(T$9&gt;0,MAX(ROUND((((T19+S23)/T$9)*T$12),0),0),0),T21)</f>
        <v>80</v>
      </c>
      <c r="U22" s="246">
        <f t="shared" ref="U22" ca="1" si="19">IF(U21=0,IF(U$9&gt;0,MAX(ROUND((((U19+T23)/U$9)*U$12),0),0),0),U21)</f>
        <v>60</v>
      </c>
      <c r="V22" s="246">
        <f t="shared" ref="V22" ca="1" si="20">IF(V21=0,IF(V$9&gt;0,MAX(ROUND((((V19+U23)/V$9)*V$12),0),0),0),V21)</f>
        <v>50</v>
      </c>
      <c r="W22" s="246">
        <f t="shared" ref="W22" ca="1" si="21">IF(W21=0,IF(W$9&gt;0,MAX(ROUND((((W19+V23)/W$9)*W$12),0),0),0),W21)</f>
        <v>30</v>
      </c>
      <c r="X22" s="246">
        <f t="shared" ref="X22" ca="1" si="22">IF(X21=0,IF(X$9&gt;0,MAX(ROUND((((X19+W23)/X$9)*X$12),0),0),0),X21)</f>
        <v>100</v>
      </c>
      <c r="Y22" s="246">
        <f t="shared" ref="Y22" ca="1" si="23">IF(Y21=0,IF(Y$9&gt;0,MAX(ROUND((((Y19+X23)/Y$9)*Y$12),0),0),0),Y21)</f>
        <v>50</v>
      </c>
      <c r="Z22" s="246">
        <f t="shared" ref="Z22" ca="1" si="24">IF(Z21=0,IF(Z$9&gt;0,MAX(ROUND((((Z19+Y23)/Z$9)*Z$12),0),0),0),Z21)</f>
        <v>150</v>
      </c>
      <c r="AA22" s="246">
        <f t="shared" ref="AA22" ca="1" si="25">IF(AA21=0,IF(AA$9&gt;0,MAX(ROUND((((AA19+Z23)/AA$9)*AA$12),0),0),0),AA21)</f>
        <v>130</v>
      </c>
      <c r="AB22" s="246">
        <f t="shared" ref="AB22" ca="1" si="26">IF(AB21=0,IF(AB$9&gt;0,MAX(ROUND((((AB19+AA23)/AB$9)*AB$12),0),0),0),AB21)</f>
        <v>170</v>
      </c>
      <c r="AC22" s="246">
        <f t="shared" ref="AC22" ca="1" si="27">IF(AC21=0,IF(AC$9&gt;0,MAX(ROUND((((AC19+AB23)/AC$9)*AC$12),0),0),0),AC21)</f>
        <v>20</v>
      </c>
      <c r="AD22" s="246">
        <f t="shared" ref="AD22" ca="1" si="28">IF(AD21=0,IF(AD$9&gt;0,MAX(ROUND((((AD19+AC23)/AD$9)*AD$12),0),0),0),AD21)</f>
        <v>20</v>
      </c>
      <c r="AE22" s="246">
        <f t="shared" ref="AE22" ca="1" si="29">IF(AE21=0,IF(AE$9&gt;0,MAX(ROUND((((AE19+AD23)/AE$9)*AE$12),0),0),0),AE21)</f>
        <v>20</v>
      </c>
      <c r="AF22" s="246">
        <f t="shared" ref="AF22" ca="1" si="30">IF(AF21=0,IF(AF$9&gt;0,MAX(ROUND((((AF19+AE23)/AF$9)*AF$12),0),0),0),AF21)</f>
        <v>0</v>
      </c>
      <c r="AG22" s="246"/>
      <c r="AH22" s="246"/>
      <c r="AI22" s="246"/>
      <c r="AJ22" s="246"/>
    </row>
    <row r="23" spans="1:36" x14ac:dyDescent="0.25">
      <c r="A23" s="30">
        <v>1000</v>
      </c>
      <c r="B23" s="102" t="s">
        <v>29</v>
      </c>
      <c r="C23" s="155" t="s">
        <v>49</v>
      </c>
      <c r="D23" s="42" t="s">
        <v>48</v>
      </c>
      <c r="E23" s="103" t="s">
        <v>51</v>
      </c>
      <c r="F23" s="117" t="s">
        <v>35</v>
      </c>
      <c r="G23" s="100" t="s">
        <v>60</v>
      </c>
      <c r="H23" s="14"/>
      <c r="I23" s="87">
        <f ca="1">I19+H23-I22</f>
        <v>0</v>
      </c>
      <c r="J23" s="87">
        <f ca="1">J19+I23-J22</f>
        <v>0</v>
      </c>
      <c r="K23" s="87">
        <f t="shared" ref="K23:AF23" ca="1" si="31">K19+J23-K22</f>
        <v>0</v>
      </c>
      <c r="L23" s="87">
        <f t="shared" ca="1" si="31"/>
        <v>0</v>
      </c>
      <c r="M23" s="87">
        <f t="shared" ca="1" si="31"/>
        <v>0</v>
      </c>
      <c r="N23" s="87">
        <f t="shared" ca="1" si="31"/>
        <v>0</v>
      </c>
      <c r="O23" s="87">
        <f t="shared" ca="1" si="31"/>
        <v>0</v>
      </c>
      <c r="P23" s="87">
        <f t="shared" ca="1" si="31"/>
        <v>0</v>
      </c>
      <c r="Q23" s="87">
        <f t="shared" ca="1" si="31"/>
        <v>0</v>
      </c>
      <c r="R23" s="87">
        <f t="shared" ca="1" si="31"/>
        <v>0</v>
      </c>
      <c r="S23" s="87">
        <f t="shared" ca="1" si="31"/>
        <v>0</v>
      </c>
      <c r="T23" s="87">
        <f t="shared" ca="1" si="31"/>
        <v>0</v>
      </c>
      <c r="U23" s="87">
        <f t="shared" ca="1" si="31"/>
        <v>0</v>
      </c>
      <c r="V23" s="87">
        <f t="shared" ca="1" si="31"/>
        <v>0</v>
      </c>
      <c r="W23" s="87">
        <f t="shared" ca="1" si="31"/>
        <v>0</v>
      </c>
      <c r="X23" s="87">
        <f t="shared" ca="1" si="31"/>
        <v>0</v>
      </c>
      <c r="Y23" s="87">
        <f t="shared" ca="1" si="31"/>
        <v>0</v>
      </c>
      <c r="Z23" s="87">
        <f t="shared" ca="1" si="31"/>
        <v>0</v>
      </c>
      <c r="AA23" s="87">
        <f t="shared" ca="1" si="31"/>
        <v>0</v>
      </c>
      <c r="AB23" s="87">
        <f t="shared" ca="1" si="31"/>
        <v>0</v>
      </c>
      <c r="AC23" s="87">
        <f t="shared" ca="1" si="31"/>
        <v>0</v>
      </c>
      <c r="AD23" s="87">
        <f t="shared" ca="1" si="31"/>
        <v>0</v>
      </c>
      <c r="AE23" s="87">
        <f t="shared" ca="1" si="31"/>
        <v>0</v>
      </c>
      <c r="AF23" s="87">
        <f t="shared" ca="1" si="31"/>
        <v>0</v>
      </c>
      <c r="AG23" s="246"/>
      <c r="AH23" s="246"/>
      <c r="AI23" s="246"/>
      <c r="AJ23" s="246"/>
    </row>
    <row r="24" spans="1:36" x14ac:dyDescent="0.25">
      <c r="A24" s="30">
        <v>1000</v>
      </c>
      <c r="B24" s="102" t="s">
        <v>29</v>
      </c>
      <c r="C24" s="103" t="s">
        <v>52</v>
      </c>
      <c r="D24" s="118" t="s">
        <v>36</v>
      </c>
      <c r="E24" s="103" t="s">
        <v>49</v>
      </c>
      <c r="F24" s="42" t="s">
        <v>48</v>
      </c>
      <c r="G24" s="98" t="s">
        <v>57</v>
      </c>
      <c r="H24" s="14"/>
      <c r="I24" s="15">
        <f ca="1">OFFSET(Chili!J12,0,2)</f>
        <v>150</v>
      </c>
      <c r="J24" s="15">
        <f ca="1">OFFSET(Chili!K12,0,2)</f>
        <v>200</v>
      </c>
      <c r="K24" s="15">
        <f ca="1">OFFSET(Chili!L12,0,2)</f>
        <v>200</v>
      </c>
      <c r="L24" s="15">
        <f ca="1">OFFSET(Chili!M12,0,2)</f>
        <v>50</v>
      </c>
      <c r="M24" s="15">
        <f ca="1">OFFSET(Chili!N12,0,2)</f>
        <v>150</v>
      </c>
      <c r="N24" s="15">
        <f ca="1">OFFSET(Chili!O12,0,2)</f>
        <v>250</v>
      </c>
      <c r="O24" s="15">
        <f ca="1">OFFSET(Chili!P12,0,2)</f>
        <v>100</v>
      </c>
      <c r="P24" s="15">
        <f ca="1">OFFSET(Chili!Q12,0,2)</f>
        <v>50</v>
      </c>
      <c r="Q24" s="15">
        <f ca="1">OFFSET(Chili!R12,0,2)</f>
        <v>250</v>
      </c>
      <c r="R24" s="15">
        <f ca="1">OFFSET(Chili!S12,0,2)</f>
        <v>200</v>
      </c>
      <c r="S24" s="15">
        <f ca="1">OFFSET(Chili!T12,0,2)</f>
        <v>50</v>
      </c>
      <c r="T24" s="15">
        <f ca="1">OFFSET(Chili!U12,0,2)</f>
        <v>250</v>
      </c>
      <c r="U24" s="15">
        <f ca="1">OFFSET(Chili!V12,0,2)</f>
        <v>200</v>
      </c>
      <c r="V24" s="15">
        <f ca="1">OFFSET(Chili!W12,0,2)</f>
        <v>250</v>
      </c>
      <c r="W24" s="15">
        <f ca="1">OFFSET(Chili!X12,0,2)</f>
        <v>250</v>
      </c>
      <c r="X24" s="15">
        <f ca="1">OFFSET(Chili!Y12,0,2)</f>
        <v>150</v>
      </c>
      <c r="Y24" s="15">
        <f ca="1">OFFSET(Chili!Z12,0,2)</f>
        <v>250</v>
      </c>
      <c r="Z24" s="15">
        <f ca="1">OFFSET(Chili!AA12,0,2)</f>
        <v>150</v>
      </c>
      <c r="AA24" s="15">
        <f ca="1">OFFSET(Chili!AB12,0,2)</f>
        <v>300</v>
      </c>
      <c r="AB24" s="15">
        <f ca="1">OFFSET(Chili!AC12,0,2)</f>
        <v>100</v>
      </c>
      <c r="AC24" s="15">
        <f ca="1">OFFSET(Chili!AD12,0,2)</f>
        <v>200</v>
      </c>
      <c r="AD24" s="15">
        <f ca="1">OFFSET(Chili!AE12,0,2)</f>
        <v>100</v>
      </c>
      <c r="AE24" s="15">
        <f ca="1">OFFSET(Chili!AF12,0,2)</f>
        <v>0</v>
      </c>
      <c r="AF24" s="15">
        <f ca="1">OFFSET(Chili!AG12,0,2)</f>
        <v>0</v>
      </c>
      <c r="AG24" s="228"/>
      <c r="AH24" s="228"/>
      <c r="AI24" s="228"/>
      <c r="AJ24" s="228"/>
    </row>
    <row r="25" spans="1:36" x14ac:dyDescent="0.25">
      <c r="A25" s="30">
        <v>1000</v>
      </c>
      <c r="B25" s="102" t="s">
        <v>29</v>
      </c>
      <c r="C25" s="155" t="s">
        <v>49</v>
      </c>
      <c r="D25" s="42" t="s">
        <v>48</v>
      </c>
      <c r="E25" s="103" t="s">
        <v>52</v>
      </c>
      <c r="F25" s="118" t="s">
        <v>36</v>
      </c>
      <c r="G25" s="99" t="s">
        <v>54</v>
      </c>
      <c r="H25" s="14"/>
      <c r="I25" s="15">
        <f ca="1">OFFSET(MJ_Initialisation!D32,0,2)</f>
        <v>150</v>
      </c>
      <c r="J25" s="15">
        <f ca="1">OFFSET(MJ_Initialisation!E32,0,2)</f>
        <v>200</v>
      </c>
      <c r="K25" s="15">
        <f ca="1">OFFSET(MJ_Initialisation!F32,0,2)</f>
        <v>200</v>
      </c>
      <c r="L25" s="15">
        <f ca="1">OFFSET(MJ_Initialisation!G32,0,2)</f>
        <v>50</v>
      </c>
      <c r="M25" s="15">
        <f ca="1">OFFSET(MJ_Initialisation!H32,0,2)</f>
        <v>150</v>
      </c>
      <c r="N25" s="15">
        <f ca="1">OFFSET(MJ_Initialisation!I32,0,2)</f>
        <v>250</v>
      </c>
      <c r="O25" s="15">
        <f ca="1">OFFSET(MJ_Initialisation!J32,0,2)</f>
        <v>100</v>
      </c>
      <c r="P25" s="15">
        <f ca="1">OFFSET(MJ_Initialisation!K32,0,2)</f>
        <v>50</v>
      </c>
      <c r="Q25" s="15">
        <f ca="1">OFFSET(MJ_Initialisation!L32,0,2)</f>
        <v>250</v>
      </c>
      <c r="R25" s="15">
        <f ca="1">OFFSET(MJ_Initialisation!M32,0,2)</f>
        <v>200</v>
      </c>
      <c r="S25" s="15">
        <f ca="1">OFFSET(MJ_Initialisation!N32,0,2)</f>
        <v>50</v>
      </c>
      <c r="T25" s="15">
        <f ca="1">OFFSET(MJ_Initialisation!O32,0,2)</f>
        <v>250</v>
      </c>
      <c r="U25" s="15">
        <f ca="1">OFFSET(MJ_Initialisation!P32,0,2)</f>
        <v>200</v>
      </c>
      <c r="V25" s="15">
        <f ca="1">OFFSET(MJ_Initialisation!Q32,0,2)</f>
        <v>250</v>
      </c>
      <c r="W25" s="15">
        <f ca="1">OFFSET(MJ_Initialisation!R32,0,2)</f>
        <v>250</v>
      </c>
      <c r="X25" s="15">
        <f ca="1">OFFSET(MJ_Initialisation!S32,0,2)</f>
        <v>150</v>
      </c>
      <c r="Y25" s="15">
        <f ca="1">OFFSET(MJ_Initialisation!T32,0,2)</f>
        <v>250</v>
      </c>
      <c r="Z25" s="15">
        <f ca="1">OFFSET(MJ_Initialisation!U32,0,2)</f>
        <v>150</v>
      </c>
      <c r="AA25" s="15">
        <f ca="1">OFFSET(MJ_Initialisation!V32,0,2)</f>
        <v>300</v>
      </c>
      <c r="AB25" s="15">
        <f ca="1">OFFSET(MJ_Initialisation!W32,0,2)</f>
        <v>100</v>
      </c>
      <c r="AC25" s="15">
        <f ca="1">OFFSET(MJ_Initialisation!X32,0,2)</f>
        <v>200</v>
      </c>
      <c r="AD25" s="15">
        <f ca="1">OFFSET(MJ_Initialisation!Y32,0,2)</f>
        <v>100</v>
      </c>
      <c r="AE25" s="15">
        <f ca="1">OFFSET(MJ_Initialisation!Z32,0,2)</f>
        <v>0</v>
      </c>
      <c r="AF25" s="15">
        <f ca="1">OFFSET(MJ_Initialisation!AA32,0,2)</f>
        <v>0</v>
      </c>
      <c r="AG25" s="228"/>
      <c r="AH25" s="228"/>
      <c r="AI25" s="228"/>
      <c r="AJ25" s="228"/>
    </row>
    <row r="26" spans="1:36" x14ac:dyDescent="0.25">
      <c r="A26" s="30">
        <v>1000</v>
      </c>
      <c r="B26" s="102" t="s">
        <v>29</v>
      </c>
      <c r="C26" s="155" t="s">
        <v>49</v>
      </c>
      <c r="D26" s="42" t="s">
        <v>48</v>
      </c>
      <c r="E26" s="103" t="s">
        <v>52</v>
      </c>
      <c r="F26" s="118" t="s">
        <v>36</v>
      </c>
      <c r="G26" s="105" t="s">
        <v>55</v>
      </c>
      <c r="H26" s="14"/>
      <c r="I26" s="15">
        <f ca="1">OFFSET(MJ_Initialisation!D33,0,2)</f>
        <v>0</v>
      </c>
      <c r="J26" s="15">
        <f ca="1">OFFSET(MJ_Initialisation!E33,0,2)</f>
        <v>0</v>
      </c>
      <c r="K26" s="15">
        <f ca="1">OFFSET(MJ_Initialisation!F33,0,2)</f>
        <v>0</v>
      </c>
      <c r="L26" s="15">
        <f ca="1">OFFSET(MJ_Initialisation!G33,0,2)</f>
        <v>0</v>
      </c>
      <c r="M26" s="15">
        <f ca="1">OFFSET(MJ_Initialisation!H33,0,2)</f>
        <v>0</v>
      </c>
      <c r="N26" s="15">
        <f ca="1">OFFSET(MJ_Initialisation!I33,0,2)</f>
        <v>0</v>
      </c>
      <c r="O26" s="15">
        <f ca="1">OFFSET(MJ_Initialisation!J33,0,2)</f>
        <v>0</v>
      </c>
      <c r="P26" s="15">
        <f ca="1">OFFSET(MJ_Initialisation!K33,0,2)</f>
        <v>0</v>
      </c>
      <c r="Q26" s="15">
        <f ca="1">OFFSET(MJ_Initialisation!L33,0,2)</f>
        <v>0</v>
      </c>
      <c r="R26" s="15">
        <f ca="1">OFFSET(MJ_Initialisation!M33,0,2)</f>
        <v>0</v>
      </c>
      <c r="S26" s="15">
        <f ca="1">OFFSET(MJ_Initialisation!N33,0,2)</f>
        <v>0</v>
      </c>
      <c r="T26" s="15">
        <f ca="1">OFFSET(MJ_Initialisation!O33,0,2)</f>
        <v>0</v>
      </c>
      <c r="U26" s="15">
        <f ca="1">OFFSET(MJ_Initialisation!P33,0,2)</f>
        <v>0</v>
      </c>
      <c r="V26" s="15">
        <f ca="1">OFFSET(MJ_Initialisation!Q33,0,2)</f>
        <v>0</v>
      </c>
      <c r="W26" s="15">
        <f ca="1">OFFSET(MJ_Initialisation!R33,0,2)</f>
        <v>0</v>
      </c>
      <c r="X26" s="15">
        <f ca="1">OFFSET(MJ_Initialisation!S33,0,2)</f>
        <v>0</v>
      </c>
      <c r="Y26" s="15">
        <f ca="1">OFFSET(MJ_Initialisation!T33,0,2)</f>
        <v>0</v>
      </c>
      <c r="Z26" s="15">
        <f ca="1">OFFSET(MJ_Initialisation!U33,0,2)</f>
        <v>0</v>
      </c>
      <c r="AA26" s="15">
        <f ca="1">OFFSET(MJ_Initialisation!V33,0,2)</f>
        <v>0</v>
      </c>
      <c r="AB26" s="15">
        <f ca="1">OFFSET(MJ_Initialisation!W33,0,2)</f>
        <v>0</v>
      </c>
      <c r="AC26" s="15">
        <f ca="1">OFFSET(MJ_Initialisation!X33,0,2)</f>
        <v>0</v>
      </c>
      <c r="AD26" s="15">
        <f ca="1">OFFSET(MJ_Initialisation!Y33,0,2)</f>
        <v>0</v>
      </c>
      <c r="AE26" s="15">
        <f ca="1">OFFSET(MJ_Initialisation!Z33,0,2)</f>
        <v>0</v>
      </c>
      <c r="AF26" s="15">
        <f ca="1">OFFSET(MJ_Initialisation!AA33,0,2)</f>
        <v>0</v>
      </c>
      <c r="AG26" s="228"/>
      <c r="AH26" s="228"/>
      <c r="AI26" s="228"/>
      <c r="AJ26" s="228"/>
    </row>
    <row r="27" spans="1:36" x14ac:dyDescent="0.25">
      <c r="A27" s="30">
        <v>1000</v>
      </c>
      <c r="B27" s="102" t="s">
        <v>29</v>
      </c>
      <c r="C27" s="155" t="s">
        <v>49</v>
      </c>
      <c r="D27" s="42" t="s">
        <v>48</v>
      </c>
      <c r="E27" s="103" t="s">
        <v>52</v>
      </c>
      <c r="F27" s="118" t="s">
        <v>36</v>
      </c>
      <c r="G27" s="106" t="s">
        <v>56</v>
      </c>
      <c r="H27" s="14"/>
      <c r="I27" s="87">
        <f ca="1">I25</f>
        <v>150</v>
      </c>
      <c r="J27" s="87">
        <f ca="1">J25</f>
        <v>200</v>
      </c>
      <c r="K27" s="246">
        <f ca="1">IF(K26=0,IF(K$9&gt;0,MAX(ROUND((((K24+J28)/K$9)*K$12),0),0),0),K26)</f>
        <v>200</v>
      </c>
      <c r="L27" s="246">
        <f t="shared" ref="L27" ca="1" si="32">IF(L26=0,IF(L$9&gt;0,MAX(ROUND((((L24+K28)/L$9)*L$12),0),0),0),L26)</f>
        <v>50</v>
      </c>
      <c r="M27" s="246">
        <f t="shared" ref="M27" ca="1" si="33">IF(M26=0,IF(M$9&gt;0,MAX(ROUND((((M24+L28)/M$9)*M$12),0),0),0),M26)</f>
        <v>150</v>
      </c>
      <c r="N27" s="246">
        <f t="shared" ref="N27" ca="1" si="34">IF(N26=0,IF(N$9&gt;0,MAX(ROUND((((N24+M28)/N$9)*N$12),0),0),0),N26)</f>
        <v>250</v>
      </c>
      <c r="O27" s="246">
        <f t="shared" ref="O27" ca="1" si="35">IF(O26=0,IF(O$9&gt;0,MAX(ROUND((((O24+N28)/O$9)*O$12),0),0),0),O26)</f>
        <v>100</v>
      </c>
      <c r="P27" s="246">
        <f t="shared" ref="P27" ca="1" si="36">IF(P26=0,IF(P$9&gt;0,MAX(ROUND((((P24+O28)/P$9)*P$12),0),0),0),P26)</f>
        <v>50</v>
      </c>
      <c r="Q27" s="246">
        <f t="shared" ref="Q27" ca="1" si="37">IF(Q26=0,IF(Q$9&gt;0,MAX(ROUND((((Q24+P28)/Q$9)*Q$12),0),0),0),Q26)</f>
        <v>250</v>
      </c>
      <c r="R27" s="246">
        <f t="shared" ref="R27" ca="1" si="38">IF(R26=0,IF(R$9&gt;0,MAX(ROUND((((R24+Q28)/R$9)*R$12),0),0),0),R26)</f>
        <v>200</v>
      </c>
      <c r="S27" s="246">
        <f t="shared" ref="S27" ca="1" si="39">IF(S26=0,IF(S$9&gt;0,MAX(ROUND((((S24+R28)/S$9)*S$12),0),0),0),S26)</f>
        <v>50</v>
      </c>
      <c r="T27" s="246">
        <f t="shared" ref="T27" ca="1" si="40">IF(T26=0,IF(T$9&gt;0,MAX(ROUND((((T24+S28)/T$9)*T$12),0),0),0),T26)</f>
        <v>250</v>
      </c>
      <c r="U27" s="246">
        <f t="shared" ref="U27" ca="1" si="41">IF(U26=0,IF(U$9&gt;0,MAX(ROUND((((U24+T28)/U$9)*U$12),0),0),0),U26)</f>
        <v>200</v>
      </c>
      <c r="V27" s="246">
        <f t="shared" ref="V27" ca="1" si="42">IF(V26=0,IF(V$9&gt;0,MAX(ROUND((((V24+U28)/V$9)*V$12),0),0),0),V26)</f>
        <v>250</v>
      </c>
      <c r="W27" s="246">
        <f t="shared" ref="W27" ca="1" si="43">IF(W26=0,IF(W$9&gt;0,MAX(ROUND((((W24+V28)/W$9)*W$12),0),0),0),W26)</f>
        <v>250</v>
      </c>
      <c r="X27" s="246">
        <f t="shared" ref="X27" ca="1" si="44">IF(X26=0,IF(X$9&gt;0,MAX(ROUND((((X24+W28)/X$9)*X$12),0),0),0),X26)</f>
        <v>150</v>
      </c>
      <c r="Y27" s="246">
        <f t="shared" ref="Y27" ca="1" si="45">IF(Y26=0,IF(Y$9&gt;0,MAX(ROUND((((Y24+X28)/Y$9)*Y$12),0),0),0),Y26)</f>
        <v>250</v>
      </c>
      <c r="Z27" s="246">
        <f t="shared" ref="Z27" ca="1" si="46">IF(Z26=0,IF(Z$9&gt;0,MAX(ROUND((((Z24+Y28)/Z$9)*Z$12),0),0),0),Z26)</f>
        <v>150</v>
      </c>
      <c r="AA27" s="246">
        <f t="shared" ref="AA27" ca="1" si="47">IF(AA26=0,IF(AA$9&gt;0,MAX(ROUND((((AA24+Z28)/AA$9)*AA$12),0),0),0),AA26)</f>
        <v>300</v>
      </c>
      <c r="AB27" s="246">
        <f t="shared" ref="AB27" ca="1" si="48">IF(AB26=0,IF(AB$9&gt;0,MAX(ROUND((((AB24+AA28)/AB$9)*AB$12),0),0),0),AB26)</f>
        <v>100</v>
      </c>
      <c r="AC27" s="246">
        <f t="shared" ref="AC27" ca="1" si="49">IF(AC26=0,IF(AC$9&gt;0,MAX(ROUND((((AC24+AB28)/AC$9)*AC$12),0),0),0),AC26)</f>
        <v>200</v>
      </c>
      <c r="AD27" s="246">
        <f t="shared" ref="AD27" ca="1" si="50">IF(AD26=0,IF(AD$9&gt;0,MAX(ROUND((((AD24+AC28)/AD$9)*AD$12),0),0),0),AD26)</f>
        <v>100</v>
      </c>
      <c r="AE27" s="246">
        <f t="shared" ref="AE27" ca="1" si="51">IF(AE26=0,IF(AE$9&gt;0,MAX(ROUND((((AE24+AD28)/AE$9)*AE$12),0),0),0),AE26)</f>
        <v>0</v>
      </c>
      <c r="AF27" s="246">
        <f t="shared" ref="AF27" ca="1" si="52">IF(AF26=0,IF(AF$9&gt;0,MAX(ROUND((((AF24+AE28)/AF$9)*AF$12),0),0),0),AF26)</f>
        <v>0</v>
      </c>
      <c r="AG27" s="246"/>
      <c r="AH27" s="246"/>
      <c r="AI27" s="246"/>
      <c r="AJ27" s="246"/>
    </row>
    <row r="28" spans="1:36" x14ac:dyDescent="0.25">
      <c r="A28" s="30">
        <v>1000</v>
      </c>
      <c r="B28" s="102" t="s">
        <v>29</v>
      </c>
      <c r="C28" s="155" t="s">
        <v>49</v>
      </c>
      <c r="D28" s="42" t="s">
        <v>48</v>
      </c>
      <c r="E28" s="103" t="s">
        <v>52</v>
      </c>
      <c r="F28" s="118" t="s">
        <v>36</v>
      </c>
      <c r="G28" s="100" t="s">
        <v>60</v>
      </c>
      <c r="H28" s="14"/>
      <c r="I28" s="87">
        <f t="shared" ref="I28:AF28" ca="1" si="53">I24+H28-I27</f>
        <v>0</v>
      </c>
      <c r="J28" s="87">
        <f t="shared" ca="1" si="53"/>
        <v>0</v>
      </c>
      <c r="K28" s="87">
        <f t="shared" ca="1" si="53"/>
        <v>0</v>
      </c>
      <c r="L28" s="87">
        <f t="shared" ca="1" si="53"/>
        <v>0</v>
      </c>
      <c r="M28" s="87">
        <f t="shared" ca="1" si="53"/>
        <v>0</v>
      </c>
      <c r="N28" s="87">
        <f t="shared" ca="1" si="53"/>
        <v>0</v>
      </c>
      <c r="O28" s="87">
        <f t="shared" ca="1" si="53"/>
        <v>0</v>
      </c>
      <c r="P28" s="87">
        <f t="shared" ca="1" si="53"/>
        <v>0</v>
      </c>
      <c r="Q28" s="87">
        <f t="shared" ca="1" si="53"/>
        <v>0</v>
      </c>
      <c r="R28" s="87">
        <f t="shared" ca="1" si="53"/>
        <v>0</v>
      </c>
      <c r="S28" s="87">
        <f t="shared" ca="1" si="53"/>
        <v>0</v>
      </c>
      <c r="T28" s="87">
        <f t="shared" ca="1" si="53"/>
        <v>0</v>
      </c>
      <c r="U28" s="87">
        <f t="shared" ca="1" si="53"/>
        <v>0</v>
      </c>
      <c r="V28" s="87">
        <f t="shared" ca="1" si="53"/>
        <v>0</v>
      </c>
      <c r="W28" s="87">
        <f t="shared" ca="1" si="53"/>
        <v>0</v>
      </c>
      <c r="X28" s="87">
        <f t="shared" ca="1" si="53"/>
        <v>0</v>
      </c>
      <c r="Y28" s="87">
        <f t="shared" ca="1" si="53"/>
        <v>0</v>
      </c>
      <c r="Z28" s="87">
        <f t="shared" ca="1" si="53"/>
        <v>0</v>
      </c>
      <c r="AA28" s="87">
        <f t="shared" ca="1" si="53"/>
        <v>0</v>
      </c>
      <c r="AB28" s="87">
        <f t="shared" ca="1" si="53"/>
        <v>0</v>
      </c>
      <c r="AC28" s="87">
        <f t="shared" ca="1" si="53"/>
        <v>0</v>
      </c>
      <c r="AD28" s="87">
        <f t="shared" ca="1" si="53"/>
        <v>0</v>
      </c>
      <c r="AE28" s="87">
        <f t="shared" ca="1" si="53"/>
        <v>0</v>
      </c>
      <c r="AF28" s="87">
        <f t="shared" ca="1" si="53"/>
        <v>0</v>
      </c>
      <c r="AG28" s="246"/>
      <c r="AH28" s="246"/>
      <c r="AI28" s="246"/>
      <c r="AJ28" s="246"/>
    </row>
    <row r="29" spans="1:36" x14ac:dyDescent="0.25">
      <c r="A29" s="30">
        <v>1000</v>
      </c>
      <c r="B29" s="102" t="s">
        <v>29</v>
      </c>
      <c r="C29" s="103" t="s">
        <v>53</v>
      </c>
      <c r="D29" s="119" t="s">
        <v>34</v>
      </c>
      <c r="E29" s="103" t="s">
        <v>49</v>
      </c>
      <c r="F29" s="42" t="s">
        <v>48</v>
      </c>
      <c r="G29" s="98" t="s">
        <v>57</v>
      </c>
      <c r="H29" s="14"/>
      <c r="I29" s="15">
        <f ca="1">OFFSET(Australie!J12,0,3)</f>
        <v>0</v>
      </c>
      <c r="J29" s="15">
        <f ca="1">OFFSET(Australie!K12,0,3)</f>
        <v>70</v>
      </c>
      <c r="K29" s="15">
        <f ca="1">OFFSET(Australie!L12,0,3)</f>
        <v>0</v>
      </c>
      <c r="L29" s="15">
        <f ca="1">OFFSET(Australie!M12,0,3)</f>
        <v>0</v>
      </c>
      <c r="M29" s="15">
        <f ca="1">OFFSET(Australie!N12,0,3)</f>
        <v>200</v>
      </c>
      <c r="N29" s="15">
        <f ca="1">OFFSET(Australie!O12,0,3)</f>
        <v>100</v>
      </c>
      <c r="O29" s="15">
        <f ca="1">OFFSET(Australie!P12,0,3)</f>
        <v>300</v>
      </c>
      <c r="P29" s="15">
        <f ca="1">OFFSET(Australie!Q12,0,3)</f>
        <v>100</v>
      </c>
      <c r="Q29" s="15">
        <f ca="1">OFFSET(Australie!R12,0,3)</f>
        <v>400</v>
      </c>
      <c r="R29" s="15">
        <f ca="1">OFFSET(Australie!S12,0,3)</f>
        <v>100</v>
      </c>
      <c r="S29" s="15">
        <f ca="1">OFFSET(Australie!T12,0,3)</f>
        <v>200</v>
      </c>
      <c r="T29" s="15">
        <f ca="1">OFFSET(Australie!U12,0,3)</f>
        <v>400</v>
      </c>
      <c r="U29" s="15">
        <f ca="1">OFFSET(Australie!V12,0,3)</f>
        <v>100</v>
      </c>
      <c r="V29" s="15">
        <f ca="1">OFFSET(Australie!W12,0,3)</f>
        <v>200</v>
      </c>
      <c r="W29" s="15">
        <f ca="1">OFFSET(Australie!X12,0,3)</f>
        <v>100</v>
      </c>
      <c r="X29" s="15">
        <f ca="1">OFFSET(Australie!Y12,0,3)</f>
        <v>300</v>
      </c>
      <c r="Y29" s="15">
        <f ca="1">OFFSET(Australie!Z12,0,3)</f>
        <v>100</v>
      </c>
      <c r="Z29" s="15">
        <f ca="1">OFFSET(Australie!AA12,0,3)</f>
        <v>300</v>
      </c>
      <c r="AA29" s="15">
        <f ca="1">OFFSET(Australie!AB12,0,3)</f>
        <v>400</v>
      </c>
      <c r="AB29" s="15">
        <f ca="1">OFFSET(Australie!AC12,0,3)</f>
        <v>400</v>
      </c>
      <c r="AC29" s="15">
        <f ca="1">OFFSET(Australie!AD12,0,3)</f>
        <v>100</v>
      </c>
      <c r="AD29" s="15">
        <f ca="1">OFFSET(Australie!AE12,0,3)</f>
        <v>0</v>
      </c>
      <c r="AE29" s="15">
        <f ca="1">OFFSET(Australie!AF12,0,3)</f>
        <v>0</v>
      </c>
      <c r="AF29" s="15">
        <f ca="1">OFFSET(Australie!AG12,0,3)</f>
        <v>0</v>
      </c>
      <c r="AG29" s="228"/>
      <c r="AH29" s="228"/>
      <c r="AI29" s="228"/>
      <c r="AJ29" s="228"/>
    </row>
    <row r="30" spans="1:36" x14ac:dyDescent="0.25">
      <c r="A30" s="30">
        <v>1000</v>
      </c>
      <c r="B30" s="102" t="s">
        <v>29</v>
      </c>
      <c r="C30" s="155" t="s">
        <v>49</v>
      </c>
      <c r="D30" s="42" t="s">
        <v>48</v>
      </c>
      <c r="E30" s="103" t="s">
        <v>53</v>
      </c>
      <c r="F30" s="119" t="s">
        <v>34</v>
      </c>
      <c r="G30" s="99" t="s">
        <v>54</v>
      </c>
      <c r="H30" s="14"/>
      <c r="I30" s="15">
        <f ca="1">OFFSET(MJ_Initialisation!D36,0,3)</f>
        <v>0</v>
      </c>
      <c r="J30" s="15">
        <f ca="1">OFFSET(MJ_Initialisation!E36,0,3)</f>
        <v>70</v>
      </c>
      <c r="K30" s="15">
        <f ca="1">OFFSET(MJ_Initialisation!F36,0,3)</f>
        <v>0</v>
      </c>
      <c r="L30" s="15">
        <f ca="1">OFFSET(MJ_Initialisation!G36,0,3)</f>
        <v>0</v>
      </c>
      <c r="M30" s="15">
        <f ca="1">OFFSET(MJ_Initialisation!H36,0,3)</f>
        <v>200</v>
      </c>
      <c r="N30" s="15">
        <f ca="1">OFFSET(MJ_Initialisation!I36,0,3)</f>
        <v>100</v>
      </c>
      <c r="O30" s="15">
        <f ca="1">OFFSET(MJ_Initialisation!J36,0,3)</f>
        <v>300</v>
      </c>
      <c r="P30" s="15">
        <f ca="1">OFFSET(MJ_Initialisation!K36,0,3)</f>
        <v>100</v>
      </c>
      <c r="Q30" s="15">
        <f ca="1">OFFSET(MJ_Initialisation!L36,0,3)</f>
        <v>400</v>
      </c>
      <c r="R30" s="15">
        <f ca="1">OFFSET(MJ_Initialisation!M36,0,3)</f>
        <v>100</v>
      </c>
      <c r="S30" s="15">
        <f ca="1">OFFSET(MJ_Initialisation!N36,0,3)</f>
        <v>200</v>
      </c>
      <c r="T30" s="15">
        <f ca="1">OFFSET(MJ_Initialisation!O36,0,3)</f>
        <v>400</v>
      </c>
      <c r="U30" s="15">
        <f ca="1">OFFSET(MJ_Initialisation!P36,0,3)</f>
        <v>100</v>
      </c>
      <c r="V30" s="15">
        <f ca="1">OFFSET(MJ_Initialisation!Q36,0,3)</f>
        <v>200</v>
      </c>
      <c r="W30" s="15">
        <f ca="1">OFFSET(MJ_Initialisation!R36,0,3)</f>
        <v>100</v>
      </c>
      <c r="X30" s="15">
        <f ca="1">OFFSET(MJ_Initialisation!S36,0,3)</f>
        <v>300</v>
      </c>
      <c r="Y30" s="15">
        <f ca="1">OFFSET(MJ_Initialisation!T36,0,3)</f>
        <v>100</v>
      </c>
      <c r="Z30" s="15">
        <f ca="1">OFFSET(MJ_Initialisation!U36,0,3)</f>
        <v>300</v>
      </c>
      <c r="AA30" s="15">
        <f ca="1">OFFSET(MJ_Initialisation!V36,0,3)</f>
        <v>400</v>
      </c>
      <c r="AB30" s="15">
        <f ca="1">OFFSET(MJ_Initialisation!W36,0,3)</f>
        <v>400</v>
      </c>
      <c r="AC30" s="15">
        <f ca="1">OFFSET(MJ_Initialisation!X36,0,3)</f>
        <v>100</v>
      </c>
      <c r="AD30" s="15">
        <f ca="1">OFFSET(MJ_Initialisation!Y36,0,3)</f>
        <v>0</v>
      </c>
      <c r="AE30" s="15">
        <f ca="1">OFFSET(MJ_Initialisation!Z36,0,3)</f>
        <v>0</v>
      </c>
      <c r="AF30" s="15">
        <f ca="1">OFFSET(MJ_Initialisation!AA36,0,3)</f>
        <v>0</v>
      </c>
      <c r="AG30" s="228"/>
      <c r="AH30" s="228"/>
      <c r="AI30" s="228"/>
      <c r="AJ30" s="228"/>
    </row>
    <row r="31" spans="1:36" x14ac:dyDescent="0.25">
      <c r="A31" s="30">
        <v>1000</v>
      </c>
      <c r="B31" s="102" t="s">
        <v>29</v>
      </c>
      <c r="C31" s="155" t="s">
        <v>49</v>
      </c>
      <c r="D31" s="42" t="s">
        <v>48</v>
      </c>
      <c r="E31" s="103" t="s">
        <v>53</v>
      </c>
      <c r="F31" s="119" t="s">
        <v>34</v>
      </c>
      <c r="G31" s="105" t="s">
        <v>55</v>
      </c>
      <c r="H31" s="14"/>
      <c r="I31" s="15">
        <f ca="1">OFFSET(MJ_Initialisation!D37,0,3)</f>
        <v>0</v>
      </c>
      <c r="J31" s="15">
        <f ca="1">OFFSET(MJ_Initialisation!E37,0,3)</f>
        <v>0</v>
      </c>
      <c r="K31" s="15">
        <f ca="1">OFFSET(MJ_Initialisation!F37,0,3)</f>
        <v>0</v>
      </c>
      <c r="L31" s="15">
        <f ca="1">OFFSET(MJ_Initialisation!G37,0,3)</f>
        <v>0</v>
      </c>
      <c r="M31" s="15">
        <f ca="1">OFFSET(MJ_Initialisation!H37,0,3)</f>
        <v>0</v>
      </c>
      <c r="N31" s="15">
        <f ca="1">OFFSET(MJ_Initialisation!I37,0,3)</f>
        <v>0</v>
      </c>
      <c r="O31" s="15">
        <f ca="1">OFFSET(MJ_Initialisation!J37,0,3)</f>
        <v>0</v>
      </c>
      <c r="P31" s="15">
        <f ca="1">OFFSET(MJ_Initialisation!K37,0,3)</f>
        <v>0</v>
      </c>
      <c r="Q31" s="15">
        <f ca="1">OFFSET(MJ_Initialisation!L37,0,3)</f>
        <v>0</v>
      </c>
      <c r="R31" s="15">
        <f ca="1">OFFSET(MJ_Initialisation!M37,0,3)</f>
        <v>0</v>
      </c>
      <c r="S31" s="15">
        <f ca="1">OFFSET(MJ_Initialisation!N37,0,3)</f>
        <v>0</v>
      </c>
      <c r="T31" s="15">
        <f ca="1">OFFSET(MJ_Initialisation!O37,0,3)</f>
        <v>0</v>
      </c>
      <c r="U31" s="15">
        <f ca="1">OFFSET(MJ_Initialisation!P37,0,3)</f>
        <v>0</v>
      </c>
      <c r="V31" s="15">
        <f ca="1">OFFSET(MJ_Initialisation!Q37,0,3)</f>
        <v>0</v>
      </c>
      <c r="W31" s="15">
        <f ca="1">OFFSET(MJ_Initialisation!R37,0,3)</f>
        <v>0</v>
      </c>
      <c r="X31" s="15">
        <f ca="1">OFFSET(MJ_Initialisation!S37,0,3)</f>
        <v>0</v>
      </c>
      <c r="Y31" s="15">
        <f ca="1">OFFSET(MJ_Initialisation!T37,0,3)</f>
        <v>0</v>
      </c>
      <c r="Z31" s="15">
        <f ca="1">OFFSET(MJ_Initialisation!U37,0,3)</f>
        <v>0</v>
      </c>
      <c r="AA31" s="15">
        <f ca="1">OFFSET(MJ_Initialisation!V37,0,3)</f>
        <v>0</v>
      </c>
      <c r="AB31" s="15">
        <f ca="1">OFFSET(MJ_Initialisation!W37,0,3)</f>
        <v>0</v>
      </c>
      <c r="AC31" s="15">
        <f ca="1">OFFSET(MJ_Initialisation!X37,0,3)</f>
        <v>0</v>
      </c>
      <c r="AD31" s="15">
        <f ca="1">OFFSET(MJ_Initialisation!Y37,0,3)</f>
        <v>0</v>
      </c>
      <c r="AE31" s="15">
        <f ca="1">OFFSET(MJ_Initialisation!Z37,0,3)</f>
        <v>0</v>
      </c>
      <c r="AF31" s="15">
        <f ca="1">OFFSET(MJ_Initialisation!AA37,0,3)</f>
        <v>0</v>
      </c>
      <c r="AG31" s="228"/>
      <c r="AH31" s="228"/>
      <c r="AI31" s="228"/>
      <c r="AJ31" s="228"/>
    </row>
    <row r="32" spans="1:36" x14ac:dyDescent="0.25">
      <c r="A32" s="30">
        <v>1000</v>
      </c>
      <c r="B32" s="102" t="s">
        <v>29</v>
      </c>
      <c r="C32" s="155" t="s">
        <v>49</v>
      </c>
      <c r="D32" s="42" t="s">
        <v>48</v>
      </c>
      <c r="E32" s="103" t="s">
        <v>53</v>
      </c>
      <c r="F32" s="119" t="s">
        <v>34</v>
      </c>
      <c r="G32" s="106" t="s">
        <v>56</v>
      </c>
      <c r="H32" s="47"/>
      <c r="I32" s="87">
        <f ca="1">I30</f>
        <v>0</v>
      </c>
      <c r="J32" s="87">
        <f ca="1">J30</f>
        <v>70</v>
      </c>
      <c r="K32" s="246">
        <f ca="1">IF(K31=0,IF(K$9&gt;0,MAX(ROUND((((K29+J33)/K$9)*K$12),0),0),0),K31)</f>
        <v>0</v>
      </c>
      <c r="L32" s="246">
        <f ca="1">IF(L31=0,IF(L$9&gt;0,MAX(ROUND((((L29+K33)/L$9)*L$12),0),0),0),L31)</f>
        <v>0</v>
      </c>
      <c r="M32" s="246">
        <f t="shared" ref="M32" ca="1" si="54">IF(M31=0,IF(M$9&gt;0,MAX(ROUND((((M29+L33)/M$9)*M$12),0),0),0),M31)</f>
        <v>200</v>
      </c>
      <c r="N32" s="246">
        <f t="shared" ref="N32" ca="1" si="55">IF(N31=0,IF(N$9&gt;0,MAX(ROUND((((N29+M33)/N$9)*N$12),0),0),0),N31)</f>
        <v>100</v>
      </c>
      <c r="O32" s="246">
        <f ca="1">IF(O31=0,IF(O$9&gt;0,MAX(ROUND((((O29+N33)/O$9)*O$12),0),0),0),O31)</f>
        <v>300</v>
      </c>
      <c r="P32" s="246">
        <f t="shared" ref="P32" ca="1" si="56">IF(P31=0,IF(P$9&gt;0,MAX(ROUND((((P29+O33)/P$9)*P$12),0),0),0),P31)</f>
        <v>100</v>
      </c>
      <c r="Q32" s="246">
        <f t="shared" ref="Q32" ca="1" si="57">IF(Q31=0,IF(Q$9&gt;0,MAX(ROUND((((Q29+P33)/Q$9)*Q$12),0),0),0),Q31)</f>
        <v>400</v>
      </c>
      <c r="R32" s="246">
        <f t="shared" ref="R32" ca="1" si="58">IF(R31=0,IF(R$9&gt;0,MAX(ROUND((((R29+Q33)/R$9)*R$12),0),0),0),R31)</f>
        <v>100</v>
      </c>
      <c r="S32" s="246">
        <f ca="1">IF(S31=0,IF(S$9&gt;0,MAX(ROUND((((S29+R33)/S$9)*S$12),0),0),0),S31)</f>
        <v>200</v>
      </c>
      <c r="T32" s="246">
        <f t="shared" ref="T32" ca="1" si="59">IF(T31=0,IF(T$9&gt;0,MAX(ROUND((((T29+S33)/T$9)*T$12),0),0),0),T31)</f>
        <v>400</v>
      </c>
      <c r="U32" s="246">
        <f t="shared" ref="U32" ca="1" si="60">IF(U31=0,IF(U$9&gt;0,MAX(ROUND((((U29+T33)/U$9)*U$12),0),0),0),U31)</f>
        <v>100</v>
      </c>
      <c r="V32" s="246">
        <f t="shared" ref="V32" ca="1" si="61">IF(V31=0,IF(V$9&gt;0,MAX(ROUND((((V29+U33)/V$9)*V$12),0),0),0),V31)</f>
        <v>200</v>
      </c>
      <c r="W32" s="246">
        <f t="shared" ref="W32" ca="1" si="62">IF(W31=0,IF(W$9&gt;0,MAX(ROUND((((W29+V33)/W$9)*W$12),0),0),0),W31)</f>
        <v>100</v>
      </c>
      <c r="X32" s="246">
        <f ca="1">IF(X31=0,IF(X$9&gt;0,MAX(ROUND((((X29+W33)/X$9)*X$12),0),0),0),X31)</f>
        <v>300</v>
      </c>
      <c r="Y32" s="246">
        <f t="shared" ref="Y32" ca="1" si="63">IF(Y31=0,IF(Y$9&gt;0,MAX(ROUND((((Y29+X33)/Y$9)*Y$12),0),0),0),Y31)</f>
        <v>100</v>
      </c>
      <c r="Z32" s="246">
        <f t="shared" ref="Z32" ca="1" si="64">IF(Z31=0,IF(Z$9&gt;0,MAX(ROUND((((Z29+Y33)/Z$9)*Z$12),0),0),0),Z31)</f>
        <v>300</v>
      </c>
      <c r="AA32" s="246">
        <f t="shared" ref="AA32" ca="1" si="65">IF(AA31=0,IF(AA$9&gt;0,MAX(ROUND((((AA29+Z33)/AA$9)*AA$12),0),0),0),AA31)</f>
        <v>400</v>
      </c>
      <c r="AB32" s="246">
        <f t="shared" ref="AB32" ca="1" si="66">IF(AB31=0,IF(AB$9&gt;0,MAX(ROUND((((AB29+AA33)/AB$9)*AB$12),0),0),0),AB31)</f>
        <v>400</v>
      </c>
      <c r="AC32" s="246">
        <f t="shared" ref="AC32" ca="1" si="67">IF(AC31=0,IF(AC$9&gt;0,MAX(ROUND((((AC29+AB33)/AC$9)*AC$12),0),0),0),AC31)</f>
        <v>100</v>
      </c>
      <c r="AD32" s="246">
        <f t="shared" ref="AD32" ca="1" si="68">IF(AD31=0,IF(AD$9&gt;0,MAX(ROUND((((AD29+AC33)/AD$9)*AD$12),0),0),0),AD31)</f>
        <v>0</v>
      </c>
      <c r="AE32" s="246">
        <f t="shared" ref="AE32" ca="1" si="69">IF(AE31=0,IF(AE$9&gt;0,MAX(ROUND((((AE29+AD33)/AE$9)*AE$12),0),0),0),AE31)</f>
        <v>0</v>
      </c>
      <c r="AF32" s="246">
        <f t="shared" ref="AF32" ca="1" si="70">IF(AF31=0,IF(AF$9&gt;0,MAX(ROUND((((AF29+AE33)/AF$9)*AF$12),0),0),0),AF31)</f>
        <v>0</v>
      </c>
      <c r="AG32" s="246"/>
      <c r="AH32" s="246"/>
      <c r="AI32" s="246"/>
      <c r="AJ32" s="246"/>
    </row>
    <row r="33" spans="1:36" x14ac:dyDescent="0.25">
      <c r="A33" s="30">
        <v>1000</v>
      </c>
      <c r="B33" s="102" t="s">
        <v>29</v>
      </c>
      <c r="C33" s="155" t="s">
        <v>49</v>
      </c>
      <c r="D33" s="42" t="s">
        <v>48</v>
      </c>
      <c r="E33" s="103" t="s">
        <v>53</v>
      </c>
      <c r="F33" s="119" t="s">
        <v>34</v>
      </c>
      <c r="G33" s="100" t="s">
        <v>60</v>
      </c>
      <c r="H33" s="47"/>
      <c r="I33" s="97">
        <f t="shared" ref="I33:AF33" ca="1" si="71">I29+H33-I32</f>
        <v>0</v>
      </c>
      <c r="J33" s="87">
        <f t="shared" ca="1" si="71"/>
        <v>0</v>
      </c>
      <c r="K33" s="87">
        <f t="shared" ca="1" si="71"/>
        <v>0</v>
      </c>
      <c r="L33" s="87">
        <f t="shared" ca="1" si="71"/>
        <v>0</v>
      </c>
      <c r="M33" s="87">
        <f t="shared" ca="1" si="71"/>
        <v>0</v>
      </c>
      <c r="N33" s="87">
        <f t="shared" ca="1" si="71"/>
        <v>0</v>
      </c>
      <c r="O33" s="87">
        <f t="shared" ca="1" si="71"/>
        <v>0</v>
      </c>
      <c r="P33" s="87">
        <f t="shared" ca="1" si="71"/>
        <v>0</v>
      </c>
      <c r="Q33" s="87">
        <f t="shared" ca="1" si="71"/>
        <v>0</v>
      </c>
      <c r="R33" s="87">
        <f t="shared" ca="1" si="71"/>
        <v>0</v>
      </c>
      <c r="S33" s="87">
        <f t="shared" ca="1" si="71"/>
        <v>0</v>
      </c>
      <c r="T33" s="87">
        <f t="shared" ca="1" si="71"/>
        <v>0</v>
      </c>
      <c r="U33" s="87">
        <f t="shared" ca="1" si="71"/>
        <v>0</v>
      </c>
      <c r="V33" s="87">
        <f t="shared" ca="1" si="71"/>
        <v>0</v>
      </c>
      <c r="W33" s="87">
        <f t="shared" ca="1" si="71"/>
        <v>0</v>
      </c>
      <c r="X33" s="87">
        <f t="shared" ca="1" si="71"/>
        <v>0</v>
      </c>
      <c r="Y33" s="87">
        <f t="shared" ca="1" si="71"/>
        <v>0</v>
      </c>
      <c r="Z33" s="87">
        <f t="shared" ca="1" si="71"/>
        <v>0</v>
      </c>
      <c r="AA33" s="87">
        <f t="shared" ca="1" si="71"/>
        <v>0</v>
      </c>
      <c r="AB33" s="87">
        <f t="shared" ca="1" si="71"/>
        <v>0</v>
      </c>
      <c r="AC33" s="87">
        <f t="shared" ca="1" si="71"/>
        <v>0</v>
      </c>
      <c r="AD33" s="87">
        <f t="shared" ca="1" si="71"/>
        <v>0</v>
      </c>
      <c r="AE33" s="87">
        <f t="shared" ca="1" si="71"/>
        <v>0</v>
      </c>
      <c r="AF33" s="87">
        <f t="shared" ca="1" si="71"/>
        <v>0</v>
      </c>
      <c r="AG33" s="246"/>
      <c r="AH33" s="246"/>
      <c r="AI33" s="246"/>
      <c r="AJ33" s="246"/>
    </row>
    <row r="34" spans="1:36" x14ac:dyDescent="0.25">
      <c r="A34" s="30">
        <v>1000</v>
      </c>
      <c r="B34" s="102" t="s">
        <v>29</v>
      </c>
      <c r="C34" s="103" t="s">
        <v>49</v>
      </c>
      <c r="D34" s="42" t="s">
        <v>48</v>
      </c>
      <c r="E34" s="103" t="s">
        <v>49</v>
      </c>
      <c r="F34" s="42" t="s">
        <v>48</v>
      </c>
      <c r="G34" s="106" t="s">
        <v>62</v>
      </c>
      <c r="H34" s="47"/>
      <c r="I34" s="97">
        <f ca="1">I17+I22+I27+I32</f>
        <v>220</v>
      </c>
      <c r="J34" s="97">
        <f ca="1">J17+J22+J27+J32</f>
        <v>280</v>
      </c>
      <c r="K34" s="97">
        <f ca="1">K17+K22+K27+K32</f>
        <v>460</v>
      </c>
      <c r="L34" s="97">
        <f t="shared" ref="L34:AF34" ca="1" si="72">L17+L22+L27+L32</f>
        <v>140</v>
      </c>
      <c r="M34" s="97">
        <f t="shared" ca="1" si="72"/>
        <v>460</v>
      </c>
      <c r="N34" s="97">
        <f t="shared" ca="1" si="72"/>
        <v>500</v>
      </c>
      <c r="O34" s="97">
        <f t="shared" ca="1" si="72"/>
        <v>680</v>
      </c>
      <c r="P34" s="97">
        <f t="shared" ca="1" si="72"/>
        <v>350</v>
      </c>
      <c r="Q34" s="97">
        <f t="shared" ca="1" si="72"/>
        <v>860</v>
      </c>
      <c r="R34" s="97">
        <f t="shared" ca="1" si="72"/>
        <v>600</v>
      </c>
      <c r="S34" s="97">
        <f t="shared" ca="1" si="72"/>
        <v>530</v>
      </c>
      <c r="T34" s="97">
        <f t="shared" ca="1" si="72"/>
        <v>860</v>
      </c>
      <c r="U34" s="97">
        <f t="shared" ca="1" si="72"/>
        <v>390</v>
      </c>
      <c r="V34" s="97">
        <f t="shared" ca="1" si="72"/>
        <v>620</v>
      </c>
      <c r="W34" s="97">
        <f t="shared" ca="1" si="72"/>
        <v>420</v>
      </c>
      <c r="X34" s="97">
        <f t="shared" ca="1" si="72"/>
        <v>700</v>
      </c>
      <c r="Y34" s="97">
        <f t="shared" ca="1" si="72"/>
        <v>550</v>
      </c>
      <c r="Z34" s="97">
        <f t="shared" ca="1" si="72"/>
        <v>620</v>
      </c>
      <c r="AA34" s="97">
        <f t="shared" ca="1" si="72"/>
        <v>1000</v>
      </c>
      <c r="AB34" s="97">
        <f t="shared" ca="1" si="72"/>
        <v>710</v>
      </c>
      <c r="AC34" s="97">
        <f t="shared" ca="1" si="72"/>
        <v>450</v>
      </c>
      <c r="AD34" s="97">
        <f t="shared" ca="1" si="72"/>
        <v>220</v>
      </c>
      <c r="AE34" s="97">
        <f t="shared" ca="1" si="72"/>
        <v>210</v>
      </c>
      <c r="AF34" s="97">
        <f t="shared" ca="1" si="72"/>
        <v>40</v>
      </c>
      <c r="AG34" s="250"/>
      <c r="AH34" s="250"/>
      <c r="AI34" s="250"/>
      <c r="AJ34" s="250"/>
    </row>
    <row r="35" spans="1:36" x14ac:dyDescent="0.25">
      <c r="A35" s="30">
        <v>1000</v>
      </c>
      <c r="B35" s="102" t="s">
        <v>29</v>
      </c>
      <c r="C35" s="103" t="s">
        <v>49</v>
      </c>
      <c r="D35" s="42" t="s">
        <v>48</v>
      </c>
      <c r="E35" s="103" t="s">
        <v>49</v>
      </c>
      <c r="F35" s="42" t="s">
        <v>48</v>
      </c>
      <c r="G35" s="100" t="s">
        <v>37</v>
      </c>
      <c r="H35" s="92"/>
      <c r="I35" s="97">
        <f ca="1">H8+I5+I6-I34</f>
        <v>300</v>
      </c>
      <c r="J35" s="97">
        <f ca="1">I35+J5+J6-J34</f>
        <v>300</v>
      </c>
      <c r="K35" s="97">
        <f t="shared" ref="K35:AF35" ca="1" si="73">J35+K5+K6-K34</f>
        <v>300</v>
      </c>
      <c r="L35" s="97">
        <f t="shared" ca="1" si="73"/>
        <v>487</v>
      </c>
      <c r="M35" s="97">
        <f t="shared" ca="1" si="73"/>
        <v>317</v>
      </c>
      <c r="N35" s="97">
        <f t="shared" ca="1" si="73"/>
        <v>300</v>
      </c>
      <c r="O35" s="97">
        <f t="shared" ca="1" si="73"/>
        <v>300</v>
      </c>
      <c r="P35" s="97">
        <f t="shared" ca="1" si="73"/>
        <v>398</v>
      </c>
      <c r="Q35" s="97">
        <f t="shared" ca="1" si="73"/>
        <v>300</v>
      </c>
      <c r="R35" s="97">
        <f t="shared" ca="1" si="73"/>
        <v>300</v>
      </c>
      <c r="S35" s="97">
        <f t="shared" ca="1" si="73"/>
        <v>300</v>
      </c>
      <c r="T35" s="97">
        <f t="shared" ca="1" si="73"/>
        <v>300</v>
      </c>
      <c r="U35" s="97">
        <f t="shared" ca="1" si="73"/>
        <v>300</v>
      </c>
      <c r="V35" s="97">
        <f t="shared" ca="1" si="73"/>
        <v>300</v>
      </c>
      <c r="W35" s="97">
        <f t="shared" ca="1" si="73"/>
        <v>314</v>
      </c>
      <c r="X35" s="97">
        <f t="shared" ca="1" si="73"/>
        <v>300</v>
      </c>
      <c r="Y35" s="97">
        <f t="shared" ca="1" si="73"/>
        <v>300</v>
      </c>
      <c r="Z35" s="97">
        <f t="shared" ca="1" si="73"/>
        <v>300</v>
      </c>
      <c r="AA35" s="97">
        <f t="shared" ca="1" si="73"/>
        <v>300</v>
      </c>
      <c r="AB35" s="97">
        <f t="shared" ca="1" si="73"/>
        <v>300</v>
      </c>
      <c r="AC35" s="97">
        <f t="shared" ca="1" si="73"/>
        <v>300</v>
      </c>
      <c r="AD35" s="97">
        <f t="shared" ca="1" si="73"/>
        <v>317</v>
      </c>
      <c r="AE35" s="97">
        <f t="shared" ca="1" si="73"/>
        <v>363</v>
      </c>
      <c r="AF35" s="97">
        <f t="shared" ca="1" si="73"/>
        <v>455</v>
      </c>
      <c r="AG35" s="250"/>
      <c r="AH35" s="250"/>
      <c r="AI35" s="250"/>
      <c r="AJ35" s="250"/>
    </row>
    <row r="36" spans="1:36" x14ac:dyDescent="0.25">
      <c r="A36" s="30">
        <v>1000</v>
      </c>
      <c r="B36" s="102" t="s">
        <v>29</v>
      </c>
      <c r="C36" s="103" t="s">
        <v>49</v>
      </c>
      <c r="D36" s="42" t="s">
        <v>48</v>
      </c>
      <c r="E36" s="103" t="s">
        <v>49</v>
      </c>
      <c r="F36" s="42" t="s">
        <v>48</v>
      </c>
      <c r="G36" s="100" t="s">
        <v>24</v>
      </c>
      <c r="H36" s="42"/>
      <c r="I36" s="39">
        <f>CBN_CDC!I16</f>
        <v>300</v>
      </c>
      <c r="J36" s="39">
        <f>CBN_CDC!J16</f>
        <v>300</v>
      </c>
      <c r="K36" s="39">
        <f>CBN_CDC!K16</f>
        <v>300</v>
      </c>
      <c r="L36" s="39">
        <f>CBN_CDC!L16</f>
        <v>300</v>
      </c>
      <c r="M36" s="39">
        <f>CBN_CDC!M16</f>
        <v>300</v>
      </c>
      <c r="N36" s="39">
        <f>CBN_CDC!N16</f>
        <v>300</v>
      </c>
      <c r="O36" s="39">
        <f>CBN_CDC!O16</f>
        <v>300</v>
      </c>
      <c r="P36" s="39">
        <f>CBN_CDC!P16</f>
        <v>300</v>
      </c>
      <c r="Q36" s="39">
        <f>CBN_CDC!Q16</f>
        <v>300</v>
      </c>
      <c r="R36" s="39">
        <f>CBN_CDC!R16</f>
        <v>300</v>
      </c>
      <c r="S36" s="39">
        <f>CBN_CDC!S16</f>
        <v>300</v>
      </c>
      <c r="T36" s="39">
        <f>CBN_CDC!T16</f>
        <v>300</v>
      </c>
      <c r="U36" s="39">
        <f>CBN_CDC!U16</f>
        <v>300</v>
      </c>
      <c r="V36" s="39">
        <f>CBN_CDC!V16</f>
        <v>300</v>
      </c>
      <c r="W36" s="39">
        <f>CBN_CDC!W16</f>
        <v>300</v>
      </c>
      <c r="X36" s="39">
        <f>CBN_CDC!X16</f>
        <v>300</v>
      </c>
      <c r="Y36" s="39">
        <f>CBN_CDC!Y16</f>
        <v>300</v>
      </c>
      <c r="Z36" s="39">
        <f>CBN_CDC!Z16</f>
        <v>300</v>
      </c>
      <c r="AA36" s="39">
        <f>CBN_CDC!AA16</f>
        <v>300</v>
      </c>
      <c r="AB36" s="39">
        <f>CBN_CDC!AB16</f>
        <v>300</v>
      </c>
      <c r="AC36" s="39">
        <f>CBN_CDC!AC16</f>
        <v>300</v>
      </c>
      <c r="AD36" s="39">
        <f>CBN_CDC!AD16</f>
        <v>300</v>
      </c>
      <c r="AE36" s="39">
        <f>CBN_CDC!AE16</f>
        <v>300</v>
      </c>
      <c r="AF36" s="39">
        <f>CBN_CDC!AF16</f>
        <v>300</v>
      </c>
      <c r="AG36" s="238"/>
      <c r="AH36" s="238"/>
      <c r="AI36" s="238"/>
      <c r="AJ36" s="238"/>
    </row>
    <row r="37" spans="1:36" x14ac:dyDescent="0.25">
      <c r="A37" s="30">
        <v>1000</v>
      </c>
      <c r="B37" s="102" t="s">
        <v>29</v>
      </c>
      <c r="C37" s="103" t="s">
        <v>49</v>
      </c>
      <c r="D37" s="42" t="s">
        <v>48</v>
      </c>
      <c r="E37" s="103" t="s">
        <v>49</v>
      </c>
      <c r="F37" s="42" t="s">
        <v>48</v>
      </c>
      <c r="G37" s="100" t="s">
        <v>60</v>
      </c>
      <c r="H37" s="92"/>
      <c r="I37" s="97">
        <f ca="1">I33+I28+I23+I18</f>
        <v>0</v>
      </c>
      <c r="J37" s="97">
        <f t="shared" ref="J37:AF37" ca="1" si="74">J33+J28+J23+J18</f>
        <v>0</v>
      </c>
      <c r="K37" s="97">
        <f t="shared" ca="1" si="74"/>
        <v>0</v>
      </c>
      <c r="L37" s="97">
        <f t="shared" ca="1" si="74"/>
        <v>0</v>
      </c>
      <c r="M37" s="97">
        <f t="shared" ca="1" si="74"/>
        <v>0</v>
      </c>
      <c r="N37" s="97">
        <f t="shared" ca="1" si="74"/>
        <v>0</v>
      </c>
      <c r="O37" s="97">
        <f t="shared" ca="1" si="74"/>
        <v>0</v>
      </c>
      <c r="P37" s="97">
        <f t="shared" ca="1" si="74"/>
        <v>0</v>
      </c>
      <c r="Q37" s="97">
        <f t="shared" ca="1" si="74"/>
        <v>0</v>
      </c>
      <c r="R37" s="97">
        <f t="shared" ca="1" si="74"/>
        <v>0</v>
      </c>
      <c r="S37" s="97">
        <f t="shared" ca="1" si="74"/>
        <v>0</v>
      </c>
      <c r="T37" s="97">
        <f t="shared" ca="1" si="74"/>
        <v>0</v>
      </c>
      <c r="U37" s="97">
        <f t="shared" ca="1" si="74"/>
        <v>0</v>
      </c>
      <c r="V37" s="97">
        <f t="shared" ca="1" si="74"/>
        <v>0</v>
      </c>
      <c r="W37" s="97">
        <f t="shared" ca="1" si="74"/>
        <v>0</v>
      </c>
      <c r="X37" s="97">
        <f t="shared" ca="1" si="74"/>
        <v>0</v>
      </c>
      <c r="Y37" s="97">
        <f t="shared" ca="1" si="74"/>
        <v>0</v>
      </c>
      <c r="Z37" s="97">
        <f t="shared" ca="1" si="74"/>
        <v>0</v>
      </c>
      <c r="AA37" s="97">
        <f t="shared" ca="1" si="74"/>
        <v>0</v>
      </c>
      <c r="AB37" s="97">
        <f t="shared" ca="1" si="74"/>
        <v>0</v>
      </c>
      <c r="AC37" s="97">
        <f t="shared" ca="1" si="74"/>
        <v>0</v>
      </c>
      <c r="AD37" s="97">
        <f t="shared" ca="1" si="74"/>
        <v>0</v>
      </c>
      <c r="AE37" s="97">
        <f t="shared" ca="1" si="74"/>
        <v>0</v>
      </c>
      <c r="AF37" s="97">
        <f t="shared" ca="1" si="74"/>
        <v>0</v>
      </c>
      <c r="AG37" s="250"/>
      <c r="AH37" s="250"/>
      <c r="AI37" s="250"/>
      <c r="AJ37" s="250"/>
    </row>
    <row r="38" spans="1:36" x14ac:dyDescent="0.25">
      <c r="A38" s="11"/>
      <c r="B38" s="57"/>
      <c r="C38" s="154"/>
      <c r="D38" s="11"/>
      <c r="E38" s="11"/>
      <c r="F38" s="11"/>
      <c r="G38" s="11"/>
      <c r="H38" s="11"/>
      <c r="I38" s="11"/>
      <c r="J38" s="11"/>
      <c r="K38" s="11"/>
      <c r="L38" s="11"/>
      <c r="M38" s="11"/>
      <c r="N38" s="11"/>
      <c r="O38" s="11"/>
      <c r="P38" s="11"/>
      <c r="Q38" s="11"/>
      <c r="R38" s="11"/>
      <c r="S38" s="11"/>
      <c r="T38" s="11"/>
      <c r="U38" s="11"/>
      <c r="V38" s="11"/>
      <c r="W38" s="11"/>
      <c r="X38" s="11"/>
      <c r="Y38" s="11"/>
      <c r="Z38" s="11"/>
      <c r="AA38" s="11"/>
      <c r="AB38" s="11"/>
      <c r="AC38" s="11"/>
      <c r="AD38" s="11"/>
      <c r="AE38" s="11"/>
      <c r="AF38" s="11"/>
      <c r="AG38" s="226"/>
      <c r="AH38" s="226"/>
      <c r="AI38" s="226"/>
      <c r="AJ38" s="226"/>
    </row>
    <row r="39" spans="1:36" ht="15" customHeight="1" x14ac:dyDescent="0.25">
      <c r="A39" s="30">
        <v>2000</v>
      </c>
      <c r="B39" s="104" t="s">
        <v>30</v>
      </c>
      <c r="C39" s="155">
        <v>111</v>
      </c>
      <c r="D39" s="42" t="s">
        <v>65</v>
      </c>
      <c r="E39" s="103" t="s">
        <v>49</v>
      </c>
      <c r="F39" s="42" t="s">
        <v>48</v>
      </c>
      <c r="G39" s="98" t="s">
        <v>47</v>
      </c>
      <c r="H39" s="90"/>
      <c r="I39" s="153"/>
      <c r="J39" s="153"/>
      <c r="K39" s="16">
        <f ca="1">Factory!J20</f>
        <v>480</v>
      </c>
      <c r="L39" s="16">
        <f ca="1">Factory!K20</f>
        <v>197</v>
      </c>
      <c r="M39" s="16">
        <f ca="1">Factory!L20</f>
        <v>379</v>
      </c>
      <c r="N39" s="16">
        <f ca="1">Factory!M20</f>
        <v>295</v>
      </c>
      <c r="O39" s="16">
        <f ca="1">Factory!N20</f>
        <v>473</v>
      </c>
      <c r="P39" s="16">
        <f ca="1">Factory!O20</f>
        <v>321</v>
      </c>
      <c r="Q39" s="16">
        <f ca="1">Factory!P20</f>
        <v>374</v>
      </c>
      <c r="R39" s="16">
        <f ca="1">Factory!Q20</f>
        <v>297</v>
      </c>
      <c r="S39" s="16">
        <f ca="1">Factory!R20</f>
        <v>227</v>
      </c>
      <c r="T39" s="16">
        <f ca="1">Factory!S20</f>
        <v>417</v>
      </c>
      <c r="U39" s="16">
        <f ca="1">Factory!T20</f>
        <v>296</v>
      </c>
      <c r="V39" s="16">
        <f ca="1">Factory!U20</f>
        <v>71</v>
      </c>
      <c r="W39" s="16">
        <f ca="1">Factory!V20</f>
        <v>273</v>
      </c>
      <c r="X39" s="16">
        <f ca="1">Factory!W20</f>
        <v>450</v>
      </c>
      <c r="Y39" s="16">
        <f ca="1">Factory!X20</f>
        <v>450</v>
      </c>
      <c r="Z39" s="16">
        <f ca="1">Factory!Y20</f>
        <v>240</v>
      </c>
      <c r="AA39" s="16">
        <f ca="1">Factory!Z20</f>
        <v>296</v>
      </c>
      <c r="AB39" s="16">
        <f ca="1">Factory!AA20</f>
        <v>449</v>
      </c>
      <c r="AC39" s="16">
        <f ca="1">Factory!AB20</f>
        <v>232</v>
      </c>
      <c r="AD39" s="16">
        <f ca="1">Factory!AC20</f>
        <v>146</v>
      </c>
      <c r="AE39" s="16">
        <f ca="1">Factory!AD20</f>
        <v>208</v>
      </c>
      <c r="AF39" s="16">
        <f ca="1">Factory!AE20</f>
        <v>108</v>
      </c>
      <c r="AG39" s="229"/>
      <c r="AH39" s="229"/>
      <c r="AI39" s="229"/>
      <c r="AJ39" s="229"/>
    </row>
    <row r="40" spans="1:36" ht="15" customHeight="1" x14ac:dyDescent="0.25">
      <c r="A40" s="30">
        <v>2000</v>
      </c>
      <c r="B40" s="104" t="s">
        <v>30</v>
      </c>
      <c r="C40" s="155">
        <v>111</v>
      </c>
      <c r="D40" s="42" t="s">
        <v>65</v>
      </c>
      <c r="E40" s="103" t="s">
        <v>49</v>
      </c>
      <c r="F40" s="42" t="s">
        <v>48</v>
      </c>
      <c r="G40" s="35" t="s">
        <v>73</v>
      </c>
      <c r="H40" s="31"/>
      <c r="I40" s="36">
        <f>MJ_Initialisation!D46</f>
        <v>60</v>
      </c>
      <c r="J40" s="36">
        <f>MJ_Initialisation!E46</f>
        <v>440</v>
      </c>
      <c r="K40" s="153"/>
      <c r="L40" s="153"/>
      <c r="M40" s="153"/>
      <c r="N40" s="153"/>
      <c r="O40" s="153"/>
      <c r="P40" s="153"/>
      <c r="Q40" s="153"/>
      <c r="R40" s="153"/>
      <c r="S40" s="153"/>
      <c r="T40" s="153"/>
      <c r="U40" s="153"/>
      <c r="V40" s="153"/>
      <c r="W40" s="153"/>
      <c r="X40" s="153"/>
      <c r="Y40" s="153"/>
      <c r="Z40" s="153"/>
      <c r="AA40" s="153"/>
      <c r="AB40" s="153"/>
      <c r="AC40" s="153"/>
      <c r="AD40" s="153"/>
      <c r="AE40" s="153"/>
      <c r="AF40" s="153"/>
      <c r="AG40" s="260"/>
      <c r="AH40" s="260"/>
      <c r="AI40" s="260"/>
      <c r="AJ40" s="260"/>
    </row>
    <row r="41" spans="1:36" ht="15" customHeight="1" x14ac:dyDescent="0.25">
      <c r="A41" s="30">
        <v>2000</v>
      </c>
      <c r="B41" s="104" t="s">
        <v>30</v>
      </c>
      <c r="C41" s="155">
        <v>111</v>
      </c>
      <c r="D41" s="42" t="s">
        <v>65</v>
      </c>
      <c r="E41" s="103" t="s">
        <v>49</v>
      </c>
      <c r="F41" s="42" t="s">
        <v>48</v>
      </c>
      <c r="G41" s="106" t="s">
        <v>127</v>
      </c>
      <c r="H41" s="42"/>
      <c r="I41" s="250">
        <f>I39+I40</f>
        <v>60</v>
      </c>
      <c r="J41" s="87">
        <f t="shared" ref="J41:AF41" si="75">J39+J40</f>
        <v>440</v>
      </c>
      <c r="K41" s="87">
        <f t="shared" ca="1" si="75"/>
        <v>480</v>
      </c>
      <c r="L41" s="87">
        <f t="shared" ca="1" si="75"/>
        <v>197</v>
      </c>
      <c r="M41" s="87">
        <f t="shared" ca="1" si="75"/>
        <v>379</v>
      </c>
      <c r="N41" s="87">
        <f t="shared" ca="1" si="75"/>
        <v>295</v>
      </c>
      <c r="O41" s="87">
        <f t="shared" ca="1" si="75"/>
        <v>473</v>
      </c>
      <c r="P41" s="87">
        <f t="shared" ca="1" si="75"/>
        <v>321</v>
      </c>
      <c r="Q41" s="87">
        <f t="shared" ca="1" si="75"/>
        <v>374</v>
      </c>
      <c r="R41" s="87">
        <f t="shared" ca="1" si="75"/>
        <v>297</v>
      </c>
      <c r="S41" s="87">
        <f t="shared" ca="1" si="75"/>
        <v>227</v>
      </c>
      <c r="T41" s="87">
        <f t="shared" ca="1" si="75"/>
        <v>417</v>
      </c>
      <c r="U41" s="87">
        <f t="shared" ca="1" si="75"/>
        <v>296</v>
      </c>
      <c r="V41" s="87">
        <f t="shared" ca="1" si="75"/>
        <v>71</v>
      </c>
      <c r="W41" s="87">
        <f t="shared" ca="1" si="75"/>
        <v>273</v>
      </c>
      <c r="X41" s="87">
        <f t="shared" ca="1" si="75"/>
        <v>450</v>
      </c>
      <c r="Y41" s="87">
        <f t="shared" ca="1" si="75"/>
        <v>450</v>
      </c>
      <c r="Z41" s="87">
        <f t="shared" ca="1" si="75"/>
        <v>240</v>
      </c>
      <c r="AA41" s="87">
        <f t="shared" ca="1" si="75"/>
        <v>296</v>
      </c>
      <c r="AB41" s="87">
        <f t="shared" ca="1" si="75"/>
        <v>449</v>
      </c>
      <c r="AC41" s="87">
        <f t="shared" ca="1" si="75"/>
        <v>232</v>
      </c>
      <c r="AD41" s="87">
        <f t="shared" ca="1" si="75"/>
        <v>146</v>
      </c>
      <c r="AE41" s="87">
        <f t="shared" ca="1" si="75"/>
        <v>208</v>
      </c>
      <c r="AF41" s="87">
        <f t="shared" ca="1" si="75"/>
        <v>108</v>
      </c>
      <c r="AG41" s="246"/>
      <c r="AH41" s="246"/>
      <c r="AI41" s="246"/>
      <c r="AJ41" s="246"/>
    </row>
    <row r="42" spans="1:36" ht="15.75" thickBot="1" x14ac:dyDescent="0.3">
      <c r="A42" s="30">
        <v>2000</v>
      </c>
      <c r="B42" s="121" t="s">
        <v>30</v>
      </c>
      <c r="C42" s="103" t="s">
        <v>49</v>
      </c>
      <c r="D42" s="42" t="s">
        <v>48</v>
      </c>
      <c r="E42" s="103" t="s">
        <v>49</v>
      </c>
      <c r="F42" s="42" t="s">
        <v>48</v>
      </c>
      <c r="G42" s="168" t="s">
        <v>120</v>
      </c>
      <c r="H42" s="66">
        <f>CBN_CDC!H26</f>
        <v>300</v>
      </c>
      <c r="I42" s="175"/>
      <c r="J42" s="176"/>
      <c r="K42" s="176"/>
      <c r="L42" s="176"/>
      <c r="M42" s="176"/>
      <c r="N42" s="176"/>
      <c r="O42" s="176"/>
      <c r="P42" s="176"/>
      <c r="Q42" s="176"/>
      <c r="R42" s="176"/>
      <c r="S42" s="176"/>
      <c r="T42" s="176"/>
      <c r="U42" s="176"/>
      <c r="V42" s="176"/>
      <c r="W42" s="176"/>
      <c r="X42" s="176"/>
      <c r="Y42" s="176"/>
      <c r="Z42" s="176"/>
      <c r="AA42" s="176"/>
      <c r="AB42" s="176"/>
      <c r="AC42" s="176"/>
      <c r="AD42" s="176"/>
      <c r="AE42" s="176"/>
      <c r="AF42" s="176"/>
      <c r="AG42" s="267"/>
      <c r="AH42" s="267"/>
      <c r="AI42" s="267"/>
      <c r="AJ42" s="267"/>
    </row>
    <row r="43" spans="1:36" x14ac:dyDescent="0.25">
      <c r="A43" s="30">
        <v>2000</v>
      </c>
      <c r="B43" s="104" t="s">
        <v>30</v>
      </c>
      <c r="C43" s="103" t="s">
        <v>49</v>
      </c>
      <c r="D43" s="42" t="s">
        <v>48</v>
      </c>
      <c r="E43" s="103" t="s">
        <v>49</v>
      </c>
      <c r="F43" s="42" t="s">
        <v>48</v>
      </c>
      <c r="G43" s="106" t="s">
        <v>63</v>
      </c>
      <c r="H43" s="42"/>
      <c r="I43" s="87">
        <f ca="1">IF(I50&gt;0,0,I48+H52)+IF(I55&gt;0,0,I53+H57)+IF(I60&gt;0,0,I58+H62)</f>
        <v>60</v>
      </c>
      <c r="J43" s="87">
        <f t="shared" ref="J43:AF43" ca="1" si="76">IF(J50&gt;0,0,J48+I52)+IF(J55&gt;0,0,J53+I57)+IF(J60&gt;0,0,J58+I62)</f>
        <v>440</v>
      </c>
      <c r="K43" s="87">
        <f t="shared" ca="1" si="76"/>
        <v>480</v>
      </c>
      <c r="L43" s="87">
        <f t="shared" ca="1" si="76"/>
        <v>150</v>
      </c>
      <c r="M43" s="87">
        <f t="shared" ca="1" si="76"/>
        <v>80</v>
      </c>
      <c r="N43" s="87">
        <f t="shared" ca="1" si="76"/>
        <v>150</v>
      </c>
      <c r="O43" s="87">
        <f t="shared" ca="1" si="76"/>
        <v>340</v>
      </c>
      <c r="P43" s="87">
        <f t="shared" ca="1" si="76"/>
        <v>320</v>
      </c>
      <c r="Q43" s="87">
        <f t="shared" ca="1" si="76"/>
        <v>460</v>
      </c>
      <c r="R43" s="87">
        <f t="shared" ca="1" si="76"/>
        <v>240</v>
      </c>
      <c r="S43" s="87">
        <f t="shared" ca="1" si="76"/>
        <v>440</v>
      </c>
      <c r="T43" s="87">
        <f t="shared" ca="1" si="76"/>
        <v>230</v>
      </c>
      <c r="U43" s="87">
        <f t="shared" ca="1" si="76"/>
        <v>100</v>
      </c>
      <c r="V43" s="87">
        <f t="shared" ca="1" si="76"/>
        <v>620</v>
      </c>
      <c r="W43" s="87">
        <f t="shared" ca="1" si="76"/>
        <v>490</v>
      </c>
      <c r="X43" s="87">
        <f t="shared" ca="1" si="76"/>
        <v>450</v>
      </c>
      <c r="Y43" s="87">
        <f t="shared" ca="1" si="76"/>
        <v>450</v>
      </c>
      <c r="Z43" s="87">
        <f t="shared" ca="1" si="76"/>
        <v>240</v>
      </c>
      <c r="AA43" s="87">
        <f t="shared" ca="1" si="76"/>
        <v>70</v>
      </c>
      <c r="AB43" s="87">
        <f t="shared" ca="1" si="76"/>
        <v>260</v>
      </c>
      <c r="AC43" s="87">
        <f t="shared" ca="1" si="76"/>
        <v>450</v>
      </c>
      <c r="AD43" s="87">
        <f t="shared" ca="1" si="76"/>
        <v>200</v>
      </c>
      <c r="AE43" s="87">
        <f t="shared" ca="1" si="76"/>
        <v>250</v>
      </c>
      <c r="AF43" s="87">
        <f t="shared" ca="1" si="76"/>
        <v>40</v>
      </c>
      <c r="AG43" s="246"/>
      <c r="AH43" s="246"/>
      <c r="AI43" s="246"/>
      <c r="AJ43" s="246"/>
    </row>
    <row r="44" spans="1:36" x14ac:dyDescent="0.25">
      <c r="A44" s="30">
        <v>2000</v>
      </c>
      <c r="B44" s="104" t="s">
        <v>30</v>
      </c>
      <c r="C44" s="103" t="s">
        <v>49</v>
      </c>
      <c r="D44" s="42" t="s">
        <v>48</v>
      </c>
      <c r="E44" s="103" t="s">
        <v>49</v>
      </c>
      <c r="F44" s="42" t="s">
        <v>48</v>
      </c>
      <c r="G44" s="99" t="s">
        <v>59</v>
      </c>
      <c r="H44" s="14"/>
      <c r="I44" s="17">
        <f ca="1">I49+I54+I59</f>
        <v>60</v>
      </c>
      <c r="J44" s="17">
        <f t="shared" ref="J44:AF44" ca="1" si="77">J49+J54+J59</f>
        <v>440</v>
      </c>
      <c r="K44" s="17">
        <f t="shared" ca="1" si="77"/>
        <v>480</v>
      </c>
      <c r="L44" s="17">
        <f t="shared" ca="1" si="77"/>
        <v>150</v>
      </c>
      <c r="M44" s="17">
        <f t="shared" ca="1" si="77"/>
        <v>80</v>
      </c>
      <c r="N44" s="17">
        <f t="shared" ca="1" si="77"/>
        <v>150</v>
      </c>
      <c r="O44" s="17">
        <f t="shared" ca="1" si="77"/>
        <v>340</v>
      </c>
      <c r="P44" s="17">
        <f t="shared" ca="1" si="77"/>
        <v>320</v>
      </c>
      <c r="Q44" s="17">
        <f t="shared" ca="1" si="77"/>
        <v>460</v>
      </c>
      <c r="R44" s="17">
        <f t="shared" ca="1" si="77"/>
        <v>240</v>
      </c>
      <c r="S44" s="17">
        <f t="shared" ca="1" si="77"/>
        <v>440</v>
      </c>
      <c r="T44" s="17">
        <f t="shared" ca="1" si="77"/>
        <v>230</v>
      </c>
      <c r="U44" s="17">
        <f t="shared" ca="1" si="77"/>
        <v>100</v>
      </c>
      <c r="V44" s="17">
        <f t="shared" ca="1" si="77"/>
        <v>620</v>
      </c>
      <c r="W44" s="17">
        <f t="shared" ca="1" si="77"/>
        <v>490</v>
      </c>
      <c r="X44" s="17">
        <f t="shared" ca="1" si="77"/>
        <v>450</v>
      </c>
      <c r="Y44" s="17">
        <f t="shared" ca="1" si="77"/>
        <v>450</v>
      </c>
      <c r="Z44" s="17">
        <f t="shared" ca="1" si="77"/>
        <v>240</v>
      </c>
      <c r="AA44" s="17">
        <f t="shared" ca="1" si="77"/>
        <v>70</v>
      </c>
      <c r="AB44" s="17">
        <f t="shared" ca="1" si="77"/>
        <v>260</v>
      </c>
      <c r="AC44" s="17">
        <f t="shared" ca="1" si="77"/>
        <v>450</v>
      </c>
      <c r="AD44" s="17">
        <f t="shared" ca="1" si="77"/>
        <v>200</v>
      </c>
      <c r="AE44" s="17">
        <f t="shared" ca="1" si="77"/>
        <v>250</v>
      </c>
      <c r="AF44" s="17">
        <f t="shared" ca="1" si="77"/>
        <v>40</v>
      </c>
      <c r="AG44" s="230"/>
      <c r="AH44" s="230"/>
      <c r="AI44" s="230"/>
      <c r="AJ44" s="230"/>
    </row>
    <row r="45" spans="1:36" x14ac:dyDescent="0.25">
      <c r="A45" s="30">
        <v>2000</v>
      </c>
      <c r="B45" s="104" t="s">
        <v>30</v>
      </c>
      <c r="C45" s="155" t="s">
        <v>49</v>
      </c>
      <c r="D45" s="42" t="s">
        <v>48</v>
      </c>
      <c r="E45" s="103" t="s">
        <v>49</v>
      </c>
      <c r="F45" s="42" t="s">
        <v>48</v>
      </c>
      <c r="G45" s="99" t="s">
        <v>64</v>
      </c>
      <c r="H45" s="14"/>
      <c r="I45" s="17">
        <f ca="1">SUM(I50,I55,I60)</f>
        <v>0</v>
      </c>
      <c r="J45" s="17">
        <f t="shared" ref="J45:AF45" ca="1" si="78">SUM(J50,J55,J60)</f>
        <v>0</v>
      </c>
      <c r="K45" s="17">
        <f t="shared" ca="1" si="78"/>
        <v>0</v>
      </c>
      <c r="L45" s="17">
        <f t="shared" ca="1" si="78"/>
        <v>0</v>
      </c>
      <c r="M45" s="17">
        <f t="shared" ca="1" si="78"/>
        <v>0</v>
      </c>
      <c r="N45" s="17">
        <f t="shared" ca="1" si="78"/>
        <v>0</v>
      </c>
      <c r="O45" s="17">
        <f t="shared" ca="1" si="78"/>
        <v>0</v>
      </c>
      <c r="P45" s="17">
        <f t="shared" ca="1" si="78"/>
        <v>0</v>
      </c>
      <c r="Q45" s="17">
        <f t="shared" ca="1" si="78"/>
        <v>0</v>
      </c>
      <c r="R45" s="17">
        <f t="shared" ca="1" si="78"/>
        <v>0</v>
      </c>
      <c r="S45" s="17">
        <f t="shared" ca="1" si="78"/>
        <v>0</v>
      </c>
      <c r="T45" s="17">
        <f t="shared" ca="1" si="78"/>
        <v>0</v>
      </c>
      <c r="U45" s="17">
        <f t="shared" ca="1" si="78"/>
        <v>0</v>
      </c>
      <c r="V45" s="17">
        <f t="shared" ca="1" si="78"/>
        <v>0</v>
      </c>
      <c r="W45" s="17">
        <f t="shared" ca="1" si="78"/>
        <v>0</v>
      </c>
      <c r="X45" s="17">
        <f t="shared" ca="1" si="78"/>
        <v>0</v>
      </c>
      <c r="Y45" s="17">
        <f t="shared" ca="1" si="78"/>
        <v>0</v>
      </c>
      <c r="Z45" s="17">
        <f t="shared" ca="1" si="78"/>
        <v>0</v>
      </c>
      <c r="AA45" s="17">
        <f t="shared" ca="1" si="78"/>
        <v>0</v>
      </c>
      <c r="AB45" s="17">
        <f t="shared" ca="1" si="78"/>
        <v>0</v>
      </c>
      <c r="AC45" s="17">
        <f t="shared" ca="1" si="78"/>
        <v>0</v>
      </c>
      <c r="AD45" s="17">
        <f t="shared" ca="1" si="78"/>
        <v>0</v>
      </c>
      <c r="AE45" s="17">
        <f t="shared" ca="1" si="78"/>
        <v>0</v>
      </c>
      <c r="AF45" s="17">
        <f t="shared" ca="1" si="78"/>
        <v>0</v>
      </c>
      <c r="AG45" s="230"/>
      <c r="AH45" s="230"/>
      <c r="AI45" s="230"/>
      <c r="AJ45" s="230"/>
    </row>
    <row r="46" spans="1:36" ht="14.25" customHeight="1" x14ac:dyDescent="0.25">
      <c r="A46" s="30">
        <v>2000</v>
      </c>
      <c r="B46" s="104" t="s">
        <v>30</v>
      </c>
      <c r="C46" s="155" t="s">
        <v>49</v>
      </c>
      <c r="D46" s="42" t="s">
        <v>48</v>
      </c>
      <c r="E46" s="103" t="s">
        <v>49</v>
      </c>
      <c r="F46" s="42" t="s">
        <v>48</v>
      </c>
      <c r="G46" s="106" t="s">
        <v>61</v>
      </c>
      <c r="H46" s="42"/>
      <c r="I46" s="97">
        <f ca="1">I44</f>
        <v>60</v>
      </c>
      <c r="J46" s="97">
        <f ca="1">J44</f>
        <v>440</v>
      </c>
      <c r="K46" s="97">
        <f t="shared" ref="K46:AF46" ca="1" si="79">MAX(MIN(K43,K39+J47-K45),0)</f>
        <v>480</v>
      </c>
      <c r="L46" s="97">
        <f t="shared" ca="1" si="79"/>
        <v>150</v>
      </c>
      <c r="M46" s="97">
        <f t="shared" ca="1" si="79"/>
        <v>80</v>
      </c>
      <c r="N46" s="97">
        <f t="shared" ca="1" si="79"/>
        <v>150</v>
      </c>
      <c r="O46" s="97">
        <f t="shared" ca="1" si="79"/>
        <v>340</v>
      </c>
      <c r="P46" s="97">
        <f t="shared" ca="1" si="79"/>
        <v>320</v>
      </c>
      <c r="Q46" s="97">
        <f t="shared" ca="1" si="79"/>
        <v>460</v>
      </c>
      <c r="R46" s="97">
        <f t="shared" ca="1" si="79"/>
        <v>240</v>
      </c>
      <c r="S46" s="97">
        <f t="shared" ca="1" si="79"/>
        <v>440</v>
      </c>
      <c r="T46" s="97">
        <f t="shared" ca="1" si="79"/>
        <v>230</v>
      </c>
      <c r="U46" s="97">
        <f t="shared" ca="1" si="79"/>
        <v>100</v>
      </c>
      <c r="V46" s="97">
        <f t="shared" ca="1" si="79"/>
        <v>620</v>
      </c>
      <c r="W46" s="97">
        <f t="shared" ca="1" si="79"/>
        <v>490</v>
      </c>
      <c r="X46" s="97">
        <f t="shared" ca="1" si="79"/>
        <v>450</v>
      </c>
      <c r="Y46" s="97">
        <f t="shared" ca="1" si="79"/>
        <v>450</v>
      </c>
      <c r="Z46" s="97">
        <f t="shared" ca="1" si="79"/>
        <v>240</v>
      </c>
      <c r="AA46" s="97">
        <f t="shared" ca="1" si="79"/>
        <v>70</v>
      </c>
      <c r="AB46" s="97">
        <f t="shared" ca="1" si="79"/>
        <v>260</v>
      </c>
      <c r="AC46" s="97">
        <f t="shared" ca="1" si="79"/>
        <v>450</v>
      </c>
      <c r="AD46" s="97">
        <f t="shared" ca="1" si="79"/>
        <v>200</v>
      </c>
      <c r="AE46" s="97">
        <f t="shared" ca="1" si="79"/>
        <v>250</v>
      </c>
      <c r="AF46" s="97">
        <f t="shared" ca="1" si="79"/>
        <v>40</v>
      </c>
      <c r="AG46" s="250"/>
      <c r="AH46" s="250"/>
      <c r="AI46" s="250"/>
      <c r="AJ46" s="250"/>
    </row>
    <row r="47" spans="1:36" x14ac:dyDescent="0.25">
      <c r="A47" s="30">
        <v>2000</v>
      </c>
      <c r="B47" s="104" t="s">
        <v>30</v>
      </c>
      <c r="C47" s="155" t="s">
        <v>49</v>
      </c>
      <c r="D47" s="42" t="s">
        <v>48</v>
      </c>
      <c r="E47" s="103" t="s">
        <v>49</v>
      </c>
      <c r="F47" s="42" t="s">
        <v>48</v>
      </c>
      <c r="G47" s="100" t="s">
        <v>37</v>
      </c>
      <c r="H47" s="184"/>
      <c r="I47" s="97">
        <f ca="1">H42+I41-I46-I45</f>
        <v>300</v>
      </c>
      <c r="J47" s="97">
        <f ca="1">I47+J41-J46-J45</f>
        <v>300</v>
      </c>
      <c r="K47" s="250">
        <f t="shared" ref="K47:AF47" ca="1" si="80">J47+K41-K46-K45</f>
        <v>300</v>
      </c>
      <c r="L47" s="250">
        <f t="shared" ca="1" si="80"/>
        <v>347</v>
      </c>
      <c r="M47" s="250">
        <f t="shared" ca="1" si="80"/>
        <v>646</v>
      </c>
      <c r="N47" s="250">
        <f t="shared" ca="1" si="80"/>
        <v>791</v>
      </c>
      <c r="O47" s="250">
        <f t="shared" ca="1" si="80"/>
        <v>924</v>
      </c>
      <c r="P47" s="250">
        <f t="shared" ca="1" si="80"/>
        <v>925</v>
      </c>
      <c r="Q47" s="250">
        <f t="shared" ca="1" si="80"/>
        <v>839</v>
      </c>
      <c r="R47" s="250">
        <f t="shared" ca="1" si="80"/>
        <v>896</v>
      </c>
      <c r="S47" s="250">
        <f t="shared" ca="1" si="80"/>
        <v>683</v>
      </c>
      <c r="T47" s="250">
        <f t="shared" ca="1" si="80"/>
        <v>870</v>
      </c>
      <c r="U47" s="250">
        <f t="shared" ca="1" si="80"/>
        <v>1066</v>
      </c>
      <c r="V47" s="250">
        <f t="shared" ca="1" si="80"/>
        <v>517</v>
      </c>
      <c r="W47" s="250">
        <f t="shared" ca="1" si="80"/>
        <v>300</v>
      </c>
      <c r="X47" s="250">
        <f t="shared" ca="1" si="80"/>
        <v>300</v>
      </c>
      <c r="Y47" s="250">
        <f t="shared" ca="1" si="80"/>
        <v>300</v>
      </c>
      <c r="Z47" s="250">
        <f t="shared" ca="1" si="80"/>
        <v>300</v>
      </c>
      <c r="AA47" s="250">
        <f t="shared" ca="1" si="80"/>
        <v>526</v>
      </c>
      <c r="AB47" s="250">
        <f t="shared" ca="1" si="80"/>
        <v>715</v>
      </c>
      <c r="AC47" s="250">
        <f t="shared" ca="1" si="80"/>
        <v>497</v>
      </c>
      <c r="AD47" s="250">
        <f t="shared" ca="1" si="80"/>
        <v>443</v>
      </c>
      <c r="AE47" s="250">
        <f t="shared" ca="1" si="80"/>
        <v>401</v>
      </c>
      <c r="AF47" s="250">
        <f t="shared" ca="1" si="80"/>
        <v>469</v>
      </c>
      <c r="AG47" s="250"/>
      <c r="AH47" s="250"/>
      <c r="AI47" s="250"/>
      <c r="AJ47" s="250"/>
    </row>
    <row r="48" spans="1:36" x14ac:dyDescent="0.25">
      <c r="A48" s="30">
        <v>2000</v>
      </c>
      <c r="B48" s="104" t="s">
        <v>30</v>
      </c>
      <c r="C48" s="155" t="s">
        <v>50</v>
      </c>
      <c r="D48" s="116" t="s">
        <v>33</v>
      </c>
      <c r="E48" s="103" t="s">
        <v>49</v>
      </c>
      <c r="F48" s="42" t="s">
        <v>48</v>
      </c>
      <c r="G48" s="111" t="s">
        <v>57</v>
      </c>
      <c r="H48" s="14"/>
      <c r="I48" s="107">
        <f>France!J22</f>
        <v>10</v>
      </c>
      <c r="J48" s="107">
        <f>France!K22</f>
        <v>50</v>
      </c>
      <c r="K48" s="107">
        <f>France!L22</f>
        <v>110</v>
      </c>
      <c r="L48" s="107">
        <f>France!M22</f>
        <v>50</v>
      </c>
      <c r="M48" s="107">
        <f>France!N22</f>
        <v>20</v>
      </c>
      <c r="N48" s="107">
        <f>France!O22</f>
        <v>130</v>
      </c>
      <c r="O48" s="107">
        <f>France!P22</f>
        <v>170</v>
      </c>
      <c r="P48" s="107">
        <f>France!Q22</f>
        <v>180</v>
      </c>
      <c r="Q48" s="107">
        <f>France!R22</f>
        <v>180</v>
      </c>
      <c r="R48" s="107">
        <f>France!S22</f>
        <v>10</v>
      </c>
      <c r="S48" s="107">
        <f>France!T22</f>
        <v>100</v>
      </c>
      <c r="T48" s="107">
        <f>France!U22</f>
        <v>200</v>
      </c>
      <c r="U48" s="107">
        <f>France!V22</f>
        <v>30</v>
      </c>
      <c r="V48" s="107">
        <f>France!W22</f>
        <v>200</v>
      </c>
      <c r="W48" s="107">
        <f>France!X22</f>
        <v>50</v>
      </c>
      <c r="X48" s="107">
        <f>France!Y22</f>
        <v>40</v>
      </c>
      <c r="Y48" s="107">
        <f>France!Z22</f>
        <v>40</v>
      </c>
      <c r="Z48" s="107">
        <f>France!AA22</f>
        <v>10</v>
      </c>
      <c r="AA48" s="107">
        <f>France!AB22</f>
        <v>40</v>
      </c>
      <c r="AB48" s="107">
        <f>France!AC22</f>
        <v>100</v>
      </c>
      <c r="AC48" s="107">
        <f>France!AD22</f>
        <v>150</v>
      </c>
      <c r="AD48" s="107">
        <f>France!AE22</f>
        <v>100</v>
      </c>
      <c r="AE48" s="107">
        <f>France!AF22</f>
        <v>110</v>
      </c>
      <c r="AF48" s="107">
        <f>France!AG22</f>
        <v>40</v>
      </c>
      <c r="AG48" s="251"/>
      <c r="AH48" s="251"/>
      <c r="AI48" s="251"/>
      <c r="AJ48" s="251"/>
    </row>
    <row r="49" spans="1:36" x14ac:dyDescent="0.25">
      <c r="A49" s="30">
        <v>2000</v>
      </c>
      <c r="B49" s="104" t="s">
        <v>30</v>
      </c>
      <c r="C49" s="155" t="s">
        <v>49</v>
      </c>
      <c r="D49" s="42" t="s">
        <v>48</v>
      </c>
      <c r="E49" s="103" t="s">
        <v>50</v>
      </c>
      <c r="F49" s="116" t="s">
        <v>33</v>
      </c>
      <c r="G49" s="112" t="s">
        <v>54</v>
      </c>
      <c r="H49" s="14"/>
      <c r="I49" s="15">
        <f>MJ_Initialisation!D22</f>
        <v>10</v>
      </c>
      <c r="J49" s="15">
        <f>MJ_Initialisation!E22</f>
        <v>50</v>
      </c>
      <c r="K49" s="15">
        <f>MJ_Initialisation!F22</f>
        <v>110</v>
      </c>
      <c r="L49" s="15">
        <f>MJ_Initialisation!G22</f>
        <v>50</v>
      </c>
      <c r="M49" s="15">
        <f>MJ_Initialisation!H22</f>
        <v>20</v>
      </c>
      <c r="N49" s="15">
        <f>MJ_Initialisation!I22</f>
        <v>130</v>
      </c>
      <c r="O49" s="15">
        <f>MJ_Initialisation!J22</f>
        <v>170</v>
      </c>
      <c r="P49" s="15">
        <f>MJ_Initialisation!K22</f>
        <v>180</v>
      </c>
      <c r="Q49" s="15">
        <f>MJ_Initialisation!L22</f>
        <v>180</v>
      </c>
      <c r="R49" s="15">
        <f>MJ_Initialisation!M22</f>
        <v>10</v>
      </c>
      <c r="S49" s="15">
        <f>MJ_Initialisation!N22</f>
        <v>100</v>
      </c>
      <c r="T49" s="15">
        <f>MJ_Initialisation!O22</f>
        <v>200</v>
      </c>
      <c r="U49" s="15">
        <f>MJ_Initialisation!P22</f>
        <v>30</v>
      </c>
      <c r="V49" s="15">
        <f>MJ_Initialisation!Q22</f>
        <v>200</v>
      </c>
      <c r="W49" s="15">
        <f>MJ_Initialisation!R22</f>
        <v>50</v>
      </c>
      <c r="X49" s="15">
        <f>MJ_Initialisation!S22</f>
        <v>40</v>
      </c>
      <c r="Y49" s="15">
        <f>MJ_Initialisation!T22</f>
        <v>40</v>
      </c>
      <c r="Z49" s="15">
        <f>MJ_Initialisation!U22</f>
        <v>10</v>
      </c>
      <c r="AA49" s="15">
        <f>MJ_Initialisation!V22</f>
        <v>40</v>
      </c>
      <c r="AB49" s="15">
        <f>MJ_Initialisation!W22</f>
        <v>100</v>
      </c>
      <c r="AC49" s="15">
        <f>MJ_Initialisation!X22</f>
        <v>150</v>
      </c>
      <c r="AD49" s="15">
        <f>MJ_Initialisation!Y22</f>
        <v>100</v>
      </c>
      <c r="AE49" s="15">
        <f>MJ_Initialisation!Z22</f>
        <v>110</v>
      </c>
      <c r="AF49" s="15">
        <f>MJ_Initialisation!AA22</f>
        <v>40</v>
      </c>
      <c r="AG49" s="228"/>
      <c r="AH49" s="228"/>
      <c r="AI49" s="228"/>
      <c r="AJ49" s="228"/>
    </row>
    <row r="50" spans="1:36" x14ac:dyDescent="0.25">
      <c r="A50" s="30">
        <v>2000</v>
      </c>
      <c r="B50" s="104" t="s">
        <v>30</v>
      </c>
      <c r="C50" s="155" t="s">
        <v>49</v>
      </c>
      <c r="D50" s="42" t="s">
        <v>48</v>
      </c>
      <c r="E50" s="103" t="s">
        <v>50</v>
      </c>
      <c r="F50" s="116" t="s">
        <v>33</v>
      </c>
      <c r="G50" s="113" t="s">
        <v>55</v>
      </c>
      <c r="H50" s="14"/>
      <c r="I50" s="15">
        <f>MJ_Initialisation!D23</f>
        <v>0</v>
      </c>
      <c r="J50" s="15">
        <f>MJ_Initialisation!E23</f>
        <v>0</v>
      </c>
      <c r="K50" s="15">
        <f>MJ_Initialisation!F23</f>
        <v>0</v>
      </c>
      <c r="L50" s="15">
        <f>MJ_Initialisation!G23</f>
        <v>0</v>
      </c>
      <c r="M50" s="15">
        <f>MJ_Initialisation!H23</f>
        <v>0</v>
      </c>
      <c r="N50" s="15">
        <f>MJ_Initialisation!I23</f>
        <v>0</v>
      </c>
      <c r="O50" s="15">
        <f>MJ_Initialisation!J23</f>
        <v>0</v>
      </c>
      <c r="P50" s="15">
        <f>MJ_Initialisation!K23</f>
        <v>0</v>
      </c>
      <c r="Q50" s="15">
        <f>MJ_Initialisation!L23</f>
        <v>0</v>
      </c>
      <c r="R50" s="15">
        <f>MJ_Initialisation!M23</f>
        <v>0</v>
      </c>
      <c r="S50" s="15">
        <f>MJ_Initialisation!N23</f>
        <v>0</v>
      </c>
      <c r="T50" s="15">
        <f>MJ_Initialisation!O23</f>
        <v>0</v>
      </c>
      <c r="U50" s="15">
        <f>MJ_Initialisation!P23</f>
        <v>0</v>
      </c>
      <c r="V50" s="15">
        <f>MJ_Initialisation!Q23</f>
        <v>0</v>
      </c>
      <c r="W50" s="15">
        <f>MJ_Initialisation!R23</f>
        <v>0</v>
      </c>
      <c r="X50" s="15">
        <f>MJ_Initialisation!S23</f>
        <v>0</v>
      </c>
      <c r="Y50" s="15">
        <f>MJ_Initialisation!T23</f>
        <v>0</v>
      </c>
      <c r="Z50" s="15">
        <f>MJ_Initialisation!U23</f>
        <v>0</v>
      </c>
      <c r="AA50" s="15">
        <f>MJ_Initialisation!V23</f>
        <v>0</v>
      </c>
      <c r="AB50" s="15">
        <f>MJ_Initialisation!W23</f>
        <v>0</v>
      </c>
      <c r="AC50" s="15">
        <f>MJ_Initialisation!X23</f>
        <v>0</v>
      </c>
      <c r="AD50" s="15">
        <f>MJ_Initialisation!Y23</f>
        <v>0</v>
      </c>
      <c r="AE50" s="15">
        <f>MJ_Initialisation!Z23</f>
        <v>0</v>
      </c>
      <c r="AF50" s="15">
        <f>MJ_Initialisation!AA23</f>
        <v>0</v>
      </c>
      <c r="AG50" s="228"/>
      <c r="AH50" s="228"/>
      <c r="AI50" s="228"/>
      <c r="AJ50" s="228"/>
    </row>
    <row r="51" spans="1:36" x14ac:dyDescent="0.25">
      <c r="A51" s="30">
        <v>2000</v>
      </c>
      <c r="B51" s="104" t="s">
        <v>30</v>
      </c>
      <c r="C51" s="155" t="s">
        <v>49</v>
      </c>
      <c r="D51" s="42" t="s">
        <v>48</v>
      </c>
      <c r="E51" s="103" t="s">
        <v>50</v>
      </c>
      <c r="F51" s="116" t="s">
        <v>33</v>
      </c>
      <c r="G51" s="114" t="s">
        <v>56</v>
      </c>
      <c r="H51" s="14"/>
      <c r="I51" s="246">
        <f>I49</f>
        <v>10</v>
      </c>
      <c r="J51" s="246">
        <f>J49</f>
        <v>50</v>
      </c>
      <c r="K51" s="246">
        <f ca="1">IF(K50=0,IF(K$43&gt;0,MAX(ROUND((((K48+J52)/K$43)*K$46),0),0),0),K50)</f>
        <v>110</v>
      </c>
      <c r="L51" s="246">
        <f t="shared" ref="L51:AF51" ca="1" si="81">IF(L50=0,IF(L$43&gt;0,MAX(ROUND((((L48+K52)/L$43)*L$46),0),0),0),L50)</f>
        <v>50</v>
      </c>
      <c r="M51" s="246">
        <f t="shared" ca="1" si="81"/>
        <v>20</v>
      </c>
      <c r="N51" s="246">
        <f t="shared" ca="1" si="81"/>
        <v>130</v>
      </c>
      <c r="O51" s="246">
        <f t="shared" ca="1" si="81"/>
        <v>170</v>
      </c>
      <c r="P51" s="246">
        <f t="shared" ca="1" si="81"/>
        <v>180</v>
      </c>
      <c r="Q51" s="246">
        <f t="shared" ca="1" si="81"/>
        <v>180</v>
      </c>
      <c r="R51" s="246">
        <f t="shared" ca="1" si="81"/>
        <v>10</v>
      </c>
      <c r="S51" s="246">
        <f t="shared" ca="1" si="81"/>
        <v>100</v>
      </c>
      <c r="T51" s="246">
        <f t="shared" ca="1" si="81"/>
        <v>200</v>
      </c>
      <c r="U51" s="246">
        <f t="shared" ca="1" si="81"/>
        <v>30</v>
      </c>
      <c r="V51" s="246">
        <f t="shared" ca="1" si="81"/>
        <v>200</v>
      </c>
      <c r="W51" s="246">
        <f t="shared" ca="1" si="81"/>
        <v>50</v>
      </c>
      <c r="X51" s="246">
        <f t="shared" ca="1" si="81"/>
        <v>40</v>
      </c>
      <c r="Y51" s="246">
        <f t="shared" ca="1" si="81"/>
        <v>40</v>
      </c>
      <c r="Z51" s="246">
        <f t="shared" ca="1" si="81"/>
        <v>10</v>
      </c>
      <c r="AA51" s="246">
        <f t="shared" ca="1" si="81"/>
        <v>40</v>
      </c>
      <c r="AB51" s="246">
        <f t="shared" ca="1" si="81"/>
        <v>100</v>
      </c>
      <c r="AC51" s="246">
        <f t="shared" ca="1" si="81"/>
        <v>150</v>
      </c>
      <c r="AD51" s="246">
        <f t="shared" ca="1" si="81"/>
        <v>100</v>
      </c>
      <c r="AE51" s="246">
        <f t="shared" ca="1" si="81"/>
        <v>110</v>
      </c>
      <c r="AF51" s="246">
        <f t="shared" ca="1" si="81"/>
        <v>40</v>
      </c>
      <c r="AG51" s="246"/>
      <c r="AH51" s="246"/>
      <c r="AI51" s="246"/>
      <c r="AJ51" s="246"/>
    </row>
    <row r="52" spans="1:36" x14ac:dyDescent="0.25">
      <c r="A52" s="30">
        <v>2000</v>
      </c>
      <c r="B52" s="104" t="s">
        <v>30</v>
      </c>
      <c r="C52" s="155" t="s">
        <v>49</v>
      </c>
      <c r="D52" s="42" t="s">
        <v>48</v>
      </c>
      <c r="E52" s="103" t="s">
        <v>50</v>
      </c>
      <c r="F52" s="116" t="s">
        <v>33</v>
      </c>
      <c r="G52" s="110" t="s">
        <v>60</v>
      </c>
      <c r="H52" s="14"/>
      <c r="I52" s="87">
        <f>I48+H52-I51</f>
        <v>0</v>
      </c>
      <c r="J52" s="87">
        <f>J48+I52-J51</f>
        <v>0</v>
      </c>
      <c r="K52" s="87">
        <f ca="1">K48+J52-K51</f>
        <v>0</v>
      </c>
      <c r="L52" s="87">
        <f t="shared" ref="L52:AF52" ca="1" si="82">L48+K52-L51</f>
        <v>0</v>
      </c>
      <c r="M52" s="87">
        <f t="shared" ca="1" si="82"/>
        <v>0</v>
      </c>
      <c r="N52" s="87">
        <f t="shared" ca="1" si="82"/>
        <v>0</v>
      </c>
      <c r="O52" s="87">
        <f t="shared" ca="1" si="82"/>
        <v>0</v>
      </c>
      <c r="P52" s="87">
        <f t="shared" ca="1" si="82"/>
        <v>0</v>
      </c>
      <c r="Q52" s="87">
        <f t="shared" ca="1" si="82"/>
        <v>0</v>
      </c>
      <c r="R52" s="87">
        <f t="shared" ca="1" si="82"/>
        <v>0</v>
      </c>
      <c r="S52" s="87">
        <f t="shared" ca="1" si="82"/>
        <v>0</v>
      </c>
      <c r="T52" s="87">
        <f t="shared" ca="1" si="82"/>
        <v>0</v>
      </c>
      <c r="U52" s="87">
        <f t="shared" ca="1" si="82"/>
        <v>0</v>
      </c>
      <c r="V52" s="87">
        <f t="shared" ca="1" si="82"/>
        <v>0</v>
      </c>
      <c r="W52" s="87">
        <f t="shared" ca="1" si="82"/>
        <v>0</v>
      </c>
      <c r="X52" s="87">
        <f t="shared" ca="1" si="82"/>
        <v>0</v>
      </c>
      <c r="Y52" s="87">
        <f t="shared" ca="1" si="82"/>
        <v>0</v>
      </c>
      <c r="Z52" s="87">
        <f t="shared" ca="1" si="82"/>
        <v>0</v>
      </c>
      <c r="AA52" s="87">
        <f t="shared" ca="1" si="82"/>
        <v>0</v>
      </c>
      <c r="AB52" s="87">
        <f t="shared" ca="1" si="82"/>
        <v>0</v>
      </c>
      <c r="AC52" s="87">
        <f t="shared" ca="1" si="82"/>
        <v>0</v>
      </c>
      <c r="AD52" s="87">
        <f t="shared" ca="1" si="82"/>
        <v>0</v>
      </c>
      <c r="AE52" s="87">
        <f t="shared" ca="1" si="82"/>
        <v>0</v>
      </c>
      <c r="AF52" s="87">
        <f t="shared" ca="1" si="82"/>
        <v>0</v>
      </c>
      <c r="AG52" s="246"/>
      <c r="AH52" s="246"/>
      <c r="AI52" s="246"/>
      <c r="AJ52" s="246"/>
    </row>
    <row r="53" spans="1:36" x14ac:dyDescent="0.25">
      <c r="A53" s="30">
        <v>2000</v>
      </c>
      <c r="B53" s="104" t="s">
        <v>30</v>
      </c>
      <c r="C53" s="103" t="s">
        <v>51</v>
      </c>
      <c r="D53" s="117" t="s">
        <v>35</v>
      </c>
      <c r="E53" s="103" t="s">
        <v>49</v>
      </c>
      <c r="F53" s="42" t="s">
        <v>48</v>
      </c>
      <c r="G53" s="111" t="s">
        <v>57</v>
      </c>
      <c r="H53" s="14"/>
      <c r="I53" s="115">
        <f ca="1">OFFSET(Espagne!J22,0,1)</f>
        <v>50</v>
      </c>
      <c r="J53" s="115">
        <f ca="1">OFFSET(Espagne!K22,0,1)</f>
        <v>20</v>
      </c>
      <c r="K53" s="115">
        <f ca="1">OFFSET(Espagne!L22,0,1)</f>
        <v>170</v>
      </c>
      <c r="L53" s="115">
        <f ca="1">OFFSET(Espagne!M22,0,1)</f>
        <v>0</v>
      </c>
      <c r="M53" s="115">
        <f ca="1">OFFSET(Espagne!N22,0,1)</f>
        <v>60</v>
      </c>
      <c r="N53" s="115">
        <f ca="1">OFFSET(Espagne!O22,0,1)</f>
        <v>20</v>
      </c>
      <c r="O53" s="115">
        <f ca="1">OFFSET(Espagne!P22,0,1)</f>
        <v>170</v>
      </c>
      <c r="P53" s="115">
        <f ca="1">OFFSET(Espagne!Q22,0,1)</f>
        <v>40</v>
      </c>
      <c r="Q53" s="115">
        <f ca="1">OFFSET(Espagne!R22,0,1)</f>
        <v>80</v>
      </c>
      <c r="R53" s="115">
        <f ca="1">OFFSET(Espagne!S22,0,1)</f>
        <v>130</v>
      </c>
      <c r="S53" s="115">
        <f ca="1">OFFSET(Espagne!T22,0,1)</f>
        <v>140</v>
      </c>
      <c r="T53" s="115">
        <f ca="1">OFFSET(Espagne!U22,0,1)</f>
        <v>30</v>
      </c>
      <c r="U53" s="115">
        <f ca="1">OFFSET(Espagne!V22,0,1)</f>
        <v>70</v>
      </c>
      <c r="V53" s="115">
        <f ca="1">OFFSET(Espagne!W22,0,1)</f>
        <v>120</v>
      </c>
      <c r="W53" s="115">
        <f ca="1">OFFSET(Espagne!X22,0,1)</f>
        <v>140</v>
      </c>
      <c r="X53" s="115">
        <f ca="1">OFFSET(Espagne!Y22,0,1)</f>
        <v>10</v>
      </c>
      <c r="Y53" s="115">
        <f ca="1">OFFSET(Espagne!Z22,0,1)</f>
        <v>110</v>
      </c>
      <c r="Z53" s="115">
        <f ca="1">OFFSET(Espagne!AA22,0,1)</f>
        <v>30</v>
      </c>
      <c r="AA53" s="115">
        <f ca="1">OFFSET(Espagne!AB22,0,1)</f>
        <v>30</v>
      </c>
      <c r="AB53" s="115">
        <f ca="1">OFFSET(Espagne!AC22,0,1)</f>
        <v>60</v>
      </c>
      <c r="AC53" s="115">
        <f ca="1">OFFSET(Espagne!AD22,0,1)</f>
        <v>100</v>
      </c>
      <c r="AD53" s="115">
        <f ca="1">OFFSET(Espagne!AE22,0,1)</f>
        <v>100</v>
      </c>
      <c r="AE53" s="115">
        <f ca="1">OFFSET(Espagne!AF22,0,1)</f>
        <v>140</v>
      </c>
      <c r="AF53" s="115">
        <f ca="1">OFFSET(Espagne!AG22,0,1)</f>
        <v>0</v>
      </c>
      <c r="AG53" s="252"/>
      <c r="AH53" s="252"/>
      <c r="AI53" s="252"/>
      <c r="AJ53" s="252"/>
    </row>
    <row r="54" spans="1:36" x14ac:dyDescent="0.25">
      <c r="A54" s="30">
        <v>2000</v>
      </c>
      <c r="B54" s="104" t="s">
        <v>30</v>
      </c>
      <c r="C54" s="155" t="s">
        <v>49</v>
      </c>
      <c r="D54" s="42" t="s">
        <v>48</v>
      </c>
      <c r="E54" s="103" t="s">
        <v>51</v>
      </c>
      <c r="F54" s="117" t="s">
        <v>35</v>
      </c>
      <c r="G54" s="99" t="s">
        <v>54</v>
      </c>
      <c r="H54" s="20"/>
      <c r="I54" s="115">
        <f ca="1">OFFSET(MJ_Initialisation!D30,0,1)</f>
        <v>50</v>
      </c>
      <c r="J54" s="115">
        <f ca="1">OFFSET(MJ_Initialisation!E30,0,1)</f>
        <v>20</v>
      </c>
      <c r="K54" s="115">
        <f ca="1">OFFSET(MJ_Initialisation!F30,0,1)</f>
        <v>170</v>
      </c>
      <c r="L54" s="115">
        <f ca="1">OFFSET(MJ_Initialisation!G30,0,1)</f>
        <v>0</v>
      </c>
      <c r="M54" s="115">
        <f ca="1">OFFSET(MJ_Initialisation!H30,0,1)</f>
        <v>60</v>
      </c>
      <c r="N54" s="115">
        <f ca="1">OFFSET(MJ_Initialisation!I30,0,1)</f>
        <v>20</v>
      </c>
      <c r="O54" s="115">
        <f ca="1">OFFSET(MJ_Initialisation!J30,0,1)</f>
        <v>170</v>
      </c>
      <c r="P54" s="115">
        <f ca="1">OFFSET(MJ_Initialisation!K30,0,1)</f>
        <v>40</v>
      </c>
      <c r="Q54" s="115">
        <f ca="1">OFFSET(MJ_Initialisation!L30,0,1)</f>
        <v>80</v>
      </c>
      <c r="R54" s="115">
        <f ca="1">OFFSET(MJ_Initialisation!M30,0,1)</f>
        <v>130</v>
      </c>
      <c r="S54" s="115">
        <f ca="1">OFFSET(MJ_Initialisation!N30,0,1)</f>
        <v>140</v>
      </c>
      <c r="T54" s="115">
        <f ca="1">OFFSET(MJ_Initialisation!O30,0,1)</f>
        <v>30</v>
      </c>
      <c r="U54" s="115">
        <f ca="1">OFFSET(MJ_Initialisation!P30,0,1)</f>
        <v>70</v>
      </c>
      <c r="V54" s="115">
        <f ca="1">OFFSET(MJ_Initialisation!Q30,0,1)</f>
        <v>120</v>
      </c>
      <c r="W54" s="115">
        <f ca="1">OFFSET(MJ_Initialisation!R30,0,1)</f>
        <v>140</v>
      </c>
      <c r="X54" s="115">
        <f ca="1">OFFSET(MJ_Initialisation!S30,0,1)</f>
        <v>10</v>
      </c>
      <c r="Y54" s="115">
        <f ca="1">OFFSET(MJ_Initialisation!T30,0,1)</f>
        <v>110</v>
      </c>
      <c r="Z54" s="115">
        <f ca="1">OFFSET(MJ_Initialisation!U30,0,1)</f>
        <v>30</v>
      </c>
      <c r="AA54" s="115">
        <f ca="1">OFFSET(MJ_Initialisation!V30,0,1)</f>
        <v>30</v>
      </c>
      <c r="AB54" s="115">
        <f ca="1">OFFSET(MJ_Initialisation!W30,0,1)</f>
        <v>60</v>
      </c>
      <c r="AC54" s="115">
        <f ca="1">OFFSET(MJ_Initialisation!X30,0,1)</f>
        <v>100</v>
      </c>
      <c r="AD54" s="115">
        <f ca="1">OFFSET(MJ_Initialisation!Y30,0,1)</f>
        <v>100</v>
      </c>
      <c r="AE54" s="115">
        <f ca="1">OFFSET(MJ_Initialisation!Z30,0,1)</f>
        <v>140</v>
      </c>
      <c r="AF54" s="115">
        <f ca="1">OFFSET(MJ_Initialisation!AA30,0,1)</f>
        <v>0</v>
      </c>
      <c r="AG54" s="252"/>
      <c r="AH54" s="252"/>
      <c r="AI54" s="252"/>
      <c r="AJ54" s="252"/>
    </row>
    <row r="55" spans="1:36" x14ac:dyDescent="0.25">
      <c r="A55" s="30">
        <v>2000</v>
      </c>
      <c r="B55" s="104" t="s">
        <v>30</v>
      </c>
      <c r="C55" s="155" t="s">
        <v>49</v>
      </c>
      <c r="D55" s="42" t="s">
        <v>48</v>
      </c>
      <c r="E55" s="103" t="s">
        <v>51</v>
      </c>
      <c r="F55" s="117" t="s">
        <v>35</v>
      </c>
      <c r="G55" s="105" t="s">
        <v>55</v>
      </c>
      <c r="H55" s="20"/>
      <c r="I55" s="115">
        <f ca="1">OFFSET(MJ_Initialisation!D31,0,1)</f>
        <v>0</v>
      </c>
      <c r="J55" s="115">
        <f ca="1">OFFSET(MJ_Initialisation!E31,0,1)</f>
        <v>0</v>
      </c>
      <c r="K55" s="115">
        <f ca="1">OFFSET(MJ_Initialisation!F31,0,1)</f>
        <v>0</v>
      </c>
      <c r="L55" s="115">
        <f ca="1">OFFSET(MJ_Initialisation!G31,0,1)</f>
        <v>0</v>
      </c>
      <c r="M55" s="115">
        <f ca="1">OFFSET(MJ_Initialisation!H31,0,1)</f>
        <v>0</v>
      </c>
      <c r="N55" s="115">
        <f ca="1">OFFSET(MJ_Initialisation!I31,0,1)</f>
        <v>0</v>
      </c>
      <c r="O55" s="115">
        <f ca="1">OFFSET(MJ_Initialisation!J31,0,1)</f>
        <v>0</v>
      </c>
      <c r="P55" s="115">
        <f ca="1">OFFSET(MJ_Initialisation!K31,0,1)</f>
        <v>0</v>
      </c>
      <c r="Q55" s="115">
        <f ca="1">OFFSET(MJ_Initialisation!L31,0,1)</f>
        <v>0</v>
      </c>
      <c r="R55" s="115">
        <f ca="1">OFFSET(MJ_Initialisation!M31,0,1)</f>
        <v>0</v>
      </c>
      <c r="S55" s="115">
        <f ca="1">OFFSET(MJ_Initialisation!N31,0,1)</f>
        <v>0</v>
      </c>
      <c r="T55" s="115">
        <f ca="1">OFFSET(MJ_Initialisation!O31,0,1)</f>
        <v>0</v>
      </c>
      <c r="U55" s="115">
        <f ca="1">OFFSET(MJ_Initialisation!P31,0,1)</f>
        <v>0</v>
      </c>
      <c r="V55" s="115">
        <f ca="1">OFFSET(MJ_Initialisation!Q31,0,1)</f>
        <v>0</v>
      </c>
      <c r="W55" s="115">
        <f ca="1">OFFSET(MJ_Initialisation!R31,0,1)</f>
        <v>0</v>
      </c>
      <c r="X55" s="115">
        <f ca="1">OFFSET(MJ_Initialisation!S31,0,1)</f>
        <v>0</v>
      </c>
      <c r="Y55" s="115">
        <f ca="1">OFFSET(MJ_Initialisation!T31,0,1)</f>
        <v>0</v>
      </c>
      <c r="Z55" s="115">
        <f ca="1">OFFSET(MJ_Initialisation!U31,0,1)</f>
        <v>0</v>
      </c>
      <c r="AA55" s="115">
        <f ca="1">OFFSET(MJ_Initialisation!V31,0,1)</f>
        <v>0</v>
      </c>
      <c r="AB55" s="115">
        <f ca="1">OFFSET(MJ_Initialisation!W31,0,1)</f>
        <v>0</v>
      </c>
      <c r="AC55" s="115">
        <f ca="1">OFFSET(MJ_Initialisation!X31,0,1)</f>
        <v>0</v>
      </c>
      <c r="AD55" s="115">
        <f ca="1">OFFSET(MJ_Initialisation!Y31,0,1)</f>
        <v>0</v>
      </c>
      <c r="AE55" s="115">
        <f ca="1">OFFSET(MJ_Initialisation!Z31,0,1)</f>
        <v>0</v>
      </c>
      <c r="AF55" s="115">
        <f ca="1">OFFSET(MJ_Initialisation!AA31,0,1)</f>
        <v>0</v>
      </c>
      <c r="AG55" s="252"/>
      <c r="AH55" s="252"/>
      <c r="AI55" s="252"/>
      <c r="AJ55" s="252"/>
    </row>
    <row r="56" spans="1:36" x14ac:dyDescent="0.25">
      <c r="A56" s="30">
        <v>2000</v>
      </c>
      <c r="B56" s="104" t="s">
        <v>30</v>
      </c>
      <c r="C56" s="155" t="s">
        <v>49</v>
      </c>
      <c r="D56" s="42" t="s">
        <v>48</v>
      </c>
      <c r="E56" s="103" t="s">
        <v>51</v>
      </c>
      <c r="F56" s="117" t="s">
        <v>35</v>
      </c>
      <c r="G56" s="106" t="s">
        <v>56</v>
      </c>
      <c r="H56" s="20"/>
      <c r="I56" s="246">
        <f ca="1">I54</f>
        <v>50</v>
      </c>
      <c r="J56" s="246">
        <f ca="1">J54</f>
        <v>20</v>
      </c>
      <c r="K56" s="246">
        <f ca="1">IF(K55=0,IF(K$43&gt;0,MAX(ROUND((((K53+J57)/K$43)*K$46),0),0),0),K55)</f>
        <v>170</v>
      </c>
      <c r="L56" s="246">
        <f t="shared" ref="L56" ca="1" si="83">IF(L55=0,IF(L$43&gt;0,MAX(ROUND((((L53+K57)/L$43)*L$46),0),0),0),L55)</f>
        <v>0</v>
      </c>
      <c r="M56" s="246">
        <f t="shared" ref="M56" ca="1" si="84">IF(M55=0,IF(M$43&gt;0,MAX(ROUND((((M53+L57)/M$43)*M$46),0),0),0),M55)</f>
        <v>60</v>
      </c>
      <c r="N56" s="246">
        <f t="shared" ref="N56" ca="1" si="85">IF(N55=0,IF(N$43&gt;0,MAX(ROUND((((N53+M57)/N$43)*N$46),0),0),0),N55)</f>
        <v>20</v>
      </c>
      <c r="O56" s="246">
        <f t="shared" ref="O56" ca="1" si="86">IF(O55=0,IF(O$43&gt;0,MAX(ROUND((((O53+N57)/O$43)*O$46),0),0),0),O55)</f>
        <v>170</v>
      </c>
      <c r="P56" s="246">
        <f t="shared" ref="P56" ca="1" si="87">IF(P55=0,IF(P$43&gt;0,MAX(ROUND((((P53+O57)/P$43)*P$46),0),0),0),P55)</f>
        <v>40</v>
      </c>
      <c r="Q56" s="246">
        <f t="shared" ref="Q56" ca="1" si="88">IF(Q55=0,IF(Q$43&gt;0,MAX(ROUND((((Q53+P57)/Q$43)*Q$46),0),0),0),Q55)</f>
        <v>80</v>
      </c>
      <c r="R56" s="246">
        <f t="shared" ref="R56" ca="1" si="89">IF(R55=0,IF(R$43&gt;0,MAX(ROUND((((R53+Q57)/R$43)*R$46),0),0),0),R55)</f>
        <v>130</v>
      </c>
      <c r="S56" s="246">
        <f t="shared" ref="S56" ca="1" si="90">IF(S55=0,IF(S$43&gt;0,MAX(ROUND((((S53+R57)/S$43)*S$46),0),0),0),S55)</f>
        <v>140</v>
      </c>
      <c r="T56" s="246">
        <f t="shared" ref="T56" ca="1" si="91">IF(T55=0,IF(T$43&gt;0,MAX(ROUND((((T53+S57)/T$43)*T$46),0),0),0),T55)</f>
        <v>30</v>
      </c>
      <c r="U56" s="246">
        <f t="shared" ref="U56" ca="1" si="92">IF(U55=0,IF(U$43&gt;0,MAX(ROUND((((U53+T57)/U$43)*U$46),0),0),0),U55)</f>
        <v>70</v>
      </c>
      <c r="V56" s="246">
        <f t="shared" ref="V56" ca="1" si="93">IF(V55=0,IF(V$43&gt;0,MAX(ROUND((((V53+U57)/V$43)*V$46),0),0),0),V55)</f>
        <v>120</v>
      </c>
      <c r="W56" s="246">
        <f t="shared" ref="W56" ca="1" si="94">IF(W55=0,IF(W$43&gt;0,MAX(ROUND((((W53+V57)/W$43)*W$46),0),0),0),W55)</f>
        <v>140</v>
      </c>
      <c r="X56" s="246">
        <f t="shared" ref="X56" ca="1" si="95">IF(X55=0,IF(X$43&gt;0,MAX(ROUND((((X53+W57)/X$43)*X$46),0),0),0),X55)</f>
        <v>10</v>
      </c>
      <c r="Y56" s="246">
        <f t="shared" ref="Y56" ca="1" si="96">IF(Y55=0,IF(Y$43&gt;0,MAX(ROUND((((Y53+X57)/Y$43)*Y$46),0),0),0),Y55)</f>
        <v>110</v>
      </c>
      <c r="Z56" s="246">
        <f t="shared" ref="Z56" ca="1" si="97">IF(Z55=0,IF(Z$43&gt;0,MAX(ROUND((((Z53+Y57)/Z$43)*Z$46),0),0),0),Z55)</f>
        <v>30</v>
      </c>
      <c r="AA56" s="246">
        <f t="shared" ref="AA56" ca="1" si="98">IF(AA55=0,IF(AA$43&gt;0,MAX(ROUND((((AA53+Z57)/AA$43)*AA$46),0),0),0),AA55)</f>
        <v>30</v>
      </c>
      <c r="AB56" s="246">
        <f t="shared" ref="AB56" ca="1" si="99">IF(AB55=0,IF(AB$43&gt;0,MAX(ROUND((((AB53+AA57)/AB$43)*AB$46),0),0),0),AB55)</f>
        <v>60</v>
      </c>
      <c r="AC56" s="246">
        <f t="shared" ref="AC56" ca="1" si="100">IF(AC55=0,IF(AC$43&gt;0,MAX(ROUND((((AC53+AB57)/AC$43)*AC$46),0),0),0),AC55)</f>
        <v>100</v>
      </c>
      <c r="AD56" s="246">
        <f t="shared" ref="AD56" ca="1" si="101">IF(AD55=0,IF(AD$43&gt;0,MAX(ROUND((((AD53+AC57)/AD$43)*AD$46),0),0),0),AD55)</f>
        <v>100</v>
      </c>
      <c r="AE56" s="246">
        <f t="shared" ref="AE56" ca="1" si="102">IF(AE55=0,IF(AE$43&gt;0,MAX(ROUND((((AE53+AD57)/AE$43)*AE$46),0),0),0),AE55)</f>
        <v>140</v>
      </c>
      <c r="AF56" s="246">
        <f t="shared" ref="AF56" ca="1" si="103">IF(AF55=0,IF(AF$43&gt;0,MAX(ROUND((((AF53+AE57)/AF$43)*AF$46),0),0),0),AF55)</f>
        <v>0</v>
      </c>
      <c r="AG56" s="246"/>
      <c r="AH56" s="246"/>
      <c r="AI56" s="246"/>
      <c r="AJ56" s="246"/>
    </row>
    <row r="57" spans="1:36" x14ac:dyDescent="0.25">
      <c r="A57" s="30">
        <v>2000</v>
      </c>
      <c r="B57" s="104" t="s">
        <v>30</v>
      </c>
      <c r="C57" s="155" t="s">
        <v>49</v>
      </c>
      <c r="D57" s="42" t="s">
        <v>48</v>
      </c>
      <c r="E57" s="103" t="s">
        <v>51</v>
      </c>
      <c r="F57" s="117" t="s">
        <v>35</v>
      </c>
      <c r="G57" s="100" t="s">
        <v>60</v>
      </c>
      <c r="H57" s="20"/>
      <c r="I57" s="87">
        <f ca="1">I53+H57-I56</f>
        <v>0</v>
      </c>
      <c r="J57" s="87">
        <f t="shared" ref="J57:AF57" ca="1" si="104">J53+I57-J56</f>
        <v>0</v>
      </c>
      <c r="K57" s="87">
        <f t="shared" ca="1" si="104"/>
        <v>0</v>
      </c>
      <c r="L57" s="87">
        <f t="shared" ca="1" si="104"/>
        <v>0</v>
      </c>
      <c r="M57" s="87">
        <f t="shared" ca="1" si="104"/>
        <v>0</v>
      </c>
      <c r="N57" s="87">
        <f t="shared" ca="1" si="104"/>
        <v>0</v>
      </c>
      <c r="O57" s="87">
        <f t="shared" ca="1" si="104"/>
        <v>0</v>
      </c>
      <c r="P57" s="87">
        <f t="shared" ca="1" si="104"/>
        <v>0</v>
      </c>
      <c r="Q57" s="87">
        <f t="shared" ca="1" si="104"/>
        <v>0</v>
      </c>
      <c r="R57" s="87">
        <f t="shared" ca="1" si="104"/>
        <v>0</v>
      </c>
      <c r="S57" s="87">
        <f t="shared" ca="1" si="104"/>
        <v>0</v>
      </c>
      <c r="T57" s="87">
        <f t="shared" ca="1" si="104"/>
        <v>0</v>
      </c>
      <c r="U57" s="87">
        <f t="shared" ca="1" si="104"/>
        <v>0</v>
      </c>
      <c r="V57" s="87">
        <f t="shared" ca="1" si="104"/>
        <v>0</v>
      </c>
      <c r="W57" s="87">
        <f t="shared" ca="1" si="104"/>
        <v>0</v>
      </c>
      <c r="X57" s="87">
        <f t="shared" ca="1" si="104"/>
        <v>0</v>
      </c>
      <c r="Y57" s="87">
        <f t="shared" ca="1" si="104"/>
        <v>0</v>
      </c>
      <c r="Z57" s="87">
        <f t="shared" ca="1" si="104"/>
        <v>0</v>
      </c>
      <c r="AA57" s="87">
        <f t="shared" ca="1" si="104"/>
        <v>0</v>
      </c>
      <c r="AB57" s="87">
        <f t="shared" ca="1" si="104"/>
        <v>0</v>
      </c>
      <c r="AC57" s="87">
        <f t="shared" ca="1" si="104"/>
        <v>0</v>
      </c>
      <c r="AD57" s="87">
        <f t="shared" ca="1" si="104"/>
        <v>0</v>
      </c>
      <c r="AE57" s="87">
        <f t="shared" ca="1" si="104"/>
        <v>0</v>
      </c>
      <c r="AF57" s="87">
        <f t="shared" ca="1" si="104"/>
        <v>0</v>
      </c>
      <c r="AG57" s="246"/>
      <c r="AH57" s="246"/>
      <c r="AI57" s="246"/>
      <c r="AJ57" s="246"/>
    </row>
    <row r="58" spans="1:36" x14ac:dyDescent="0.25">
      <c r="A58" s="30">
        <v>2000</v>
      </c>
      <c r="B58" s="104" t="s">
        <v>30</v>
      </c>
      <c r="C58" s="103" t="s">
        <v>53</v>
      </c>
      <c r="D58" s="119" t="s">
        <v>34</v>
      </c>
      <c r="E58" s="103" t="s">
        <v>49</v>
      </c>
      <c r="F58" s="42" t="s">
        <v>48</v>
      </c>
      <c r="G58" s="98" t="s">
        <v>57</v>
      </c>
      <c r="H58" s="14"/>
      <c r="I58" s="15">
        <f ca="1">OFFSET(Australie!J22,0,3)</f>
        <v>0</v>
      </c>
      <c r="J58" s="15">
        <f ca="1">OFFSET(Australie!K22,0,3)</f>
        <v>370</v>
      </c>
      <c r="K58" s="15">
        <f ca="1">OFFSET(Australie!L22,0,3)</f>
        <v>200</v>
      </c>
      <c r="L58" s="15">
        <f ca="1">OFFSET(Australie!M22,0,3)</f>
        <v>100</v>
      </c>
      <c r="M58" s="15">
        <f ca="1">OFFSET(Australie!N22,0,3)</f>
        <v>0</v>
      </c>
      <c r="N58" s="15">
        <f ca="1">OFFSET(Australie!O22,0,3)</f>
        <v>0</v>
      </c>
      <c r="O58" s="15">
        <f ca="1">OFFSET(Australie!P22,0,3)</f>
        <v>0</v>
      </c>
      <c r="P58" s="15">
        <f ca="1">OFFSET(Australie!Q22,0,3)</f>
        <v>100</v>
      </c>
      <c r="Q58" s="15">
        <f ca="1">OFFSET(Australie!R22,0,3)</f>
        <v>200</v>
      </c>
      <c r="R58" s="15">
        <f ca="1">OFFSET(Australie!S22,0,3)</f>
        <v>100</v>
      </c>
      <c r="S58" s="15">
        <f ca="1">OFFSET(Australie!T22,0,3)</f>
        <v>200</v>
      </c>
      <c r="T58" s="15">
        <f ca="1">OFFSET(Australie!U22,0,3)</f>
        <v>0</v>
      </c>
      <c r="U58" s="15">
        <f ca="1">OFFSET(Australie!V22,0,3)</f>
        <v>0</v>
      </c>
      <c r="V58" s="15">
        <f ca="1">OFFSET(Australie!W22,0,3)</f>
        <v>300</v>
      </c>
      <c r="W58" s="15">
        <f ca="1">OFFSET(Australie!X22,0,3)</f>
        <v>300</v>
      </c>
      <c r="X58" s="15">
        <f ca="1">OFFSET(Australie!Y22,0,3)</f>
        <v>400</v>
      </c>
      <c r="Y58" s="15">
        <f ca="1">OFFSET(Australie!Z22,0,3)</f>
        <v>300</v>
      </c>
      <c r="Z58" s="15">
        <f ca="1">OFFSET(Australie!AA22,0,3)</f>
        <v>200</v>
      </c>
      <c r="AA58" s="15">
        <f ca="1">OFFSET(Australie!AB22,0,3)</f>
        <v>0</v>
      </c>
      <c r="AB58" s="15">
        <f ca="1">OFFSET(Australie!AC22,0,3)</f>
        <v>100</v>
      </c>
      <c r="AC58" s="15">
        <f ca="1">OFFSET(Australie!AD22,0,3)</f>
        <v>200</v>
      </c>
      <c r="AD58" s="15">
        <f ca="1">OFFSET(Australie!AE22,0,3)</f>
        <v>0</v>
      </c>
      <c r="AE58" s="15">
        <f ca="1">OFFSET(Australie!AF22,0,3)</f>
        <v>0</v>
      </c>
      <c r="AF58" s="15">
        <f ca="1">OFFSET(Australie!AG22,0,3)</f>
        <v>0</v>
      </c>
      <c r="AG58" s="228"/>
      <c r="AH58" s="228"/>
      <c r="AI58" s="228"/>
      <c r="AJ58" s="228"/>
    </row>
    <row r="59" spans="1:36" x14ac:dyDescent="0.25">
      <c r="A59" s="30">
        <v>2000</v>
      </c>
      <c r="B59" s="104" t="s">
        <v>30</v>
      </c>
      <c r="C59" s="155" t="s">
        <v>49</v>
      </c>
      <c r="D59" s="42" t="s">
        <v>48</v>
      </c>
      <c r="E59" s="103" t="s">
        <v>53</v>
      </c>
      <c r="F59" s="119" t="s">
        <v>34</v>
      </c>
      <c r="G59" s="99" t="s">
        <v>54</v>
      </c>
      <c r="H59" s="20"/>
      <c r="I59" s="15">
        <f ca="1">OFFSET(MJ_Initialisation!D38,0,3)</f>
        <v>0</v>
      </c>
      <c r="J59" s="15">
        <f ca="1">OFFSET(MJ_Initialisation!E38,0,3)</f>
        <v>370</v>
      </c>
      <c r="K59" s="15">
        <f ca="1">OFFSET(MJ_Initialisation!F38,0,3)</f>
        <v>200</v>
      </c>
      <c r="L59" s="15">
        <f ca="1">OFFSET(MJ_Initialisation!G38,0,3)</f>
        <v>100</v>
      </c>
      <c r="M59" s="15">
        <f ca="1">OFFSET(MJ_Initialisation!H38,0,3)</f>
        <v>0</v>
      </c>
      <c r="N59" s="15">
        <f ca="1">OFFSET(MJ_Initialisation!I38,0,3)</f>
        <v>0</v>
      </c>
      <c r="O59" s="15">
        <f ca="1">OFFSET(MJ_Initialisation!J38,0,3)</f>
        <v>0</v>
      </c>
      <c r="P59" s="15">
        <f ca="1">OFFSET(MJ_Initialisation!K38,0,3)</f>
        <v>100</v>
      </c>
      <c r="Q59" s="15">
        <f ca="1">OFFSET(MJ_Initialisation!L38,0,3)</f>
        <v>200</v>
      </c>
      <c r="R59" s="15">
        <f ca="1">OFFSET(MJ_Initialisation!M38,0,3)</f>
        <v>100</v>
      </c>
      <c r="S59" s="15">
        <f ca="1">OFFSET(MJ_Initialisation!N38,0,3)</f>
        <v>200</v>
      </c>
      <c r="T59" s="15">
        <f ca="1">OFFSET(MJ_Initialisation!O38,0,3)</f>
        <v>0</v>
      </c>
      <c r="U59" s="15">
        <f ca="1">OFFSET(MJ_Initialisation!P38,0,3)</f>
        <v>0</v>
      </c>
      <c r="V59" s="15">
        <f ca="1">OFFSET(MJ_Initialisation!Q38,0,3)</f>
        <v>300</v>
      </c>
      <c r="W59" s="15">
        <f ca="1">OFFSET(MJ_Initialisation!R38,0,3)</f>
        <v>300</v>
      </c>
      <c r="X59" s="15">
        <f ca="1">OFFSET(MJ_Initialisation!S38,0,3)</f>
        <v>400</v>
      </c>
      <c r="Y59" s="15">
        <f ca="1">OFFSET(MJ_Initialisation!T38,0,3)</f>
        <v>300</v>
      </c>
      <c r="Z59" s="15">
        <f ca="1">OFFSET(MJ_Initialisation!U38,0,3)</f>
        <v>200</v>
      </c>
      <c r="AA59" s="15">
        <f ca="1">OFFSET(MJ_Initialisation!V38,0,3)</f>
        <v>0</v>
      </c>
      <c r="AB59" s="15">
        <f ca="1">OFFSET(MJ_Initialisation!W38,0,3)</f>
        <v>100</v>
      </c>
      <c r="AC59" s="15">
        <f ca="1">OFFSET(MJ_Initialisation!X38,0,3)</f>
        <v>200</v>
      </c>
      <c r="AD59" s="15">
        <f ca="1">OFFSET(MJ_Initialisation!Y38,0,3)</f>
        <v>0</v>
      </c>
      <c r="AE59" s="15">
        <f ca="1">OFFSET(MJ_Initialisation!Z38,0,3)</f>
        <v>0</v>
      </c>
      <c r="AF59" s="15">
        <f ca="1">OFFSET(MJ_Initialisation!AA38,0,3)</f>
        <v>0</v>
      </c>
      <c r="AG59" s="228"/>
      <c r="AH59" s="228"/>
      <c r="AI59" s="228"/>
      <c r="AJ59" s="228"/>
    </row>
    <row r="60" spans="1:36" x14ac:dyDescent="0.25">
      <c r="A60" s="30">
        <v>2000</v>
      </c>
      <c r="B60" s="104" t="s">
        <v>30</v>
      </c>
      <c r="C60" s="155" t="s">
        <v>49</v>
      </c>
      <c r="D60" s="42" t="s">
        <v>48</v>
      </c>
      <c r="E60" s="103" t="s">
        <v>53</v>
      </c>
      <c r="F60" s="119" t="s">
        <v>34</v>
      </c>
      <c r="G60" s="105" t="s">
        <v>55</v>
      </c>
      <c r="H60" s="20"/>
      <c r="I60" s="15">
        <f ca="1">OFFSET(MJ_Initialisation!D39,0,3)</f>
        <v>0</v>
      </c>
      <c r="J60" s="15">
        <f ca="1">OFFSET(MJ_Initialisation!E39,0,3)</f>
        <v>0</v>
      </c>
      <c r="K60" s="15">
        <f ca="1">OFFSET(MJ_Initialisation!F39,0,3)</f>
        <v>0</v>
      </c>
      <c r="L60" s="15">
        <f ca="1">OFFSET(MJ_Initialisation!G39,0,3)</f>
        <v>0</v>
      </c>
      <c r="M60" s="15">
        <f ca="1">OFFSET(MJ_Initialisation!H39,0,3)</f>
        <v>0</v>
      </c>
      <c r="N60" s="15">
        <f ca="1">OFFSET(MJ_Initialisation!I39,0,3)</f>
        <v>0</v>
      </c>
      <c r="O60" s="15">
        <f ca="1">OFFSET(MJ_Initialisation!J39,0,3)</f>
        <v>0</v>
      </c>
      <c r="P60" s="15">
        <f ca="1">OFFSET(MJ_Initialisation!K39,0,3)</f>
        <v>0</v>
      </c>
      <c r="Q60" s="15">
        <f ca="1">OFFSET(MJ_Initialisation!L39,0,3)</f>
        <v>0</v>
      </c>
      <c r="R60" s="15">
        <f ca="1">OFFSET(MJ_Initialisation!M39,0,3)</f>
        <v>0</v>
      </c>
      <c r="S60" s="15">
        <f ca="1">OFFSET(MJ_Initialisation!N39,0,3)</f>
        <v>0</v>
      </c>
      <c r="T60" s="15">
        <f ca="1">OFFSET(MJ_Initialisation!O39,0,3)</f>
        <v>0</v>
      </c>
      <c r="U60" s="15">
        <f ca="1">OFFSET(MJ_Initialisation!P39,0,3)</f>
        <v>0</v>
      </c>
      <c r="V60" s="15">
        <f ca="1">OFFSET(MJ_Initialisation!Q39,0,3)</f>
        <v>0</v>
      </c>
      <c r="W60" s="15">
        <f ca="1">OFFSET(MJ_Initialisation!R39,0,3)</f>
        <v>0</v>
      </c>
      <c r="X60" s="15">
        <f ca="1">OFFSET(MJ_Initialisation!S39,0,3)</f>
        <v>0</v>
      </c>
      <c r="Y60" s="15">
        <f ca="1">OFFSET(MJ_Initialisation!T39,0,3)</f>
        <v>0</v>
      </c>
      <c r="Z60" s="15">
        <f ca="1">OFFSET(MJ_Initialisation!U39,0,3)</f>
        <v>0</v>
      </c>
      <c r="AA60" s="15">
        <f ca="1">OFFSET(MJ_Initialisation!V39,0,3)</f>
        <v>0</v>
      </c>
      <c r="AB60" s="15">
        <f ca="1">OFFSET(MJ_Initialisation!W39,0,3)</f>
        <v>0</v>
      </c>
      <c r="AC60" s="15">
        <f ca="1">OFFSET(MJ_Initialisation!X39,0,3)</f>
        <v>0</v>
      </c>
      <c r="AD60" s="15">
        <f ca="1">OFFSET(MJ_Initialisation!Y39,0,3)</f>
        <v>0</v>
      </c>
      <c r="AE60" s="15">
        <f ca="1">OFFSET(MJ_Initialisation!Z39,0,3)</f>
        <v>0</v>
      </c>
      <c r="AF60" s="15">
        <f ca="1">OFFSET(MJ_Initialisation!AA39,0,3)</f>
        <v>0</v>
      </c>
      <c r="AG60" s="228"/>
      <c r="AH60" s="228"/>
      <c r="AI60" s="228"/>
      <c r="AJ60" s="228"/>
    </row>
    <row r="61" spans="1:36" x14ac:dyDescent="0.25">
      <c r="A61" s="30">
        <v>2000</v>
      </c>
      <c r="B61" s="104" t="s">
        <v>30</v>
      </c>
      <c r="C61" s="155" t="s">
        <v>49</v>
      </c>
      <c r="D61" s="42" t="s">
        <v>48</v>
      </c>
      <c r="E61" s="103" t="s">
        <v>53</v>
      </c>
      <c r="F61" s="119" t="s">
        <v>34</v>
      </c>
      <c r="G61" s="106" t="s">
        <v>56</v>
      </c>
      <c r="H61" s="49"/>
      <c r="I61" s="246">
        <f ca="1">I59</f>
        <v>0</v>
      </c>
      <c r="J61" s="246">
        <f ca="1">J59</f>
        <v>370</v>
      </c>
      <c r="K61" s="246">
        <f ca="1">IF(K60=0,IF(K$43&gt;0,MAX(ROUND((((K58+J62)/K$43)*K$46),0),0),0),K60)</f>
        <v>200</v>
      </c>
      <c r="L61" s="246">
        <f t="shared" ref="L61" ca="1" si="105">IF(L60=0,IF(L$43&gt;0,MAX(ROUND((((L58+K62)/L$43)*L$46),0),0),0),L60)</f>
        <v>100</v>
      </c>
      <c r="M61" s="246">
        <f t="shared" ref="M61" ca="1" si="106">IF(M60=0,IF(M$43&gt;0,MAX(ROUND((((M58+L62)/M$43)*M$46),0),0),0),M60)</f>
        <v>0</v>
      </c>
      <c r="N61" s="246">
        <f t="shared" ref="N61" ca="1" si="107">IF(N60=0,IF(N$43&gt;0,MAX(ROUND((((N58+M62)/N$43)*N$46),0),0),0),N60)</f>
        <v>0</v>
      </c>
      <c r="O61" s="246">
        <f t="shared" ref="O61" ca="1" si="108">IF(O60=0,IF(O$43&gt;0,MAX(ROUND((((O58+N62)/O$43)*O$46),0),0),0),O60)</f>
        <v>0</v>
      </c>
      <c r="P61" s="246">
        <f t="shared" ref="P61" ca="1" si="109">IF(P60=0,IF(P$43&gt;0,MAX(ROUND((((P58+O62)/P$43)*P$46),0),0),0),P60)</f>
        <v>100</v>
      </c>
      <c r="Q61" s="246">
        <f t="shared" ref="Q61" ca="1" si="110">IF(Q60=0,IF(Q$43&gt;0,MAX(ROUND((((Q58+P62)/Q$43)*Q$46),0),0),0),Q60)</f>
        <v>200</v>
      </c>
      <c r="R61" s="246">
        <f t="shared" ref="R61" ca="1" si="111">IF(R60=0,IF(R$43&gt;0,MAX(ROUND((((R58+Q62)/R$43)*R$46),0),0),0),R60)</f>
        <v>100</v>
      </c>
      <c r="S61" s="246">
        <f t="shared" ref="S61" ca="1" si="112">IF(S60=0,IF(S$43&gt;0,MAX(ROUND((((S58+R62)/S$43)*S$46),0),0),0),S60)</f>
        <v>200</v>
      </c>
      <c r="T61" s="246">
        <f t="shared" ref="T61" ca="1" si="113">IF(T60=0,IF(T$43&gt;0,MAX(ROUND((((T58+S62)/T$43)*T$46),0),0),0),T60)</f>
        <v>0</v>
      </c>
      <c r="U61" s="246">
        <f t="shared" ref="U61" ca="1" si="114">IF(U60=0,IF(U$43&gt;0,MAX(ROUND((((U58+T62)/U$43)*U$46),0),0),0),U60)</f>
        <v>0</v>
      </c>
      <c r="V61" s="246">
        <f t="shared" ref="V61" ca="1" si="115">IF(V60=0,IF(V$43&gt;0,MAX(ROUND((((V58+U62)/V$43)*V$46),0),0),0),V60)</f>
        <v>300</v>
      </c>
      <c r="W61" s="246">
        <f t="shared" ref="W61" ca="1" si="116">IF(W60=0,IF(W$43&gt;0,MAX(ROUND((((W58+V62)/W$43)*W$46),0),0),0),W60)</f>
        <v>300</v>
      </c>
      <c r="X61" s="246">
        <f t="shared" ref="X61" ca="1" si="117">IF(X60=0,IF(X$43&gt;0,MAX(ROUND((((X58+W62)/X$43)*X$46),0),0),0),X60)</f>
        <v>400</v>
      </c>
      <c r="Y61" s="246">
        <f t="shared" ref="Y61" ca="1" si="118">IF(Y60=0,IF(Y$43&gt;0,MAX(ROUND((((Y58+X62)/Y$43)*Y$46),0),0),0),Y60)</f>
        <v>300</v>
      </c>
      <c r="Z61" s="246">
        <f t="shared" ref="Z61" ca="1" si="119">IF(Z60=0,IF(Z$43&gt;0,MAX(ROUND((((Z58+Y62)/Z$43)*Z$46),0),0),0),Z60)</f>
        <v>200</v>
      </c>
      <c r="AA61" s="246">
        <f t="shared" ref="AA61" ca="1" si="120">IF(AA60=0,IF(AA$43&gt;0,MAX(ROUND((((AA58+Z62)/AA$43)*AA$46),0),0),0),AA60)</f>
        <v>0</v>
      </c>
      <c r="AB61" s="246">
        <f t="shared" ref="AB61" ca="1" si="121">IF(AB60=0,IF(AB$43&gt;0,MAX(ROUND((((AB58+AA62)/AB$43)*AB$46),0),0),0),AB60)</f>
        <v>100</v>
      </c>
      <c r="AC61" s="246">
        <f t="shared" ref="AC61" ca="1" si="122">IF(AC60=0,IF(AC$43&gt;0,MAX(ROUND((((AC58+AB62)/AC$43)*AC$46),0),0),0),AC60)</f>
        <v>200</v>
      </c>
      <c r="AD61" s="246">
        <f t="shared" ref="AD61" ca="1" si="123">IF(AD60=0,IF(AD$43&gt;0,MAX(ROUND((((AD58+AC62)/AD$43)*AD$46),0),0),0),AD60)</f>
        <v>0</v>
      </c>
      <c r="AE61" s="246">
        <f t="shared" ref="AE61" ca="1" si="124">IF(AE60=0,IF(AE$43&gt;0,MAX(ROUND((((AE58+AD62)/AE$43)*AE$46),0),0),0),AE60)</f>
        <v>0</v>
      </c>
      <c r="AF61" s="246">
        <f t="shared" ref="AF61" ca="1" si="125">IF(AF60=0,IF(AF$43&gt;0,MAX(ROUND((((AF58+AE62)/AF$43)*AF$46),0),0),0),AF60)</f>
        <v>0</v>
      </c>
      <c r="AG61" s="246"/>
      <c r="AH61" s="246"/>
      <c r="AI61" s="246"/>
      <c r="AJ61" s="246"/>
    </row>
    <row r="62" spans="1:36" x14ac:dyDescent="0.25">
      <c r="A62" s="30">
        <v>2000</v>
      </c>
      <c r="B62" s="104" t="s">
        <v>30</v>
      </c>
      <c r="C62" s="155" t="s">
        <v>49</v>
      </c>
      <c r="D62" s="42" t="s">
        <v>48</v>
      </c>
      <c r="E62" s="103" t="s">
        <v>53</v>
      </c>
      <c r="F62" s="119" t="s">
        <v>34</v>
      </c>
      <c r="G62" s="100" t="s">
        <v>60</v>
      </c>
      <c r="H62" s="95"/>
      <c r="I62" s="87">
        <f t="shared" ref="I62:AF62" ca="1" si="126">I58+H62-I61</f>
        <v>0</v>
      </c>
      <c r="J62" s="87">
        <f t="shared" ca="1" si="126"/>
        <v>0</v>
      </c>
      <c r="K62" s="87">
        <f t="shared" ca="1" si="126"/>
        <v>0</v>
      </c>
      <c r="L62" s="87">
        <f t="shared" ca="1" si="126"/>
        <v>0</v>
      </c>
      <c r="M62" s="87">
        <f t="shared" ca="1" si="126"/>
        <v>0</v>
      </c>
      <c r="N62" s="87">
        <f t="shared" ca="1" si="126"/>
        <v>0</v>
      </c>
      <c r="O62" s="87">
        <f t="shared" ca="1" si="126"/>
        <v>0</v>
      </c>
      <c r="P62" s="87">
        <f t="shared" ca="1" si="126"/>
        <v>0</v>
      </c>
      <c r="Q62" s="87">
        <f t="shared" ca="1" si="126"/>
        <v>0</v>
      </c>
      <c r="R62" s="87">
        <f t="shared" ca="1" si="126"/>
        <v>0</v>
      </c>
      <c r="S62" s="87">
        <f t="shared" ca="1" si="126"/>
        <v>0</v>
      </c>
      <c r="T62" s="87">
        <f t="shared" ca="1" si="126"/>
        <v>0</v>
      </c>
      <c r="U62" s="87">
        <f t="shared" ca="1" si="126"/>
        <v>0</v>
      </c>
      <c r="V62" s="87">
        <f t="shared" ca="1" si="126"/>
        <v>0</v>
      </c>
      <c r="W62" s="87">
        <f t="shared" ca="1" si="126"/>
        <v>0</v>
      </c>
      <c r="X62" s="87">
        <f t="shared" ca="1" si="126"/>
        <v>0</v>
      </c>
      <c r="Y62" s="87">
        <f t="shared" ca="1" si="126"/>
        <v>0</v>
      </c>
      <c r="Z62" s="87">
        <f t="shared" ca="1" si="126"/>
        <v>0</v>
      </c>
      <c r="AA62" s="87">
        <f t="shared" ca="1" si="126"/>
        <v>0</v>
      </c>
      <c r="AB62" s="87">
        <f t="shared" ca="1" si="126"/>
        <v>0</v>
      </c>
      <c r="AC62" s="87">
        <f t="shared" ca="1" si="126"/>
        <v>0</v>
      </c>
      <c r="AD62" s="87">
        <f t="shared" ca="1" si="126"/>
        <v>0</v>
      </c>
      <c r="AE62" s="87">
        <f t="shared" ca="1" si="126"/>
        <v>0</v>
      </c>
      <c r="AF62" s="87">
        <f t="shared" ca="1" si="126"/>
        <v>0</v>
      </c>
      <c r="AG62" s="246"/>
      <c r="AH62" s="246"/>
      <c r="AI62" s="246"/>
      <c r="AJ62" s="246"/>
    </row>
    <row r="63" spans="1:36" x14ac:dyDescent="0.25">
      <c r="A63" s="30">
        <v>2000</v>
      </c>
      <c r="B63" s="104" t="s">
        <v>30</v>
      </c>
      <c r="C63" s="103" t="s">
        <v>49</v>
      </c>
      <c r="D63" s="42" t="s">
        <v>48</v>
      </c>
      <c r="E63" s="103" t="s">
        <v>49</v>
      </c>
      <c r="F63" s="42" t="s">
        <v>48</v>
      </c>
      <c r="G63" s="106" t="s">
        <v>58</v>
      </c>
      <c r="H63" s="42"/>
      <c r="I63" s="97">
        <f ca="1">I51+I56+I61</f>
        <v>60</v>
      </c>
      <c r="J63" s="97">
        <f t="shared" ref="J63:AF63" ca="1" si="127">J51+J56+J61</f>
        <v>440</v>
      </c>
      <c r="K63" s="97">
        <f ca="1">K51+K56+K61</f>
        <v>480</v>
      </c>
      <c r="L63" s="97">
        <f t="shared" ca="1" si="127"/>
        <v>150</v>
      </c>
      <c r="M63" s="97">
        <f t="shared" ca="1" si="127"/>
        <v>80</v>
      </c>
      <c r="N63" s="97">
        <f t="shared" ca="1" si="127"/>
        <v>150</v>
      </c>
      <c r="O63" s="97">
        <f t="shared" ca="1" si="127"/>
        <v>340</v>
      </c>
      <c r="P63" s="97">
        <f t="shared" ca="1" si="127"/>
        <v>320</v>
      </c>
      <c r="Q63" s="97">
        <f t="shared" ca="1" si="127"/>
        <v>460</v>
      </c>
      <c r="R63" s="97">
        <f t="shared" ca="1" si="127"/>
        <v>240</v>
      </c>
      <c r="S63" s="97">
        <f t="shared" ca="1" si="127"/>
        <v>440</v>
      </c>
      <c r="T63" s="97">
        <f t="shared" ca="1" si="127"/>
        <v>230</v>
      </c>
      <c r="U63" s="97">
        <f t="shared" ca="1" si="127"/>
        <v>100</v>
      </c>
      <c r="V63" s="97">
        <f t="shared" ca="1" si="127"/>
        <v>620</v>
      </c>
      <c r="W63" s="97">
        <f t="shared" ca="1" si="127"/>
        <v>490</v>
      </c>
      <c r="X63" s="97">
        <f t="shared" ca="1" si="127"/>
        <v>450</v>
      </c>
      <c r="Y63" s="97">
        <f t="shared" ca="1" si="127"/>
        <v>450</v>
      </c>
      <c r="Z63" s="97">
        <f t="shared" ca="1" si="127"/>
        <v>240</v>
      </c>
      <c r="AA63" s="97">
        <f t="shared" ca="1" si="127"/>
        <v>70</v>
      </c>
      <c r="AB63" s="97">
        <f t="shared" ca="1" si="127"/>
        <v>260</v>
      </c>
      <c r="AC63" s="97">
        <f t="shared" ca="1" si="127"/>
        <v>450</v>
      </c>
      <c r="AD63" s="97">
        <f t="shared" ca="1" si="127"/>
        <v>200</v>
      </c>
      <c r="AE63" s="97">
        <f t="shared" ca="1" si="127"/>
        <v>250</v>
      </c>
      <c r="AF63" s="97">
        <f t="shared" ca="1" si="127"/>
        <v>40</v>
      </c>
      <c r="AG63" s="250"/>
      <c r="AH63" s="250"/>
      <c r="AI63" s="250"/>
      <c r="AJ63" s="250"/>
    </row>
    <row r="64" spans="1:36" x14ac:dyDescent="0.25">
      <c r="A64" s="30">
        <v>2000</v>
      </c>
      <c r="B64" s="104" t="s">
        <v>30</v>
      </c>
      <c r="C64" s="103" t="s">
        <v>49</v>
      </c>
      <c r="D64" s="42" t="s">
        <v>48</v>
      </c>
      <c r="E64" s="103" t="s">
        <v>49</v>
      </c>
      <c r="F64" s="42" t="s">
        <v>48</v>
      </c>
      <c r="G64" s="100" t="s">
        <v>37</v>
      </c>
      <c r="H64" s="92"/>
      <c r="I64" s="97">
        <f ca="1">H42+I39+I40-I63</f>
        <v>300</v>
      </c>
      <c r="J64" s="97">
        <f t="shared" ref="J64:AF64" ca="1" si="128">I64+J39+J40-J63</f>
        <v>300</v>
      </c>
      <c r="K64" s="97">
        <f t="shared" ca="1" si="128"/>
        <v>300</v>
      </c>
      <c r="L64" s="97">
        <f t="shared" ca="1" si="128"/>
        <v>347</v>
      </c>
      <c r="M64" s="97">
        <f t="shared" ca="1" si="128"/>
        <v>646</v>
      </c>
      <c r="N64" s="97">
        <f t="shared" ca="1" si="128"/>
        <v>791</v>
      </c>
      <c r="O64" s="97">
        <f t="shared" ca="1" si="128"/>
        <v>924</v>
      </c>
      <c r="P64" s="97">
        <f t="shared" ca="1" si="128"/>
        <v>925</v>
      </c>
      <c r="Q64" s="97">
        <f t="shared" ca="1" si="128"/>
        <v>839</v>
      </c>
      <c r="R64" s="97">
        <f t="shared" ca="1" si="128"/>
        <v>896</v>
      </c>
      <c r="S64" s="97">
        <f t="shared" ca="1" si="128"/>
        <v>683</v>
      </c>
      <c r="T64" s="97">
        <f t="shared" ca="1" si="128"/>
        <v>870</v>
      </c>
      <c r="U64" s="97">
        <f t="shared" ca="1" si="128"/>
        <v>1066</v>
      </c>
      <c r="V64" s="97">
        <f t="shared" ca="1" si="128"/>
        <v>517</v>
      </c>
      <c r="W64" s="97">
        <f t="shared" ca="1" si="128"/>
        <v>300</v>
      </c>
      <c r="X64" s="97">
        <f t="shared" ca="1" si="128"/>
        <v>300</v>
      </c>
      <c r="Y64" s="97">
        <f t="shared" ca="1" si="128"/>
        <v>300</v>
      </c>
      <c r="Z64" s="97">
        <f t="shared" ca="1" si="128"/>
        <v>300</v>
      </c>
      <c r="AA64" s="97">
        <f t="shared" ca="1" si="128"/>
        <v>526</v>
      </c>
      <c r="AB64" s="97">
        <f t="shared" ca="1" si="128"/>
        <v>715</v>
      </c>
      <c r="AC64" s="97">
        <f t="shared" ca="1" si="128"/>
        <v>497</v>
      </c>
      <c r="AD64" s="97">
        <f t="shared" ca="1" si="128"/>
        <v>443</v>
      </c>
      <c r="AE64" s="97">
        <f t="shared" ca="1" si="128"/>
        <v>401</v>
      </c>
      <c r="AF64" s="97">
        <f t="shared" ca="1" si="128"/>
        <v>469</v>
      </c>
      <c r="AG64" s="250"/>
      <c r="AH64" s="250"/>
      <c r="AI64" s="250"/>
      <c r="AJ64" s="250"/>
    </row>
    <row r="65" spans="1:36" x14ac:dyDescent="0.25">
      <c r="A65" s="30">
        <v>2000</v>
      </c>
      <c r="B65" s="104" t="s">
        <v>30</v>
      </c>
      <c r="C65" s="103" t="s">
        <v>49</v>
      </c>
      <c r="D65" s="42" t="s">
        <v>48</v>
      </c>
      <c r="E65" s="103" t="s">
        <v>49</v>
      </c>
      <c r="F65" s="42" t="s">
        <v>48</v>
      </c>
      <c r="G65" s="100" t="s">
        <v>24</v>
      </c>
      <c r="H65" s="42"/>
      <c r="I65" s="39">
        <f>CBN_CDC!I30</f>
        <v>300</v>
      </c>
      <c r="J65" s="39">
        <f>CBN_CDC!J30</f>
        <v>300</v>
      </c>
      <c r="K65" s="39">
        <f>CBN_CDC!K30</f>
        <v>300</v>
      </c>
      <c r="L65" s="39">
        <f>CBN_CDC!L30</f>
        <v>300</v>
      </c>
      <c r="M65" s="39">
        <f>CBN_CDC!M30</f>
        <v>300</v>
      </c>
      <c r="N65" s="39">
        <f>CBN_CDC!N30</f>
        <v>300</v>
      </c>
      <c r="O65" s="39">
        <f>CBN_CDC!O30</f>
        <v>300</v>
      </c>
      <c r="P65" s="39">
        <f>CBN_CDC!P30</f>
        <v>300</v>
      </c>
      <c r="Q65" s="39">
        <f>CBN_CDC!Q30</f>
        <v>300</v>
      </c>
      <c r="R65" s="39">
        <f>CBN_CDC!R30</f>
        <v>300</v>
      </c>
      <c r="S65" s="39">
        <f>CBN_CDC!S30</f>
        <v>300</v>
      </c>
      <c r="T65" s="39">
        <f>CBN_CDC!T30</f>
        <v>300</v>
      </c>
      <c r="U65" s="39">
        <f>CBN_CDC!U30</f>
        <v>300</v>
      </c>
      <c r="V65" s="39">
        <f>CBN_CDC!V30</f>
        <v>300</v>
      </c>
      <c r="W65" s="39">
        <f>CBN_CDC!W30</f>
        <v>300</v>
      </c>
      <c r="X65" s="39">
        <f>CBN_CDC!X30</f>
        <v>300</v>
      </c>
      <c r="Y65" s="39">
        <f>CBN_CDC!Y30</f>
        <v>300</v>
      </c>
      <c r="Z65" s="39">
        <f>CBN_CDC!Z30</f>
        <v>300</v>
      </c>
      <c r="AA65" s="39">
        <f>CBN_CDC!AA30</f>
        <v>300</v>
      </c>
      <c r="AB65" s="39">
        <f>CBN_CDC!AB30</f>
        <v>300</v>
      </c>
      <c r="AC65" s="39">
        <f>CBN_CDC!AC30</f>
        <v>300</v>
      </c>
      <c r="AD65" s="39">
        <f>CBN_CDC!AD30</f>
        <v>300</v>
      </c>
      <c r="AE65" s="39">
        <f>CBN_CDC!AE30</f>
        <v>300</v>
      </c>
      <c r="AF65" s="39">
        <f>CBN_CDC!AF30</f>
        <v>300</v>
      </c>
      <c r="AG65" s="238"/>
      <c r="AH65" s="238"/>
      <c r="AI65" s="238"/>
      <c r="AJ65" s="238"/>
    </row>
    <row r="66" spans="1:36" x14ac:dyDescent="0.25">
      <c r="A66" s="30">
        <v>2000</v>
      </c>
      <c r="B66" s="104" t="s">
        <v>30</v>
      </c>
      <c r="C66" s="103" t="s">
        <v>49</v>
      </c>
      <c r="D66" s="42" t="s">
        <v>48</v>
      </c>
      <c r="E66" s="103" t="s">
        <v>49</v>
      </c>
      <c r="F66" s="42" t="s">
        <v>48</v>
      </c>
      <c r="G66" s="100" t="s">
        <v>60</v>
      </c>
      <c r="H66" s="92"/>
      <c r="I66" s="97">
        <f ca="1">I62+I57+I52</f>
        <v>0</v>
      </c>
      <c r="J66" s="97">
        <f t="shared" ref="J66:AF66" ca="1" si="129">J62+J57+J52</f>
        <v>0</v>
      </c>
      <c r="K66" s="97">
        <f t="shared" ca="1" si="129"/>
        <v>0</v>
      </c>
      <c r="L66" s="97">
        <f t="shared" ca="1" si="129"/>
        <v>0</v>
      </c>
      <c r="M66" s="97">
        <f t="shared" ca="1" si="129"/>
        <v>0</v>
      </c>
      <c r="N66" s="97">
        <f t="shared" ca="1" si="129"/>
        <v>0</v>
      </c>
      <c r="O66" s="97">
        <f t="shared" ca="1" si="129"/>
        <v>0</v>
      </c>
      <c r="P66" s="97">
        <f t="shared" ca="1" si="129"/>
        <v>0</v>
      </c>
      <c r="Q66" s="97">
        <f t="shared" ca="1" si="129"/>
        <v>0</v>
      </c>
      <c r="R66" s="97">
        <f t="shared" ca="1" si="129"/>
        <v>0</v>
      </c>
      <c r="S66" s="97">
        <f t="shared" ca="1" si="129"/>
        <v>0</v>
      </c>
      <c r="T66" s="97">
        <f t="shared" ca="1" si="129"/>
        <v>0</v>
      </c>
      <c r="U66" s="97">
        <f t="shared" ca="1" si="129"/>
        <v>0</v>
      </c>
      <c r="V66" s="97">
        <f t="shared" ca="1" si="129"/>
        <v>0</v>
      </c>
      <c r="W66" s="97">
        <f t="shared" ca="1" si="129"/>
        <v>0</v>
      </c>
      <c r="X66" s="97">
        <f t="shared" ca="1" si="129"/>
        <v>0</v>
      </c>
      <c r="Y66" s="97">
        <f t="shared" ca="1" si="129"/>
        <v>0</v>
      </c>
      <c r="Z66" s="97">
        <f t="shared" ca="1" si="129"/>
        <v>0</v>
      </c>
      <c r="AA66" s="97">
        <f t="shared" ca="1" si="129"/>
        <v>0</v>
      </c>
      <c r="AB66" s="97">
        <f t="shared" ca="1" si="129"/>
        <v>0</v>
      </c>
      <c r="AC66" s="97">
        <f t="shared" ca="1" si="129"/>
        <v>0</v>
      </c>
      <c r="AD66" s="97">
        <f t="shared" ca="1" si="129"/>
        <v>0</v>
      </c>
      <c r="AE66" s="97">
        <f t="shared" ca="1" si="129"/>
        <v>0</v>
      </c>
      <c r="AF66" s="97">
        <f t="shared" ca="1" si="129"/>
        <v>0</v>
      </c>
      <c r="AG66" s="250"/>
      <c r="AH66" s="250"/>
      <c r="AI66" s="250"/>
      <c r="AJ66" s="250"/>
    </row>
    <row r="67" spans="1:36" x14ac:dyDescent="0.25">
      <c r="A67" s="11"/>
      <c r="B67" s="57"/>
      <c r="C67" s="154"/>
      <c r="D67" s="11"/>
      <c r="E67" s="11"/>
      <c r="F67" s="11"/>
      <c r="G67" s="11"/>
      <c r="H67" s="11"/>
      <c r="I67" s="11"/>
      <c r="J67" s="11"/>
      <c r="K67" s="11"/>
      <c r="L67" s="11"/>
      <c r="M67" s="11"/>
      <c r="N67" s="11"/>
      <c r="O67" s="11"/>
      <c r="P67" s="11"/>
      <c r="Q67" s="11"/>
      <c r="R67" s="11"/>
      <c r="S67" s="11"/>
      <c r="T67" s="11"/>
      <c r="U67" s="11"/>
      <c r="V67" s="11"/>
      <c r="W67" s="11"/>
      <c r="X67" s="11"/>
      <c r="Y67" s="11"/>
      <c r="Z67" s="11"/>
      <c r="AA67" s="11"/>
      <c r="AB67" s="11"/>
      <c r="AC67" s="11"/>
      <c r="AD67" s="11"/>
      <c r="AE67" s="11"/>
      <c r="AF67" s="11"/>
      <c r="AG67" s="226"/>
      <c r="AH67" s="226"/>
      <c r="AI67" s="226"/>
      <c r="AJ67" s="226"/>
    </row>
    <row r="68" spans="1:36" x14ac:dyDescent="0.25">
      <c r="A68" s="108">
        <v>3000</v>
      </c>
      <c r="B68" s="109" t="s">
        <v>31</v>
      </c>
      <c r="C68" s="155">
        <v>111</v>
      </c>
      <c r="D68" s="42" t="s">
        <v>65</v>
      </c>
      <c r="E68" s="103" t="s">
        <v>49</v>
      </c>
      <c r="F68" s="42" t="s">
        <v>48</v>
      </c>
      <c r="G68" s="98" t="s">
        <v>47</v>
      </c>
      <c r="H68" s="14"/>
      <c r="I68" s="153"/>
      <c r="J68" s="153"/>
      <c r="K68" s="16">
        <f ca="1">Factory!J28</f>
        <v>310</v>
      </c>
      <c r="L68" s="16">
        <f ca="1">Factory!K28</f>
        <v>210</v>
      </c>
      <c r="M68" s="16">
        <f ca="1">Factory!L28</f>
        <v>300</v>
      </c>
      <c r="N68" s="16">
        <f ca="1">Factory!M28</f>
        <v>330</v>
      </c>
      <c r="O68" s="16">
        <f ca="1">Factory!N28</f>
        <v>380</v>
      </c>
      <c r="P68" s="16">
        <f ca="1">Factory!O28</f>
        <v>270</v>
      </c>
      <c r="Q68" s="16">
        <f ca="1">Factory!P28</f>
        <v>196</v>
      </c>
      <c r="R68" s="16">
        <f ca="1">Factory!Q28</f>
        <v>251</v>
      </c>
      <c r="S68" s="16">
        <f ca="1">Factory!R28</f>
        <v>303</v>
      </c>
      <c r="T68" s="16">
        <f ca="1">Factory!S28</f>
        <v>173</v>
      </c>
      <c r="U68" s="16">
        <f ca="1">Factory!T28</f>
        <v>83</v>
      </c>
      <c r="V68" s="16">
        <f ca="1">Factory!U28</f>
        <v>281</v>
      </c>
      <c r="W68" s="16">
        <f ca="1">Factory!V28</f>
        <v>248</v>
      </c>
      <c r="X68" s="16">
        <f ca="1">Factory!W28</f>
        <v>259</v>
      </c>
      <c r="Y68" s="16">
        <f ca="1">Factory!X28</f>
        <v>189</v>
      </c>
      <c r="Z68" s="16">
        <f ca="1">Factory!Y28</f>
        <v>119</v>
      </c>
      <c r="AA68" s="16">
        <f ca="1">Factory!Z28</f>
        <v>256</v>
      </c>
      <c r="AB68" s="16">
        <f ca="1">Factory!AA28</f>
        <v>379</v>
      </c>
      <c r="AC68" s="16">
        <f ca="1">Factory!AB28</f>
        <v>178</v>
      </c>
      <c r="AD68" s="16">
        <f ca="1">Factory!AC28</f>
        <v>323</v>
      </c>
      <c r="AE68" s="16">
        <f ca="1">Factory!AD28</f>
        <v>131</v>
      </c>
      <c r="AF68" s="16">
        <f ca="1">Factory!AE28</f>
        <v>138</v>
      </c>
      <c r="AG68" s="229"/>
      <c r="AH68" s="229"/>
      <c r="AI68" s="229"/>
      <c r="AJ68" s="229"/>
    </row>
    <row r="69" spans="1:36" x14ac:dyDescent="0.25">
      <c r="A69" s="108">
        <v>3000</v>
      </c>
      <c r="B69" s="109" t="s">
        <v>31</v>
      </c>
      <c r="C69" s="155">
        <v>111</v>
      </c>
      <c r="D69" s="42" t="s">
        <v>65</v>
      </c>
      <c r="E69" s="103" t="s">
        <v>49</v>
      </c>
      <c r="F69" s="42" t="s">
        <v>48</v>
      </c>
      <c r="G69" s="35" t="s">
        <v>73</v>
      </c>
      <c r="H69" s="31"/>
      <c r="I69" s="36">
        <f>MJ_Initialisation!D48</f>
        <v>220</v>
      </c>
      <c r="J69" s="36">
        <f>MJ_Initialisation!E48</f>
        <v>320</v>
      </c>
      <c r="K69" s="153"/>
      <c r="L69" s="153"/>
      <c r="M69" s="153"/>
      <c r="N69" s="153"/>
      <c r="O69" s="153"/>
      <c r="P69" s="153"/>
      <c r="Q69" s="153"/>
      <c r="R69" s="153"/>
      <c r="S69" s="153"/>
      <c r="T69" s="153"/>
      <c r="U69" s="153"/>
      <c r="V69" s="153"/>
      <c r="W69" s="153"/>
      <c r="X69" s="153"/>
      <c r="Y69" s="153"/>
      <c r="Z69" s="153"/>
      <c r="AA69" s="153"/>
      <c r="AB69" s="153"/>
      <c r="AC69" s="153"/>
      <c r="AD69" s="153"/>
      <c r="AE69" s="153"/>
      <c r="AF69" s="153"/>
      <c r="AG69" s="260"/>
      <c r="AH69" s="260"/>
      <c r="AI69" s="260"/>
      <c r="AJ69" s="260"/>
    </row>
    <row r="70" spans="1:36" x14ac:dyDescent="0.25">
      <c r="A70" s="108">
        <v>3000</v>
      </c>
      <c r="B70" s="109" t="s">
        <v>31</v>
      </c>
      <c r="C70" s="155">
        <v>111</v>
      </c>
      <c r="D70" s="42" t="s">
        <v>65</v>
      </c>
      <c r="E70" s="103" t="s">
        <v>49</v>
      </c>
      <c r="F70" s="42" t="s">
        <v>48</v>
      </c>
      <c r="G70" s="106" t="s">
        <v>127</v>
      </c>
      <c r="H70" s="42"/>
      <c r="I70" s="87">
        <f>I68+I69</f>
        <v>220</v>
      </c>
      <c r="J70" s="87">
        <f t="shared" ref="J70" si="130">J68+J69</f>
        <v>320</v>
      </c>
      <c r="K70" s="87">
        <f t="shared" ref="K70" ca="1" si="131">K68+K69</f>
        <v>310</v>
      </c>
      <c r="L70" s="87">
        <f t="shared" ref="L70" ca="1" si="132">L68+L69</f>
        <v>210</v>
      </c>
      <c r="M70" s="87">
        <f t="shared" ref="M70" ca="1" si="133">M68+M69</f>
        <v>300</v>
      </c>
      <c r="N70" s="87">
        <f t="shared" ref="N70" ca="1" si="134">N68+N69</f>
        <v>330</v>
      </c>
      <c r="O70" s="87">
        <f t="shared" ref="O70" ca="1" si="135">O68+O69</f>
        <v>380</v>
      </c>
      <c r="P70" s="87">
        <f t="shared" ref="P70" ca="1" si="136">P68+P69</f>
        <v>270</v>
      </c>
      <c r="Q70" s="87">
        <f t="shared" ref="Q70" ca="1" si="137">Q68+Q69</f>
        <v>196</v>
      </c>
      <c r="R70" s="87">
        <f t="shared" ref="R70" ca="1" si="138">R68+R69</f>
        <v>251</v>
      </c>
      <c r="S70" s="87">
        <f t="shared" ref="S70" ca="1" si="139">S68+S69</f>
        <v>303</v>
      </c>
      <c r="T70" s="87">
        <f t="shared" ref="T70" ca="1" si="140">T68+T69</f>
        <v>173</v>
      </c>
      <c r="U70" s="87">
        <f t="shared" ref="U70" ca="1" si="141">U68+U69</f>
        <v>83</v>
      </c>
      <c r="V70" s="87">
        <f t="shared" ref="V70" ca="1" si="142">V68+V69</f>
        <v>281</v>
      </c>
      <c r="W70" s="87">
        <f t="shared" ref="W70" ca="1" si="143">W68+W69</f>
        <v>248</v>
      </c>
      <c r="X70" s="87">
        <f t="shared" ref="X70" ca="1" si="144">X68+X69</f>
        <v>259</v>
      </c>
      <c r="Y70" s="87">
        <f t="shared" ref="Y70" ca="1" si="145">Y68+Y69</f>
        <v>189</v>
      </c>
      <c r="Z70" s="87">
        <f t="shared" ref="Z70" ca="1" si="146">Z68+Z69</f>
        <v>119</v>
      </c>
      <c r="AA70" s="87">
        <f t="shared" ref="AA70" ca="1" si="147">AA68+AA69</f>
        <v>256</v>
      </c>
      <c r="AB70" s="87">
        <f t="shared" ref="AB70" ca="1" si="148">AB68+AB69</f>
        <v>379</v>
      </c>
      <c r="AC70" s="87">
        <f t="shared" ref="AC70" ca="1" si="149">AC68+AC69</f>
        <v>178</v>
      </c>
      <c r="AD70" s="87">
        <f t="shared" ref="AD70" ca="1" si="150">AD68+AD69</f>
        <v>323</v>
      </c>
      <c r="AE70" s="87">
        <f t="shared" ref="AE70" ca="1" si="151">AE68+AE69</f>
        <v>131</v>
      </c>
      <c r="AF70" s="87">
        <f t="shared" ref="AF70" ca="1" si="152">AF68+AF69</f>
        <v>138</v>
      </c>
      <c r="AG70" s="246"/>
      <c r="AH70" s="246"/>
      <c r="AI70" s="246"/>
      <c r="AJ70" s="246"/>
    </row>
    <row r="71" spans="1:36" x14ac:dyDescent="0.25">
      <c r="A71" s="108">
        <v>3000</v>
      </c>
      <c r="B71" s="122" t="s">
        <v>31</v>
      </c>
      <c r="C71" s="103" t="s">
        <v>49</v>
      </c>
      <c r="D71" s="42" t="s">
        <v>48</v>
      </c>
      <c r="E71" s="103" t="s">
        <v>49</v>
      </c>
      <c r="F71" s="42" t="s">
        <v>48</v>
      </c>
      <c r="G71" s="168" t="s">
        <v>120</v>
      </c>
      <c r="H71" s="67">
        <f>CBN_CDC!H39</f>
        <v>300</v>
      </c>
      <c r="I71" s="171"/>
      <c r="J71" s="169"/>
      <c r="K71" s="169"/>
      <c r="L71" s="169"/>
      <c r="M71" s="169"/>
      <c r="N71" s="169"/>
      <c r="O71" s="169"/>
      <c r="P71" s="169"/>
      <c r="Q71" s="169"/>
      <c r="R71" s="169"/>
      <c r="S71" s="169"/>
      <c r="T71" s="169"/>
      <c r="U71" s="169"/>
      <c r="V71" s="169"/>
      <c r="W71" s="169"/>
      <c r="X71" s="169"/>
      <c r="Y71" s="169"/>
      <c r="Z71" s="169"/>
      <c r="AA71" s="169"/>
      <c r="AB71" s="169"/>
      <c r="AC71" s="169"/>
      <c r="AD71" s="169"/>
      <c r="AE71" s="169"/>
      <c r="AF71" s="169"/>
      <c r="AG71" s="263"/>
      <c r="AH71" s="263"/>
      <c r="AI71" s="263"/>
      <c r="AJ71" s="263"/>
    </row>
    <row r="72" spans="1:36" x14ac:dyDescent="0.25">
      <c r="A72" s="108">
        <v>3000</v>
      </c>
      <c r="B72" s="109" t="s">
        <v>31</v>
      </c>
      <c r="C72" s="103" t="s">
        <v>49</v>
      </c>
      <c r="D72" s="42" t="s">
        <v>48</v>
      </c>
      <c r="E72" s="103" t="s">
        <v>49</v>
      </c>
      <c r="F72" s="42" t="s">
        <v>48</v>
      </c>
      <c r="G72" s="106" t="s">
        <v>63</v>
      </c>
      <c r="H72" s="42"/>
      <c r="I72" s="87">
        <f ca="1">IF(I79&gt;0,0,I77+H81)+IF(I84&gt;0,0,I82+H86)</f>
        <v>220</v>
      </c>
      <c r="J72" s="87">
        <f t="shared" ref="J72:AF72" ca="1" si="153">IF(J79&gt;0,0,J77+I81)+IF(J84&gt;0,0,J82+I86)</f>
        <v>320</v>
      </c>
      <c r="K72" s="87">
        <f ca="1">IF(K79&gt;0,0,K77+J81)+IF(K84&gt;0,0,K82+J86)</f>
        <v>310</v>
      </c>
      <c r="L72" s="87">
        <f ca="1">IF(L79&gt;0,0,L77+K81)+IF(L84&gt;0,0,L82+K86)</f>
        <v>210</v>
      </c>
      <c r="M72" s="87">
        <f t="shared" ca="1" si="153"/>
        <v>300</v>
      </c>
      <c r="N72" s="87">
        <f t="shared" ca="1" si="153"/>
        <v>330</v>
      </c>
      <c r="O72" s="87">
        <f t="shared" ca="1" si="153"/>
        <v>380</v>
      </c>
      <c r="P72" s="87">
        <f t="shared" ca="1" si="153"/>
        <v>270</v>
      </c>
      <c r="Q72" s="87">
        <f t="shared" ca="1" si="153"/>
        <v>170</v>
      </c>
      <c r="R72" s="87">
        <f t="shared" ca="1" si="153"/>
        <v>120</v>
      </c>
      <c r="S72" s="87">
        <f t="shared" ca="1" si="153"/>
        <v>100</v>
      </c>
      <c r="T72" s="87">
        <f t="shared" ca="1" si="153"/>
        <v>220</v>
      </c>
      <c r="U72" s="87">
        <f t="shared" ca="1" si="153"/>
        <v>300</v>
      </c>
      <c r="V72" s="87">
        <f t="shared" ca="1" si="153"/>
        <v>290</v>
      </c>
      <c r="W72" s="87">
        <f t="shared" ca="1" si="153"/>
        <v>260</v>
      </c>
      <c r="X72" s="87">
        <f t="shared" ca="1" si="153"/>
        <v>80</v>
      </c>
      <c r="Y72" s="87">
        <f t="shared" ca="1" si="153"/>
        <v>280</v>
      </c>
      <c r="Z72" s="87">
        <f t="shared" ca="1" si="153"/>
        <v>150</v>
      </c>
      <c r="AA72" s="87">
        <f t="shared" ca="1" si="153"/>
        <v>360</v>
      </c>
      <c r="AB72" s="87">
        <f t="shared" ca="1" si="153"/>
        <v>280</v>
      </c>
      <c r="AC72" s="87">
        <f t="shared" ca="1" si="153"/>
        <v>280</v>
      </c>
      <c r="AD72" s="87">
        <f t="shared" ca="1" si="153"/>
        <v>220</v>
      </c>
      <c r="AE72" s="87">
        <f t="shared" ca="1" si="153"/>
        <v>20</v>
      </c>
      <c r="AF72" s="87">
        <f t="shared" ca="1" si="153"/>
        <v>30</v>
      </c>
      <c r="AG72" s="246"/>
      <c r="AH72" s="246"/>
      <c r="AI72" s="246"/>
      <c r="AJ72" s="246"/>
    </row>
    <row r="73" spans="1:36" x14ac:dyDescent="0.25">
      <c r="A73" s="108">
        <v>3000</v>
      </c>
      <c r="B73" s="109" t="s">
        <v>31</v>
      </c>
      <c r="C73" s="103" t="s">
        <v>49</v>
      </c>
      <c r="D73" s="42" t="s">
        <v>48</v>
      </c>
      <c r="E73" s="103" t="s">
        <v>49</v>
      </c>
      <c r="F73" s="42" t="s">
        <v>48</v>
      </c>
      <c r="G73" s="99" t="s">
        <v>59</v>
      </c>
      <c r="H73" s="14"/>
      <c r="I73" s="17">
        <f t="shared" ref="I73:AF73" ca="1" si="154">I78+I83</f>
        <v>220</v>
      </c>
      <c r="J73" s="17">
        <f t="shared" ca="1" si="154"/>
        <v>320</v>
      </c>
      <c r="K73" s="17">
        <f ca="1">K78+K83</f>
        <v>310</v>
      </c>
      <c r="L73" s="17">
        <f t="shared" ca="1" si="154"/>
        <v>210</v>
      </c>
      <c r="M73" s="17">
        <f t="shared" ca="1" si="154"/>
        <v>300</v>
      </c>
      <c r="N73" s="17">
        <f t="shared" ca="1" si="154"/>
        <v>330</v>
      </c>
      <c r="O73" s="17">
        <f t="shared" ca="1" si="154"/>
        <v>380</v>
      </c>
      <c r="P73" s="17">
        <f t="shared" ca="1" si="154"/>
        <v>270</v>
      </c>
      <c r="Q73" s="17">
        <f t="shared" ca="1" si="154"/>
        <v>170</v>
      </c>
      <c r="R73" s="17">
        <f t="shared" ca="1" si="154"/>
        <v>120</v>
      </c>
      <c r="S73" s="17">
        <f t="shared" ca="1" si="154"/>
        <v>100</v>
      </c>
      <c r="T73" s="17">
        <f t="shared" ca="1" si="154"/>
        <v>220</v>
      </c>
      <c r="U73" s="17">
        <f t="shared" ca="1" si="154"/>
        <v>300</v>
      </c>
      <c r="V73" s="17">
        <f t="shared" ca="1" si="154"/>
        <v>290</v>
      </c>
      <c r="W73" s="17">
        <f t="shared" ca="1" si="154"/>
        <v>260</v>
      </c>
      <c r="X73" s="17">
        <f t="shared" ca="1" si="154"/>
        <v>80</v>
      </c>
      <c r="Y73" s="17">
        <f t="shared" ca="1" si="154"/>
        <v>280</v>
      </c>
      <c r="Z73" s="17">
        <f t="shared" ca="1" si="154"/>
        <v>150</v>
      </c>
      <c r="AA73" s="17">
        <f t="shared" ca="1" si="154"/>
        <v>360</v>
      </c>
      <c r="AB73" s="17">
        <f t="shared" ca="1" si="154"/>
        <v>280</v>
      </c>
      <c r="AC73" s="17">
        <f t="shared" ca="1" si="154"/>
        <v>280</v>
      </c>
      <c r="AD73" s="17">
        <f t="shared" ca="1" si="154"/>
        <v>220</v>
      </c>
      <c r="AE73" s="17">
        <f t="shared" ca="1" si="154"/>
        <v>20</v>
      </c>
      <c r="AF73" s="17">
        <f t="shared" ca="1" si="154"/>
        <v>30</v>
      </c>
      <c r="AG73" s="230"/>
      <c r="AH73" s="230"/>
      <c r="AI73" s="230"/>
      <c r="AJ73" s="230"/>
    </row>
    <row r="74" spans="1:36" x14ac:dyDescent="0.25">
      <c r="A74" s="108">
        <v>3000</v>
      </c>
      <c r="B74" s="109" t="s">
        <v>31</v>
      </c>
      <c r="C74" s="155" t="s">
        <v>49</v>
      </c>
      <c r="D74" s="42" t="s">
        <v>48</v>
      </c>
      <c r="E74" s="103" t="s">
        <v>49</v>
      </c>
      <c r="F74" s="42" t="s">
        <v>48</v>
      </c>
      <c r="G74" s="99" t="s">
        <v>64</v>
      </c>
      <c r="H74" s="14"/>
      <c r="I74" s="17">
        <f ca="1">SUM(I79,I84)</f>
        <v>0</v>
      </c>
      <c r="J74" s="17">
        <f t="shared" ref="J74:AF74" ca="1" si="155">SUM(J79,J84)</f>
        <v>0</v>
      </c>
      <c r="K74" s="17">
        <f t="shared" ca="1" si="155"/>
        <v>0</v>
      </c>
      <c r="L74" s="17">
        <f t="shared" ca="1" si="155"/>
        <v>0</v>
      </c>
      <c r="M74" s="17">
        <f t="shared" ca="1" si="155"/>
        <v>0</v>
      </c>
      <c r="N74" s="17">
        <f t="shared" ca="1" si="155"/>
        <v>0</v>
      </c>
      <c r="O74" s="17">
        <f t="shared" ca="1" si="155"/>
        <v>0</v>
      </c>
      <c r="P74" s="17">
        <f t="shared" ca="1" si="155"/>
        <v>0</v>
      </c>
      <c r="Q74" s="17">
        <f t="shared" ca="1" si="155"/>
        <v>0</v>
      </c>
      <c r="R74" s="17">
        <f t="shared" ca="1" si="155"/>
        <v>0</v>
      </c>
      <c r="S74" s="17">
        <f t="shared" ca="1" si="155"/>
        <v>0</v>
      </c>
      <c r="T74" s="17">
        <f t="shared" ca="1" si="155"/>
        <v>0</v>
      </c>
      <c r="U74" s="17">
        <f t="shared" ca="1" si="155"/>
        <v>0</v>
      </c>
      <c r="V74" s="17">
        <f t="shared" ca="1" si="155"/>
        <v>0</v>
      </c>
      <c r="W74" s="17">
        <f t="shared" ca="1" si="155"/>
        <v>0</v>
      </c>
      <c r="X74" s="17">
        <f t="shared" ca="1" si="155"/>
        <v>0</v>
      </c>
      <c r="Y74" s="17">
        <f t="shared" ca="1" si="155"/>
        <v>0</v>
      </c>
      <c r="Z74" s="17">
        <f t="shared" ca="1" si="155"/>
        <v>0</v>
      </c>
      <c r="AA74" s="17">
        <f t="shared" ca="1" si="155"/>
        <v>0</v>
      </c>
      <c r="AB74" s="17">
        <f t="shared" ca="1" si="155"/>
        <v>0</v>
      </c>
      <c r="AC74" s="17">
        <f t="shared" ca="1" si="155"/>
        <v>0</v>
      </c>
      <c r="AD74" s="17">
        <f t="shared" ca="1" si="155"/>
        <v>0</v>
      </c>
      <c r="AE74" s="17">
        <f t="shared" ca="1" si="155"/>
        <v>0</v>
      </c>
      <c r="AF74" s="17">
        <f t="shared" ca="1" si="155"/>
        <v>0</v>
      </c>
      <c r="AG74" s="230"/>
      <c r="AH74" s="230"/>
      <c r="AI74" s="230"/>
      <c r="AJ74" s="230"/>
    </row>
    <row r="75" spans="1:36" x14ac:dyDescent="0.25">
      <c r="A75" s="108">
        <v>3000</v>
      </c>
      <c r="B75" s="109" t="s">
        <v>31</v>
      </c>
      <c r="C75" s="155" t="s">
        <v>49</v>
      </c>
      <c r="D75" s="42" t="s">
        <v>48</v>
      </c>
      <c r="E75" s="103" t="s">
        <v>49</v>
      </c>
      <c r="F75" s="42" t="s">
        <v>48</v>
      </c>
      <c r="G75" s="106" t="s">
        <v>61</v>
      </c>
      <c r="H75" s="42"/>
      <c r="I75" s="97">
        <f ca="1">I73</f>
        <v>220</v>
      </c>
      <c r="J75" s="97">
        <f ca="1">J73</f>
        <v>320</v>
      </c>
      <c r="K75" s="97">
        <f ca="1">MAX(MIN(K72,K68+J76-K74),0)</f>
        <v>310</v>
      </c>
      <c r="L75" s="97">
        <f t="shared" ref="L75:AF75" ca="1" si="156">MAX(MIN(L72,L68+K76-L74),0)</f>
        <v>210</v>
      </c>
      <c r="M75" s="97">
        <f t="shared" ca="1" si="156"/>
        <v>300</v>
      </c>
      <c r="N75" s="97">
        <f t="shared" ca="1" si="156"/>
        <v>330</v>
      </c>
      <c r="O75" s="97">
        <f t="shared" ca="1" si="156"/>
        <v>380</v>
      </c>
      <c r="P75" s="97">
        <f t="shared" ca="1" si="156"/>
        <v>270</v>
      </c>
      <c r="Q75" s="97">
        <f t="shared" ca="1" si="156"/>
        <v>170</v>
      </c>
      <c r="R75" s="97">
        <f t="shared" ca="1" si="156"/>
        <v>120</v>
      </c>
      <c r="S75" s="97">
        <f t="shared" ca="1" si="156"/>
        <v>100</v>
      </c>
      <c r="T75" s="97">
        <f t="shared" ca="1" si="156"/>
        <v>220</v>
      </c>
      <c r="U75" s="97">
        <f t="shared" ca="1" si="156"/>
        <v>300</v>
      </c>
      <c r="V75" s="97">
        <f t="shared" ca="1" si="156"/>
        <v>290</v>
      </c>
      <c r="W75" s="97">
        <f t="shared" ca="1" si="156"/>
        <v>260</v>
      </c>
      <c r="X75" s="97">
        <f t="shared" ca="1" si="156"/>
        <v>80</v>
      </c>
      <c r="Y75" s="97">
        <f t="shared" ca="1" si="156"/>
        <v>280</v>
      </c>
      <c r="Z75" s="97">
        <f t="shared" ca="1" si="156"/>
        <v>150</v>
      </c>
      <c r="AA75" s="97">
        <f t="shared" ca="1" si="156"/>
        <v>360</v>
      </c>
      <c r="AB75" s="97">
        <f t="shared" ca="1" si="156"/>
        <v>280</v>
      </c>
      <c r="AC75" s="97">
        <f t="shared" ca="1" si="156"/>
        <v>280</v>
      </c>
      <c r="AD75" s="97">
        <f t="shared" ca="1" si="156"/>
        <v>220</v>
      </c>
      <c r="AE75" s="97">
        <f t="shared" ca="1" si="156"/>
        <v>20</v>
      </c>
      <c r="AF75" s="97">
        <f t="shared" ca="1" si="156"/>
        <v>30</v>
      </c>
      <c r="AG75" s="250"/>
      <c r="AH75" s="250"/>
      <c r="AI75" s="250"/>
      <c r="AJ75" s="250"/>
    </row>
    <row r="76" spans="1:36" x14ac:dyDescent="0.25">
      <c r="A76" s="108">
        <v>3000</v>
      </c>
      <c r="B76" s="109" t="s">
        <v>31</v>
      </c>
      <c r="C76" s="155" t="s">
        <v>49</v>
      </c>
      <c r="D76" s="42" t="s">
        <v>48</v>
      </c>
      <c r="E76" s="103" t="s">
        <v>49</v>
      </c>
      <c r="F76" s="42" t="s">
        <v>48</v>
      </c>
      <c r="G76" s="100" t="s">
        <v>37</v>
      </c>
      <c r="H76" s="92"/>
      <c r="I76" s="97">
        <f ca="1">H71+I70-I75-I74</f>
        <v>300</v>
      </c>
      <c r="J76" s="97">
        <f ca="1">I76+J70-J75-J74</f>
        <v>300</v>
      </c>
      <c r="K76" s="250">
        <f t="shared" ref="K76:AF76" ca="1" si="157">J76+K70-K75-K74</f>
        <v>300</v>
      </c>
      <c r="L76" s="250">
        <f t="shared" ca="1" si="157"/>
        <v>300</v>
      </c>
      <c r="M76" s="250">
        <f t="shared" ca="1" si="157"/>
        <v>300</v>
      </c>
      <c r="N76" s="250">
        <f t="shared" ca="1" si="157"/>
        <v>300</v>
      </c>
      <c r="O76" s="250">
        <f t="shared" ca="1" si="157"/>
        <v>300</v>
      </c>
      <c r="P76" s="250">
        <f t="shared" ca="1" si="157"/>
        <v>300</v>
      </c>
      <c r="Q76" s="250">
        <f t="shared" ca="1" si="157"/>
        <v>326</v>
      </c>
      <c r="R76" s="250">
        <f t="shared" ca="1" si="157"/>
        <v>457</v>
      </c>
      <c r="S76" s="250">
        <f t="shared" ca="1" si="157"/>
        <v>660</v>
      </c>
      <c r="T76" s="250">
        <f t="shared" ca="1" si="157"/>
        <v>613</v>
      </c>
      <c r="U76" s="250">
        <f t="shared" ca="1" si="157"/>
        <v>396</v>
      </c>
      <c r="V76" s="250">
        <f t="shared" ca="1" si="157"/>
        <v>387</v>
      </c>
      <c r="W76" s="250">
        <f t="shared" ca="1" si="157"/>
        <v>375</v>
      </c>
      <c r="X76" s="250">
        <f t="shared" ca="1" si="157"/>
        <v>554</v>
      </c>
      <c r="Y76" s="250">
        <f t="shared" ca="1" si="157"/>
        <v>463</v>
      </c>
      <c r="Z76" s="250">
        <f t="shared" ca="1" si="157"/>
        <v>432</v>
      </c>
      <c r="AA76" s="250">
        <f t="shared" ca="1" si="157"/>
        <v>328</v>
      </c>
      <c r="AB76" s="250">
        <f t="shared" ca="1" si="157"/>
        <v>427</v>
      </c>
      <c r="AC76" s="250">
        <f t="shared" ca="1" si="157"/>
        <v>325</v>
      </c>
      <c r="AD76" s="250">
        <f t="shared" ca="1" si="157"/>
        <v>428</v>
      </c>
      <c r="AE76" s="250">
        <f t="shared" ca="1" si="157"/>
        <v>539</v>
      </c>
      <c r="AF76" s="250">
        <f t="shared" ca="1" si="157"/>
        <v>647</v>
      </c>
      <c r="AG76" s="250"/>
      <c r="AH76" s="250"/>
      <c r="AI76" s="250"/>
      <c r="AJ76" s="250"/>
    </row>
    <row r="77" spans="1:36" x14ac:dyDescent="0.25">
      <c r="A77" s="108">
        <v>3000</v>
      </c>
      <c r="B77" s="109" t="s">
        <v>31</v>
      </c>
      <c r="C77" s="155" t="s">
        <v>50</v>
      </c>
      <c r="D77" s="116" t="s">
        <v>33</v>
      </c>
      <c r="E77" s="103" t="s">
        <v>49</v>
      </c>
      <c r="F77" s="42" t="s">
        <v>48</v>
      </c>
      <c r="G77" s="98" t="s">
        <v>57</v>
      </c>
      <c r="H77" s="14"/>
      <c r="I77" s="107">
        <f>France!J32</f>
        <v>70</v>
      </c>
      <c r="J77" s="107">
        <f>France!K32</f>
        <v>170</v>
      </c>
      <c r="K77" s="107">
        <f>France!L32</f>
        <v>110</v>
      </c>
      <c r="L77" s="107">
        <f>France!M32</f>
        <v>110</v>
      </c>
      <c r="M77" s="107">
        <f>France!N32</f>
        <v>150</v>
      </c>
      <c r="N77" s="107">
        <f>France!O32</f>
        <v>180</v>
      </c>
      <c r="O77" s="107">
        <f>France!P32</f>
        <v>80</v>
      </c>
      <c r="P77" s="107">
        <f>France!Q32</f>
        <v>120</v>
      </c>
      <c r="Q77" s="107">
        <f>France!R32</f>
        <v>20</v>
      </c>
      <c r="R77" s="107">
        <f>France!S32</f>
        <v>20</v>
      </c>
      <c r="S77" s="107">
        <f>France!T32</f>
        <v>50</v>
      </c>
      <c r="T77" s="107">
        <f>France!U32</f>
        <v>120</v>
      </c>
      <c r="U77" s="107">
        <f>France!V32</f>
        <v>150</v>
      </c>
      <c r="V77" s="107">
        <f>France!W32</f>
        <v>140</v>
      </c>
      <c r="W77" s="107">
        <f>France!X32</f>
        <v>160</v>
      </c>
      <c r="X77" s="107">
        <f>France!Y32</f>
        <v>30</v>
      </c>
      <c r="Y77" s="107">
        <f>France!Z32</f>
        <v>30</v>
      </c>
      <c r="Z77" s="107">
        <f>France!AA32</f>
        <v>0</v>
      </c>
      <c r="AA77" s="107">
        <f>France!AB32</f>
        <v>110</v>
      </c>
      <c r="AB77" s="107">
        <f>France!AC32</f>
        <v>80</v>
      </c>
      <c r="AC77" s="107">
        <f>France!AD32</f>
        <v>180</v>
      </c>
      <c r="AD77" s="107">
        <f>France!AE32</f>
        <v>170</v>
      </c>
      <c r="AE77" s="107">
        <f>France!AF32</f>
        <v>20</v>
      </c>
      <c r="AF77" s="107">
        <f>France!AG32</f>
        <v>30</v>
      </c>
      <c r="AG77" s="251"/>
      <c r="AH77" s="251"/>
      <c r="AI77" s="251"/>
      <c r="AJ77" s="251"/>
    </row>
    <row r="78" spans="1:36" x14ac:dyDescent="0.25">
      <c r="A78" s="108">
        <v>3000</v>
      </c>
      <c r="B78" s="109" t="s">
        <v>31</v>
      </c>
      <c r="C78" s="155" t="s">
        <v>49</v>
      </c>
      <c r="D78" s="42" t="s">
        <v>48</v>
      </c>
      <c r="E78" s="103" t="s">
        <v>50</v>
      </c>
      <c r="F78" s="116" t="s">
        <v>33</v>
      </c>
      <c r="G78" s="99" t="s">
        <v>54</v>
      </c>
      <c r="H78" s="14"/>
      <c r="I78" s="15">
        <f>MJ_Initialisation!D24</f>
        <v>70</v>
      </c>
      <c r="J78" s="15">
        <f>MJ_Initialisation!E24</f>
        <v>170</v>
      </c>
      <c r="K78" s="15">
        <f>MJ_Initialisation!F24</f>
        <v>110</v>
      </c>
      <c r="L78" s="15">
        <f>MJ_Initialisation!G24</f>
        <v>110</v>
      </c>
      <c r="M78" s="15">
        <f>MJ_Initialisation!H24</f>
        <v>150</v>
      </c>
      <c r="N78" s="15">
        <f>MJ_Initialisation!I24</f>
        <v>180</v>
      </c>
      <c r="O78" s="15">
        <f>MJ_Initialisation!J24</f>
        <v>80</v>
      </c>
      <c r="P78" s="15">
        <f>MJ_Initialisation!K24</f>
        <v>120</v>
      </c>
      <c r="Q78" s="15">
        <f>MJ_Initialisation!L24</f>
        <v>20</v>
      </c>
      <c r="R78" s="15">
        <f>MJ_Initialisation!M24</f>
        <v>20</v>
      </c>
      <c r="S78" s="15">
        <f>MJ_Initialisation!N24</f>
        <v>50</v>
      </c>
      <c r="T78" s="15">
        <f>MJ_Initialisation!O24</f>
        <v>120</v>
      </c>
      <c r="U78" s="15">
        <f>MJ_Initialisation!P24</f>
        <v>150</v>
      </c>
      <c r="V78" s="15">
        <f>MJ_Initialisation!Q24</f>
        <v>140</v>
      </c>
      <c r="W78" s="15">
        <f>MJ_Initialisation!R24</f>
        <v>160</v>
      </c>
      <c r="X78" s="15">
        <f>MJ_Initialisation!S24</f>
        <v>30</v>
      </c>
      <c r="Y78" s="15">
        <f>MJ_Initialisation!T24</f>
        <v>30</v>
      </c>
      <c r="Z78" s="15">
        <f>MJ_Initialisation!U24</f>
        <v>0</v>
      </c>
      <c r="AA78" s="15">
        <f>MJ_Initialisation!V24</f>
        <v>110</v>
      </c>
      <c r="AB78" s="15">
        <f>MJ_Initialisation!W24</f>
        <v>80</v>
      </c>
      <c r="AC78" s="15">
        <f>MJ_Initialisation!X24</f>
        <v>180</v>
      </c>
      <c r="AD78" s="15">
        <f>MJ_Initialisation!Y24</f>
        <v>170</v>
      </c>
      <c r="AE78" s="15">
        <f>MJ_Initialisation!Z24</f>
        <v>20</v>
      </c>
      <c r="AF78" s="15">
        <f>MJ_Initialisation!AA24</f>
        <v>30</v>
      </c>
      <c r="AG78" s="228"/>
      <c r="AH78" s="228"/>
      <c r="AI78" s="228"/>
      <c r="AJ78" s="228"/>
    </row>
    <row r="79" spans="1:36" x14ac:dyDescent="0.25">
      <c r="A79" s="108">
        <v>3000</v>
      </c>
      <c r="B79" s="109" t="s">
        <v>31</v>
      </c>
      <c r="C79" s="155" t="s">
        <v>49</v>
      </c>
      <c r="D79" s="42" t="s">
        <v>48</v>
      </c>
      <c r="E79" s="103" t="s">
        <v>50</v>
      </c>
      <c r="F79" s="116" t="s">
        <v>33</v>
      </c>
      <c r="G79" s="105" t="s">
        <v>55</v>
      </c>
      <c r="H79" s="14"/>
      <c r="I79" s="15">
        <f>MJ_Initialisation!D25</f>
        <v>0</v>
      </c>
      <c r="J79" s="15">
        <f>MJ_Initialisation!E25</f>
        <v>0</v>
      </c>
      <c r="K79" s="15">
        <f>MJ_Initialisation!F25</f>
        <v>0</v>
      </c>
      <c r="L79" s="15">
        <f>MJ_Initialisation!G25</f>
        <v>0</v>
      </c>
      <c r="M79" s="15">
        <f>MJ_Initialisation!H25</f>
        <v>0</v>
      </c>
      <c r="N79" s="15">
        <f>MJ_Initialisation!I25</f>
        <v>0</v>
      </c>
      <c r="O79" s="15">
        <f>MJ_Initialisation!J25</f>
        <v>0</v>
      </c>
      <c r="P79" s="15">
        <f>MJ_Initialisation!K25</f>
        <v>0</v>
      </c>
      <c r="Q79" s="15">
        <f>MJ_Initialisation!L25</f>
        <v>0</v>
      </c>
      <c r="R79" s="15">
        <f>MJ_Initialisation!M25</f>
        <v>0</v>
      </c>
      <c r="S79" s="15">
        <f>MJ_Initialisation!N25</f>
        <v>0</v>
      </c>
      <c r="T79" s="15">
        <f>MJ_Initialisation!O25</f>
        <v>0</v>
      </c>
      <c r="U79" s="15">
        <f>MJ_Initialisation!P25</f>
        <v>0</v>
      </c>
      <c r="V79" s="15">
        <f>MJ_Initialisation!Q25</f>
        <v>0</v>
      </c>
      <c r="W79" s="15">
        <f>MJ_Initialisation!R25</f>
        <v>0</v>
      </c>
      <c r="X79" s="15">
        <f>MJ_Initialisation!S25</f>
        <v>0</v>
      </c>
      <c r="Y79" s="15">
        <f>MJ_Initialisation!T25</f>
        <v>0</v>
      </c>
      <c r="Z79" s="15">
        <f>MJ_Initialisation!U25</f>
        <v>0</v>
      </c>
      <c r="AA79" s="15">
        <f>MJ_Initialisation!V25</f>
        <v>0</v>
      </c>
      <c r="AB79" s="15">
        <f>MJ_Initialisation!W25</f>
        <v>0</v>
      </c>
      <c r="AC79" s="15">
        <f>MJ_Initialisation!X25</f>
        <v>0</v>
      </c>
      <c r="AD79" s="15">
        <f>MJ_Initialisation!Y25</f>
        <v>0</v>
      </c>
      <c r="AE79" s="15">
        <f>MJ_Initialisation!Z25</f>
        <v>0</v>
      </c>
      <c r="AF79" s="15">
        <f>MJ_Initialisation!AA25</f>
        <v>0</v>
      </c>
      <c r="AG79" s="228"/>
      <c r="AH79" s="228"/>
      <c r="AI79" s="228"/>
      <c r="AJ79" s="228"/>
    </row>
    <row r="80" spans="1:36" x14ac:dyDescent="0.25">
      <c r="A80" s="108">
        <v>3000</v>
      </c>
      <c r="B80" s="109" t="s">
        <v>31</v>
      </c>
      <c r="C80" s="155" t="s">
        <v>49</v>
      </c>
      <c r="D80" s="42" t="s">
        <v>48</v>
      </c>
      <c r="E80" s="103" t="s">
        <v>50</v>
      </c>
      <c r="F80" s="116" t="s">
        <v>33</v>
      </c>
      <c r="G80" s="106" t="s">
        <v>56</v>
      </c>
      <c r="H80" s="14"/>
      <c r="I80" s="246">
        <f>I78</f>
        <v>70</v>
      </c>
      <c r="J80" s="246">
        <f>J78</f>
        <v>170</v>
      </c>
      <c r="K80" s="246">
        <f ca="1">IF(K79=0,IF(K$72&gt;0,MAX(ROUND((((K77+J81)/K$72)*K$75),0),0),0),K79)</f>
        <v>110</v>
      </c>
      <c r="L80" s="246">
        <f t="shared" ref="L80:AF80" ca="1" si="158">IF(L79=0,IF(L$72&gt;0,MAX(ROUND((((L77+K81)/L$72)*L$75),0),0),0),L79)</f>
        <v>110</v>
      </c>
      <c r="M80" s="246">
        <f t="shared" ca="1" si="158"/>
        <v>150</v>
      </c>
      <c r="N80" s="246">
        <f t="shared" ca="1" si="158"/>
        <v>180</v>
      </c>
      <c r="O80" s="246">
        <f t="shared" ca="1" si="158"/>
        <v>80</v>
      </c>
      <c r="P80" s="246">
        <f t="shared" ca="1" si="158"/>
        <v>120</v>
      </c>
      <c r="Q80" s="246">
        <f t="shared" ca="1" si="158"/>
        <v>20</v>
      </c>
      <c r="R80" s="246">
        <f t="shared" ca="1" si="158"/>
        <v>20</v>
      </c>
      <c r="S80" s="246">
        <f t="shared" ca="1" si="158"/>
        <v>50</v>
      </c>
      <c r="T80" s="246">
        <f t="shared" ca="1" si="158"/>
        <v>120</v>
      </c>
      <c r="U80" s="246">
        <f t="shared" ca="1" si="158"/>
        <v>150</v>
      </c>
      <c r="V80" s="246">
        <f t="shared" ca="1" si="158"/>
        <v>140</v>
      </c>
      <c r="W80" s="246">
        <f t="shared" ca="1" si="158"/>
        <v>160</v>
      </c>
      <c r="X80" s="246">
        <f t="shared" ca="1" si="158"/>
        <v>30</v>
      </c>
      <c r="Y80" s="246">
        <f t="shared" ca="1" si="158"/>
        <v>30</v>
      </c>
      <c r="Z80" s="246">
        <f t="shared" ca="1" si="158"/>
        <v>0</v>
      </c>
      <c r="AA80" s="246">
        <f t="shared" ca="1" si="158"/>
        <v>110</v>
      </c>
      <c r="AB80" s="246">
        <f t="shared" ca="1" si="158"/>
        <v>80</v>
      </c>
      <c r="AC80" s="246">
        <f t="shared" ca="1" si="158"/>
        <v>180</v>
      </c>
      <c r="AD80" s="246">
        <f t="shared" ca="1" si="158"/>
        <v>170</v>
      </c>
      <c r="AE80" s="246">
        <f t="shared" ca="1" si="158"/>
        <v>20</v>
      </c>
      <c r="AF80" s="246">
        <f t="shared" ca="1" si="158"/>
        <v>30</v>
      </c>
      <c r="AG80" s="246"/>
      <c r="AH80" s="246"/>
      <c r="AI80" s="246"/>
      <c r="AJ80" s="246"/>
    </row>
    <row r="81" spans="1:36" x14ac:dyDescent="0.25">
      <c r="A81" s="108">
        <v>3000</v>
      </c>
      <c r="B81" s="109" t="s">
        <v>31</v>
      </c>
      <c r="C81" s="155" t="s">
        <v>49</v>
      </c>
      <c r="D81" s="42" t="s">
        <v>48</v>
      </c>
      <c r="E81" s="103" t="s">
        <v>50</v>
      </c>
      <c r="F81" s="116" t="s">
        <v>33</v>
      </c>
      <c r="G81" s="100" t="s">
        <v>60</v>
      </c>
      <c r="H81" s="14"/>
      <c r="I81" s="87">
        <f>I77+H81-I80</f>
        <v>0</v>
      </c>
      <c r="J81" s="87">
        <f t="shared" ref="J81:AF81" si="159">J77+I81-J80</f>
        <v>0</v>
      </c>
      <c r="K81" s="87">
        <f t="shared" ca="1" si="159"/>
        <v>0</v>
      </c>
      <c r="L81" s="87">
        <f t="shared" ca="1" si="159"/>
        <v>0</v>
      </c>
      <c r="M81" s="87">
        <f t="shared" ca="1" si="159"/>
        <v>0</v>
      </c>
      <c r="N81" s="87">
        <f t="shared" ca="1" si="159"/>
        <v>0</v>
      </c>
      <c r="O81" s="87">
        <f t="shared" ca="1" si="159"/>
        <v>0</v>
      </c>
      <c r="P81" s="87">
        <f t="shared" ca="1" si="159"/>
        <v>0</v>
      </c>
      <c r="Q81" s="87">
        <f t="shared" ca="1" si="159"/>
        <v>0</v>
      </c>
      <c r="R81" s="87">
        <f t="shared" ca="1" si="159"/>
        <v>0</v>
      </c>
      <c r="S81" s="87">
        <f t="shared" ca="1" si="159"/>
        <v>0</v>
      </c>
      <c r="T81" s="87">
        <f t="shared" ca="1" si="159"/>
        <v>0</v>
      </c>
      <c r="U81" s="87">
        <f t="shared" ca="1" si="159"/>
        <v>0</v>
      </c>
      <c r="V81" s="87">
        <f t="shared" ca="1" si="159"/>
        <v>0</v>
      </c>
      <c r="W81" s="87">
        <f t="shared" ca="1" si="159"/>
        <v>0</v>
      </c>
      <c r="X81" s="87">
        <f t="shared" ca="1" si="159"/>
        <v>0</v>
      </c>
      <c r="Y81" s="87">
        <f t="shared" ca="1" si="159"/>
        <v>0</v>
      </c>
      <c r="Z81" s="87">
        <f t="shared" ca="1" si="159"/>
        <v>0</v>
      </c>
      <c r="AA81" s="87">
        <f t="shared" ca="1" si="159"/>
        <v>0</v>
      </c>
      <c r="AB81" s="87">
        <f t="shared" ca="1" si="159"/>
        <v>0</v>
      </c>
      <c r="AC81" s="87">
        <f t="shared" ca="1" si="159"/>
        <v>0</v>
      </c>
      <c r="AD81" s="87">
        <f t="shared" ca="1" si="159"/>
        <v>0</v>
      </c>
      <c r="AE81" s="87">
        <f t="shared" ca="1" si="159"/>
        <v>0</v>
      </c>
      <c r="AF81" s="87">
        <f t="shared" ca="1" si="159"/>
        <v>0</v>
      </c>
      <c r="AG81" s="246"/>
      <c r="AH81" s="246"/>
      <c r="AI81" s="246"/>
      <c r="AJ81" s="246"/>
    </row>
    <row r="82" spans="1:36" x14ac:dyDescent="0.25">
      <c r="A82" s="108">
        <v>3000</v>
      </c>
      <c r="B82" s="109" t="s">
        <v>31</v>
      </c>
      <c r="C82" s="103" t="s">
        <v>52</v>
      </c>
      <c r="D82" s="118" t="s">
        <v>36</v>
      </c>
      <c r="E82" s="103" t="s">
        <v>49</v>
      </c>
      <c r="F82" s="42" t="s">
        <v>48</v>
      </c>
      <c r="G82" s="98" t="s">
        <v>57</v>
      </c>
      <c r="H82" s="14"/>
      <c r="I82" s="15">
        <f ca="1">OFFSET(Chili!J22,0,2)</f>
        <v>150</v>
      </c>
      <c r="J82" s="15">
        <f ca="1">OFFSET(Chili!K22,0,2)</f>
        <v>150</v>
      </c>
      <c r="K82" s="15">
        <f ca="1">OFFSET(Chili!L22,0,2)</f>
        <v>200</v>
      </c>
      <c r="L82" s="15">
        <f ca="1">OFFSET(Chili!M22,0,2)</f>
        <v>100</v>
      </c>
      <c r="M82" s="15">
        <f ca="1">OFFSET(Chili!N22,0,2)</f>
        <v>150</v>
      </c>
      <c r="N82" s="15">
        <f ca="1">OFFSET(Chili!O22,0,2)</f>
        <v>150</v>
      </c>
      <c r="O82" s="15">
        <f ca="1">OFFSET(Chili!P22,0,2)</f>
        <v>300</v>
      </c>
      <c r="P82" s="15">
        <f ca="1">OFFSET(Chili!Q22,0,2)</f>
        <v>150</v>
      </c>
      <c r="Q82" s="15">
        <f ca="1">OFFSET(Chili!R22,0,2)</f>
        <v>150</v>
      </c>
      <c r="R82" s="15">
        <f ca="1">OFFSET(Chili!S22,0,2)</f>
        <v>100</v>
      </c>
      <c r="S82" s="15">
        <f ca="1">OFFSET(Chili!T22,0,2)</f>
        <v>50</v>
      </c>
      <c r="T82" s="15">
        <f ca="1">OFFSET(Chili!U22,0,2)</f>
        <v>100</v>
      </c>
      <c r="U82" s="15">
        <f ca="1">OFFSET(Chili!V22,0,2)</f>
        <v>150</v>
      </c>
      <c r="V82" s="15">
        <f ca="1">OFFSET(Chili!W22,0,2)</f>
        <v>150</v>
      </c>
      <c r="W82" s="15">
        <f ca="1">OFFSET(Chili!X22,0,2)</f>
        <v>100</v>
      </c>
      <c r="X82" s="15">
        <f ca="1">OFFSET(Chili!Y22,0,2)</f>
        <v>50</v>
      </c>
      <c r="Y82" s="15">
        <f ca="1">OFFSET(Chili!Z22,0,2)</f>
        <v>250</v>
      </c>
      <c r="Z82" s="15">
        <f ca="1">OFFSET(Chili!AA22,0,2)</f>
        <v>150</v>
      </c>
      <c r="AA82" s="15">
        <f ca="1">OFFSET(Chili!AB22,0,2)</f>
        <v>250</v>
      </c>
      <c r="AB82" s="15">
        <f ca="1">OFFSET(Chili!AC22,0,2)</f>
        <v>200</v>
      </c>
      <c r="AC82" s="15">
        <f ca="1">OFFSET(Chili!AD22,0,2)</f>
        <v>100</v>
      </c>
      <c r="AD82" s="15">
        <f ca="1">OFFSET(Chili!AE22,0,2)</f>
        <v>50</v>
      </c>
      <c r="AE82" s="15">
        <f ca="1">OFFSET(Chili!AF22,0,2)</f>
        <v>0</v>
      </c>
      <c r="AF82" s="15">
        <f ca="1">OFFSET(Chili!AG22,0,2)</f>
        <v>0</v>
      </c>
      <c r="AG82" s="228"/>
      <c r="AH82" s="228"/>
      <c r="AI82" s="228"/>
      <c r="AJ82" s="228"/>
    </row>
    <row r="83" spans="1:36" x14ac:dyDescent="0.25">
      <c r="A83" s="108">
        <v>3000</v>
      </c>
      <c r="B83" s="109" t="s">
        <v>31</v>
      </c>
      <c r="C83" s="155" t="s">
        <v>49</v>
      </c>
      <c r="D83" s="42" t="s">
        <v>48</v>
      </c>
      <c r="E83" s="103" t="s">
        <v>52</v>
      </c>
      <c r="F83" s="118" t="s">
        <v>36</v>
      </c>
      <c r="G83" s="99" t="s">
        <v>54</v>
      </c>
      <c r="H83" s="14"/>
      <c r="I83" s="15">
        <f ca="1">OFFSET(MJ_Initialisation!D34,0,2)</f>
        <v>150</v>
      </c>
      <c r="J83" s="15">
        <f ca="1">OFFSET(MJ_Initialisation!E34,0,2)</f>
        <v>150</v>
      </c>
      <c r="K83" s="15">
        <f ca="1">OFFSET(MJ_Initialisation!F34,0,2)</f>
        <v>200</v>
      </c>
      <c r="L83" s="15">
        <f ca="1">OFFSET(MJ_Initialisation!G34,0,2)</f>
        <v>100</v>
      </c>
      <c r="M83" s="15">
        <f ca="1">OFFSET(MJ_Initialisation!H34,0,2)</f>
        <v>150</v>
      </c>
      <c r="N83" s="15">
        <f ca="1">OFFSET(MJ_Initialisation!I34,0,2)</f>
        <v>150</v>
      </c>
      <c r="O83" s="15">
        <f ca="1">OFFSET(MJ_Initialisation!J34,0,2)</f>
        <v>300</v>
      </c>
      <c r="P83" s="15">
        <f ca="1">OFFSET(MJ_Initialisation!K34,0,2)</f>
        <v>150</v>
      </c>
      <c r="Q83" s="15">
        <f ca="1">OFFSET(MJ_Initialisation!L34,0,2)</f>
        <v>150</v>
      </c>
      <c r="R83" s="15">
        <f ca="1">OFFSET(MJ_Initialisation!M34,0,2)</f>
        <v>100</v>
      </c>
      <c r="S83" s="15">
        <f ca="1">OFFSET(MJ_Initialisation!N34,0,2)</f>
        <v>50</v>
      </c>
      <c r="T83" s="15">
        <f ca="1">OFFSET(MJ_Initialisation!O34,0,2)</f>
        <v>100</v>
      </c>
      <c r="U83" s="15">
        <f ca="1">OFFSET(MJ_Initialisation!P34,0,2)</f>
        <v>150</v>
      </c>
      <c r="V83" s="15">
        <f ca="1">OFFSET(MJ_Initialisation!Q34,0,2)</f>
        <v>150</v>
      </c>
      <c r="W83" s="15">
        <f ca="1">OFFSET(MJ_Initialisation!R34,0,2)</f>
        <v>100</v>
      </c>
      <c r="X83" s="15">
        <f ca="1">OFFSET(MJ_Initialisation!S34,0,2)</f>
        <v>50</v>
      </c>
      <c r="Y83" s="15">
        <f ca="1">OFFSET(MJ_Initialisation!T34,0,2)</f>
        <v>250</v>
      </c>
      <c r="Z83" s="15">
        <f ca="1">OFFSET(MJ_Initialisation!U34,0,2)</f>
        <v>150</v>
      </c>
      <c r="AA83" s="15">
        <f ca="1">OFFSET(MJ_Initialisation!V34,0,2)</f>
        <v>250</v>
      </c>
      <c r="AB83" s="15">
        <f ca="1">OFFSET(MJ_Initialisation!W34,0,2)</f>
        <v>200</v>
      </c>
      <c r="AC83" s="15">
        <f ca="1">OFFSET(MJ_Initialisation!X34,0,2)</f>
        <v>100</v>
      </c>
      <c r="AD83" s="15">
        <f ca="1">OFFSET(MJ_Initialisation!Y34,0,2)</f>
        <v>50</v>
      </c>
      <c r="AE83" s="15">
        <f ca="1">OFFSET(MJ_Initialisation!Z34,0,2)</f>
        <v>0</v>
      </c>
      <c r="AF83" s="15">
        <f ca="1">OFFSET(MJ_Initialisation!AA34,0,2)</f>
        <v>0</v>
      </c>
      <c r="AG83" s="228"/>
      <c r="AH83" s="228"/>
      <c r="AI83" s="228"/>
      <c r="AJ83" s="228"/>
    </row>
    <row r="84" spans="1:36" x14ac:dyDescent="0.25">
      <c r="A84" s="108">
        <v>3000</v>
      </c>
      <c r="B84" s="109" t="s">
        <v>31</v>
      </c>
      <c r="C84" s="155" t="s">
        <v>49</v>
      </c>
      <c r="D84" s="42" t="s">
        <v>48</v>
      </c>
      <c r="E84" s="103" t="s">
        <v>52</v>
      </c>
      <c r="F84" s="118" t="s">
        <v>36</v>
      </c>
      <c r="G84" s="105" t="s">
        <v>55</v>
      </c>
      <c r="H84" s="14"/>
      <c r="I84" s="15">
        <f ca="1">OFFSET(MJ_Initialisation!D35,0,2)</f>
        <v>0</v>
      </c>
      <c r="J84" s="15">
        <f ca="1">OFFSET(MJ_Initialisation!E35,0,2)</f>
        <v>0</v>
      </c>
      <c r="K84" s="15">
        <f ca="1">OFFSET(MJ_Initialisation!F35,0,2)</f>
        <v>0</v>
      </c>
      <c r="L84" s="15">
        <f ca="1">OFFSET(MJ_Initialisation!G35,0,2)</f>
        <v>0</v>
      </c>
      <c r="M84" s="15">
        <f ca="1">OFFSET(MJ_Initialisation!H35,0,2)</f>
        <v>0</v>
      </c>
      <c r="N84" s="15">
        <f ca="1">OFFSET(MJ_Initialisation!I35,0,2)</f>
        <v>0</v>
      </c>
      <c r="O84" s="15">
        <f ca="1">OFFSET(MJ_Initialisation!J35,0,2)</f>
        <v>0</v>
      </c>
      <c r="P84" s="15">
        <f ca="1">OFFSET(MJ_Initialisation!K35,0,2)</f>
        <v>0</v>
      </c>
      <c r="Q84" s="15">
        <f ca="1">OFFSET(MJ_Initialisation!L35,0,2)</f>
        <v>0</v>
      </c>
      <c r="R84" s="15">
        <f ca="1">OFFSET(MJ_Initialisation!M35,0,2)</f>
        <v>0</v>
      </c>
      <c r="S84" s="15">
        <f ca="1">OFFSET(MJ_Initialisation!N35,0,2)</f>
        <v>0</v>
      </c>
      <c r="T84" s="15">
        <f ca="1">OFFSET(MJ_Initialisation!O35,0,2)</f>
        <v>0</v>
      </c>
      <c r="U84" s="15">
        <f ca="1">OFFSET(MJ_Initialisation!P35,0,2)</f>
        <v>0</v>
      </c>
      <c r="V84" s="15">
        <f ca="1">OFFSET(MJ_Initialisation!Q35,0,2)</f>
        <v>0</v>
      </c>
      <c r="W84" s="15">
        <f ca="1">OFFSET(MJ_Initialisation!R35,0,2)</f>
        <v>0</v>
      </c>
      <c r="X84" s="15">
        <f ca="1">OFFSET(MJ_Initialisation!S35,0,2)</f>
        <v>0</v>
      </c>
      <c r="Y84" s="15">
        <f ca="1">OFFSET(MJ_Initialisation!T35,0,2)</f>
        <v>0</v>
      </c>
      <c r="Z84" s="15">
        <f ca="1">OFFSET(MJ_Initialisation!U35,0,2)</f>
        <v>0</v>
      </c>
      <c r="AA84" s="15">
        <f ca="1">OFFSET(MJ_Initialisation!V35,0,2)</f>
        <v>0</v>
      </c>
      <c r="AB84" s="15">
        <f ca="1">OFFSET(MJ_Initialisation!W35,0,2)</f>
        <v>0</v>
      </c>
      <c r="AC84" s="15">
        <f ca="1">OFFSET(MJ_Initialisation!X35,0,2)</f>
        <v>0</v>
      </c>
      <c r="AD84" s="15">
        <f ca="1">OFFSET(MJ_Initialisation!Y35,0,2)</f>
        <v>0</v>
      </c>
      <c r="AE84" s="15">
        <f ca="1">OFFSET(MJ_Initialisation!Z35,0,2)</f>
        <v>0</v>
      </c>
      <c r="AF84" s="15">
        <f ca="1">OFFSET(MJ_Initialisation!AA35,0,2)</f>
        <v>0</v>
      </c>
      <c r="AG84" s="228"/>
      <c r="AH84" s="228"/>
      <c r="AI84" s="228"/>
      <c r="AJ84" s="228"/>
    </row>
    <row r="85" spans="1:36" x14ac:dyDescent="0.25">
      <c r="A85" s="108">
        <v>3000</v>
      </c>
      <c r="B85" s="109" t="s">
        <v>31</v>
      </c>
      <c r="C85" s="155" t="s">
        <v>49</v>
      </c>
      <c r="D85" s="42" t="s">
        <v>48</v>
      </c>
      <c r="E85" s="103" t="s">
        <v>52</v>
      </c>
      <c r="F85" s="118" t="s">
        <v>36</v>
      </c>
      <c r="G85" s="106" t="s">
        <v>56</v>
      </c>
      <c r="H85" s="14"/>
      <c r="I85" s="246">
        <f ca="1">I83</f>
        <v>150</v>
      </c>
      <c r="J85" s="246">
        <f ca="1">J83</f>
        <v>150</v>
      </c>
      <c r="K85" s="246">
        <f ca="1">IF(K84=0,IF(K$72&gt;0,MAX(ROUND((((K82+J86)/K$72)*K$75),0),0),0),K84)</f>
        <v>200</v>
      </c>
      <c r="L85" s="246">
        <f t="shared" ref="L85" ca="1" si="160">IF(L84=0,IF(L$72&gt;0,MAX(ROUND((((L82+K86)/L$72)*L$75),0),0),0),L84)</f>
        <v>100</v>
      </c>
      <c r="M85" s="246">
        <f t="shared" ref="M85" ca="1" si="161">IF(M84=0,IF(M$72&gt;0,MAX(ROUND((((M82+L86)/M$72)*M$75),0),0),0),M84)</f>
        <v>150</v>
      </c>
      <c r="N85" s="246">
        <f t="shared" ref="N85" ca="1" si="162">IF(N84=0,IF(N$72&gt;0,MAX(ROUND((((N82+M86)/N$72)*N$75),0),0),0),N84)</f>
        <v>150</v>
      </c>
      <c r="O85" s="246">
        <f t="shared" ref="O85" ca="1" si="163">IF(O84=0,IF(O$72&gt;0,MAX(ROUND((((O82+N86)/O$72)*O$75),0),0),0),O84)</f>
        <v>300</v>
      </c>
      <c r="P85" s="246">
        <f t="shared" ref="P85" ca="1" si="164">IF(P84=0,IF(P$72&gt;0,MAX(ROUND((((P82+O86)/P$72)*P$75),0),0),0),P84)</f>
        <v>150</v>
      </c>
      <c r="Q85" s="246">
        <f t="shared" ref="Q85" ca="1" si="165">IF(Q84=0,IF(Q$72&gt;0,MAX(ROUND((((Q82+P86)/Q$72)*Q$75),0),0),0),Q84)</f>
        <v>150</v>
      </c>
      <c r="R85" s="246">
        <f t="shared" ref="R85" ca="1" si="166">IF(R84=0,IF(R$72&gt;0,MAX(ROUND((((R82+Q86)/R$72)*R$75),0),0),0),R84)</f>
        <v>100</v>
      </c>
      <c r="S85" s="246">
        <f t="shared" ref="S85" ca="1" si="167">IF(S84=0,IF(S$72&gt;0,MAX(ROUND((((S82+R86)/S$72)*S$75),0),0),0),S84)</f>
        <v>50</v>
      </c>
      <c r="T85" s="246">
        <f t="shared" ref="T85" ca="1" si="168">IF(T84=0,IF(T$72&gt;0,MAX(ROUND((((T82+S86)/T$72)*T$75),0),0),0),T84)</f>
        <v>100</v>
      </c>
      <c r="U85" s="246">
        <f t="shared" ref="U85" ca="1" si="169">IF(U84=0,IF(U$72&gt;0,MAX(ROUND((((U82+T86)/U$72)*U$75),0),0),0),U84)</f>
        <v>150</v>
      </c>
      <c r="V85" s="246">
        <f t="shared" ref="V85" ca="1" si="170">IF(V84=0,IF(V$72&gt;0,MAX(ROUND((((V82+U86)/V$72)*V$75),0),0),0),V84)</f>
        <v>150</v>
      </c>
      <c r="W85" s="246">
        <f t="shared" ref="W85" ca="1" si="171">IF(W84=0,IF(W$72&gt;0,MAX(ROUND((((W82+V86)/W$72)*W$75),0),0),0),W84)</f>
        <v>100</v>
      </c>
      <c r="X85" s="246">
        <f t="shared" ref="X85" ca="1" si="172">IF(X84=0,IF(X$72&gt;0,MAX(ROUND((((X82+W86)/X$72)*X$75),0),0),0),X84)</f>
        <v>50</v>
      </c>
      <c r="Y85" s="246">
        <f t="shared" ref="Y85" ca="1" si="173">IF(Y84=0,IF(Y$72&gt;0,MAX(ROUND((((Y82+X86)/Y$72)*Y$75),0),0),0),Y84)</f>
        <v>250</v>
      </c>
      <c r="Z85" s="246">
        <f t="shared" ref="Z85" ca="1" si="174">IF(Z84=0,IF(Z$72&gt;0,MAX(ROUND((((Z82+Y86)/Z$72)*Z$75),0),0),0),Z84)</f>
        <v>150</v>
      </c>
      <c r="AA85" s="246">
        <f t="shared" ref="AA85" ca="1" si="175">IF(AA84=0,IF(AA$72&gt;0,MAX(ROUND((((AA82+Z86)/AA$72)*AA$75),0),0),0),AA84)</f>
        <v>250</v>
      </c>
      <c r="AB85" s="246">
        <f t="shared" ref="AB85" ca="1" si="176">IF(AB84=0,IF(AB$72&gt;0,MAX(ROUND((((AB82+AA86)/AB$72)*AB$75),0),0),0),AB84)</f>
        <v>200</v>
      </c>
      <c r="AC85" s="246">
        <f t="shared" ref="AC85" ca="1" si="177">IF(AC84=0,IF(AC$72&gt;0,MAX(ROUND((((AC82+AB86)/AC$72)*AC$75),0),0),0),AC84)</f>
        <v>100</v>
      </c>
      <c r="AD85" s="246">
        <f t="shared" ref="AD85" ca="1" si="178">IF(AD84=0,IF(AD$72&gt;0,MAX(ROUND((((AD82+AC86)/AD$72)*AD$75),0),0),0),AD84)</f>
        <v>50</v>
      </c>
      <c r="AE85" s="246">
        <f t="shared" ref="AE85" ca="1" si="179">IF(AE84=0,IF(AE$72&gt;0,MAX(ROUND((((AE82+AD86)/AE$72)*AE$75),0),0),0),AE84)</f>
        <v>0</v>
      </c>
      <c r="AF85" s="246">
        <f ca="1">IF(AF84=0,IF(AF$72&gt;0,MAX(ROUND((((AF82+AE86)/AF$72)*AF$75),0),0),0),AF84)</f>
        <v>0</v>
      </c>
      <c r="AG85" s="246"/>
      <c r="AH85" s="246"/>
      <c r="AI85" s="246"/>
      <c r="AJ85" s="246"/>
    </row>
    <row r="86" spans="1:36" x14ac:dyDescent="0.25">
      <c r="A86" s="108">
        <v>3000</v>
      </c>
      <c r="B86" s="109" t="s">
        <v>31</v>
      </c>
      <c r="C86" s="155" t="s">
        <v>49</v>
      </c>
      <c r="D86" s="42" t="s">
        <v>48</v>
      </c>
      <c r="E86" s="103" t="s">
        <v>52</v>
      </c>
      <c r="F86" s="118" t="s">
        <v>36</v>
      </c>
      <c r="G86" s="100" t="s">
        <v>60</v>
      </c>
      <c r="H86" s="92"/>
      <c r="I86" s="87">
        <f t="shared" ref="I86:AF86" ca="1" si="180">I82+H86-I85</f>
        <v>0</v>
      </c>
      <c r="J86" s="87">
        <f t="shared" ca="1" si="180"/>
        <v>0</v>
      </c>
      <c r="K86" s="87">
        <f t="shared" ca="1" si="180"/>
        <v>0</v>
      </c>
      <c r="L86" s="87">
        <f t="shared" ca="1" si="180"/>
        <v>0</v>
      </c>
      <c r="M86" s="87">
        <f t="shared" ca="1" si="180"/>
        <v>0</v>
      </c>
      <c r="N86" s="87">
        <f t="shared" ca="1" si="180"/>
        <v>0</v>
      </c>
      <c r="O86" s="87">
        <f t="shared" ca="1" si="180"/>
        <v>0</v>
      </c>
      <c r="P86" s="87">
        <f t="shared" ca="1" si="180"/>
        <v>0</v>
      </c>
      <c r="Q86" s="87">
        <f t="shared" ca="1" si="180"/>
        <v>0</v>
      </c>
      <c r="R86" s="87">
        <f t="shared" ca="1" si="180"/>
        <v>0</v>
      </c>
      <c r="S86" s="87">
        <f t="shared" ca="1" si="180"/>
        <v>0</v>
      </c>
      <c r="T86" s="87">
        <f t="shared" ca="1" si="180"/>
        <v>0</v>
      </c>
      <c r="U86" s="87">
        <f t="shared" ca="1" si="180"/>
        <v>0</v>
      </c>
      <c r="V86" s="87">
        <f t="shared" ca="1" si="180"/>
        <v>0</v>
      </c>
      <c r="W86" s="87">
        <f t="shared" ca="1" si="180"/>
        <v>0</v>
      </c>
      <c r="X86" s="87">
        <f t="shared" ca="1" si="180"/>
        <v>0</v>
      </c>
      <c r="Y86" s="87">
        <f t="shared" ca="1" si="180"/>
        <v>0</v>
      </c>
      <c r="Z86" s="87">
        <f t="shared" ca="1" si="180"/>
        <v>0</v>
      </c>
      <c r="AA86" s="87">
        <f t="shared" ca="1" si="180"/>
        <v>0</v>
      </c>
      <c r="AB86" s="87">
        <f t="shared" ca="1" si="180"/>
        <v>0</v>
      </c>
      <c r="AC86" s="87">
        <f t="shared" ca="1" si="180"/>
        <v>0</v>
      </c>
      <c r="AD86" s="87">
        <f t="shared" ca="1" si="180"/>
        <v>0</v>
      </c>
      <c r="AE86" s="87">
        <f t="shared" ca="1" si="180"/>
        <v>0</v>
      </c>
      <c r="AF86" s="87">
        <f t="shared" ca="1" si="180"/>
        <v>0</v>
      </c>
      <c r="AG86" s="246"/>
      <c r="AH86" s="246"/>
      <c r="AI86" s="246"/>
      <c r="AJ86" s="246"/>
    </row>
    <row r="87" spans="1:36" x14ac:dyDescent="0.25">
      <c r="A87" s="108">
        <v>3000</v>
      </c>
      <c r="B87" s="109" t="s">
        <v>31</v>
      </c>
      <c r="C87" s="103" t="s">
        <v>49</v>
      </c>
      <c r="D87" s="42" t="s">
        <v>48</v>
      </c>
      <c r="E87" s="103" t="s">
        <v>49</v>
      </c>
      <c r="F87" s="42" t="s">
        <v>48</v>
      </c>
      <c r="G87" s="106" t="s">
        <v>58</v>
      </c>
      <c r="H87" s="42"/>
      <c r="I87" s="97">
        <f ca="1">I80+I85</f>
        <v>220</v>
      </c>
      <c r="J87" s="97">
        <f t="shared" ref="J87:AF87" ca="1" si="181">J80+J85</f>
        <v>320</v>
      </c>
      <c r="K87" s="97">
        <f ca="1">K80+K85</f>
        <v>310</v>
      </c>
      <c r="L87" s="97">
        <f ca="1">L80+L85</f>
        <v>210</v>
      </c>
      <c r="M87" s="97">
        <f t="shared" ca="1" si="181"/>
        <v>300</v>
      </c>
      <c r="N87" s="97">
        <f t="shared" ca="1" si="181"/>
        <v>330</v>
      </c>
      <c r="O87" s="97">
        <f t="shared" ca="1" si="181"/>
        <v>380</v>
      </c>
      <c r="P87" s="97">
        <f t="shared" ca="1" si="181"/>
        <v>270</v>
      </c>
      <c r="Q87" s="97">
        <f t="shared" ca="1" si="181"/>
        <v>170</v>
      </c>
      <c r="R87" s="97">
        <f t="shared" ca="1" si="181"/>
        <v>120</v>
      </c>
      <c r="S87" s="97">
        <f t="shared" ca="1" si="181"/>
        <v>100</v>
      </c>
      <c r="T87" s="97">
        <f t="shared" ca="1" si="181"/>
        <v>220</v>
      </c>
      <c r="U87" s="97">
        <f t="shared" ca="1" si="181"/>
        <v>300</v>
      </c>
      <c r="V87" s="97">
        <f t="shared" ca="1" si="181"/>
        <v>290</v>
      </c>
      <c r="W87" s="97">
        <f t="shared" ca="1" si="181"/>
        <v>260</v>
      </c>
      <c r="X87" s="97">
        <f t="shared" ca="1" si="181"/>
        <v>80</v>
      </c>
      <c r="Y87" s="97">
        <f t="shared" ca="1" si="181"/>
        <v>280</v>
      </c>
      <c r="Z87" s="97">
        <f t="shared" ca="1" si="181"/>
        <v>150</v>
      </c>
      <c r="AA87" s="97">
        <f t="shared" ca="1" si="181"/>
        <v>360</v>
      </c>
      <c r="AB87" s="97">
        <f t="shared" ca="1" si="181"/>
        <v>280</v>
      </c>
      <c r="AC87" s="97">
        <f t="shared" ca="1" si="181"/>
        <v>280</v>
      </c>
      <c r="AD87" s="97">
        <f t="shared" ca="1" si="181"/>
        <v>220</v>
      </c>
      <c r="AE87" s="97">
        <f t="shared" ca="1" si="181"/>
        <v>20</v>
      </c>
      <c r="AF87" s="97">
        <f t="shared" ca="1" si="181"/>
        <v>30</v>
      </c>
      <c r="AG87" s="250"/>
      <c r="AH87" s="250"/>
      <c r="AI87" s="250"/>
      <c r="AJ87" s="250"/>
    </row>
    <row r="88" spans="1:36" x14ac:dyDescent="0.25">
      <c r="A88" s="108">
        <v>3000</v>
      </c>
      <c r="B88" s="109" t="s">
        <v>31</v>
      </c>
      <c r="C88" s="103" t="s">
        <v>49</v>
      </c>
      <c r="D88" s="42" t="s">
        <v>48</v>
      </c>
      <c r="E88" s="103" t="s">
        <v>49</v>
      </c>
      <c r="F88" s="42" t="s">
        <v>48</v>
      </c>
      <c r="G88" s="100" t="s">
        <v>37</v>
      </c>
      <c r="H88" s="92"/>
      <c r="I88" s="97">
        <f ca="1">H71+I68+I69-I87</f>
        <v>300</v>
      </c>
      <c r="J88" s="97">
        <f ca="1">I88+J68+J69-J87</f>
        <v>300</v>
      </c>
      <c r="K88" s="97">
        <f ca="1">J88+K68+K69-K87</f>
        <v>300</v>
      </c>
      <c r="L88" s="97">
        <f ca="1">K88+L68+L69-L87</f>
        <v>300</v>
      </c>
      <c r="M88" s="97">
        <f t="shared" ref="M88:AE88" ca="1" si="182">L88+M68+M69-M87</f>
        <v>300</v>
      </c>
      <c r="N88" s="97">
        <f t="shared" ca="1" si="182"/>
        <v>300</v>
      </c>
      <c r="O88" s="97">
        <f t="shared" ca="1" si="182"/>
        <v>300</v>
      </c>
      <c r="P88" s="97">
        <f t="shared" ca="1" si="182"/>
        <v>300</v>
      </c>
      <c r="Q88" s="97">
        <f t="shared" ca="1" si="182"/>
        <v>326</v>
      </c>
      <c r="R88" s="97">
        <f t="shared" ca="1" si="182"/>
        <v>457</v>
      </c>
      <c r="S88" s="97">
        <f t="shared" ca="1" si="182"/>
        <v>660</v>
      </c>
      <c r="T88" s="97">
        <f t="shared" ca="1" si="182"/>
        <v>613</v>
      </c>
      <c r="U88" s="97">
        <f t="shared" ca="1" si="182"/>
        <v>396</v>
      </c>
      <c r="V88" s="97">
        <f t="shared" ca="1" si="182"/>
        <v>387</v>
      </c>
      <c r="W88" s="97">
        <f t="shared" ca="1" si="182"/>
        <v>375</v>
      </c>
      <c r="X88" s="97">
        <f t="shared" ca="1" si="182"/>
        <v>554</v>
      </c>
      <c r="Y88" s="97">
        <f t="shared" ca="1" si="182"/>
        <v>463</v>
      </c>
      <c r="Z88" s="97">
        <f t="shared" ca="1" si="182"/>
        <v>432</v>
      </c>
      <c r="AA88" s="97">
        <f t="shared" ca="1" si="182"/>
        <v>328</v>
      </c>
      <c r="AB88" s="97">
        <f t="shared" ca="1" si="182"/>
        <v>427</v>
      </c>
      <c r="AC88" s="97">
        <f t="shared" ca="1" si="182"/>
        <v>325</v>
      </c>
      <c r="AD88" s="97">
        <f t="shared" ca="1" si="182"/>
        <v>428</v>
      </c>
      <c r="AE88" s="97">
        <f t="shared" ca="1" si="182"/>
        <v>539</v>
      </c>
      <c r="AF88" s="97">
        <f ca="1">AE88+AF68+AF69-AF87</f>
        <v>647</v>
      </c>
      <c r="AG88" s="250"/>
      <c r="AH88" s="250"/>
      <c r="AI88" s="250"/>
      <c r="AJ88" s="250"/>
    </row>
    <row r="89" spans="1:36" x14ac:dyDescent="0.25">
      <c r="A89" s="108">
        <v>3000</v>
      </c>
      <c r="B89" s="109" t="s">
        <v>31</v>
      </c>
      <c r="C89" s="103" t="s">
        <v>49</v>
      </c>
      <c r="D89" s="42" t="s">
        <v>48</v>
      </c>
      <c r="E89" s="103" t="s">
        <v>49</v>
      </c>
      <c r="F89" s="42" t="s">
        <v>48</v>
      </c>
      <c r="G89" s="100" t="s">
        <v>24</v>
      </c>
      <c r="H89" s="42"/>
      <c r="I89" s="39">
        <f>CBN_CDC!I42</f>
        <v>300</v>
      </c>
      <c r="J89" s="39">
        <f>CBN_CDC!J42</f>
        <v>300</v>
      </c>
      <c r="K89" s="39">
        <f>CBN_CDC!K42</f>
        <v>300</v>
      </c>
      <c r="L89" s="39">
        <f>CBN_CDC!L42</f>
        <v>300</v>
      </c>
      <c r="M89" s="39">
        <f>CBN_CDC!M42</f>
        <v>300</v>
      </c>
      <c r="N89" s="39">
        <f>CBN_CDC!N42</f>
        <v>300</v>
      </c>
      <c r="O89" s="39">
        <f>CBN_CDC!O42</f>
        <v>300</v>
      </c>
      <c r="P89" s="39">
        <f>CBN_CDC!P42</f>
        <v>300</v>
      </c>
      <c r="Q89" s="39">
        <f>CBN_CDC!Q42</f>
        <v>300</v>
      </c>
      <c r="R89" s="39">
        <f>CBN_CDC!R42</f>
        <v>300</v>
      </c>
      <c r="S89" s="39">
        <f>CBN_CDC!S42</f>
        <v>300</v>
      </c>
      <c r="T89" s="39">
        <f>CBN_CDC!T42</f>
        <v>300</v>
      </c>
      <c r="U89" s="39">
        <f>CBN_CDC!U42</f>
        <v>300</v>
      </c>
      <c r="V89" s="39">
        <f>CBN_CDC!V42</f>
        <v>300</v>
      </c>
      <c r="W89" s="39">
        <f>CBN_CDC!W42</f>
        <v>300</v>
      </c>
      <c r="X89" s="39">
        <f>CBN_CDC!X42</f>
        <v>300</v>
      </c>
      <c r="Y89" s="39">
        <f>CBN_CDC!Y42</f>
        <v>300</v>
      </c>
      <c r="Z89" s="39">
        <f>CBN_CDC!Z42</f>
        <v>300</v>
      </c>
      <c r="AA89" s="39">
        <f>CBN_CDC!AA42</f>
        <v>300</v>
      </c>
      <c r="AB89" s="39">
        <f>CBN_CDC!AB42</f>
        <v>300</v>
      </c>
      <c r="AC89" s="39">
        <f>CBN_CDC!AC42</f>
        <v>300</v>
      </c>
      <c r="AD89" s="39">
        <f>CBN_CDC!AD42</f>
        <v>300</v>
      </c>
      <c r="AE89" s="39">
        <f>CBN_CDC!AE42</f>
        <v>300</v>
      </c>
      <c r="AF89" s="39">
        <f>CBN_CDC!AF42</f>
        <v>300</v>
      </c>
      <c r="AG89" s="238"/>
      <c r="AH89" s="238"/>
      <c r="AI89" s="238"/>
      <c r="AJ89" s="238"/>
    </row>
    <row r="90" spans="1:36" x14ac:dyDescent="0.25">
      <c r="A90" s="108">
        <v>3000</v>
      </c>
      <c r="B90" s="109" t="s">
        <v>31</v>
      </c>
      <c r="C90" s="103" t="s">
        <v>49</v>
      </c>
      <c r="D90" s="42" t="s">
        <v>48</v>
      </c>
      <c r="E90" s="103" t="s">
        <v>49</v>
      </c>
      <c r="F90" s="42" t="s">
        <v>48</v>
      </c>
      <c r="G90" s="100" t="s">
        <v>60</v>
      </c>
      <c r="H90" s="92"/>
      <c r="I90" s="97">
        <f ca="1">I86+I81</f>
        <v>0</v>
      </c>
      <c r="J90" s="97">
        <f t="shared" ref="J90:AF90" ca="1" si="183">J86+J81</f>
        <v>0</v>
      </c>
      <c r="K90" s="97">
        <f t="shared" ca="1" si="183"/>
        <v>0</v>
      </c>
      <c r="L90" s="97">
        <f t="shared" ca="1" si="183"/>
        <v>0</v>
      </c>
      <c r="M90" s="97">
        <f t="shared" ca="1" si="183"/>
        <v>0</v>
      </c>
      <c r="N90" s="97">
        <f t="shared" ca="1" si="183"/>
        <v>0</v>
      </c>
      <c r="O90" s="97">
        <f t="shared" ca="1" si="183"/>
        <v>0</v>
      </c>
      <c r="P90" s="97">
        <f t="shared" ca="1" si="183"/>
        <v>0</v>
      </c>
      <c r="Q90" s="97">
        <f t="shared" ca="1" si="183"/>
        <v>0</v>
      </c>
      <c r="R90" s="97">
        <f t="shared" ca="1" si="183"/>
        <v>0</v>
      </c>
      <c r="S90" s="97">
        <f t="shared" ca="1" si="183"/>
        <v>0</v>
      </c>
      <c r="T90" s="97">
        <f t="shared" ca="1" si="183"/>
        <v>0</v>
      </c>
      <c r="U90" s="97">
        <f t="shared" ca="1" si="183"/>
        <v>0</v>
      </c>
      <c r="V90" s="97">
        <f t="shared" ca="1" si="183"/>
        <v>0</v>
      </c>
      <c r="W90" s="97">
        <f t="shared" ca="1" si="183"/>
        <v>0</v>
      </c>
      <c r="X90" s="97">
        <f t="shared" ca="1" si="183"/>
        <v>0</v>
      </c>
      <c r="Y90" s="97">
        <f t="shared" ca="1" si="183"/>
        <v>0</v>
      </c>
      <c r="Z90" s="97">
        <f t="shared" ca="1" si="183"/>
        <v>0</v>
      </c>
      <c r="AA90" s="97">
        <f t="shared" ca="1" si="183"/>
        <v>0</v>
      </c>
      <c r="AB90" s="97">
        <f t="shared" ca="1" si="183"/>
        <v>0</v>
      </c>
      <c r="AC90" s="97">
        <f t="shared" ca="1" si="183"/>
        <v>0</v>
      </c>
      <c r="AD90" s="97">
        <f t="shared" ca="1" si="183"/>
        <v>0</v>
      </c>
      <c r="AE90" s="97">
        <f t="shared" ca="1" si="183"/>
        <v>0</v>
      </c>
      <c r="AF90" s="97">
        <f t="shared" ca="1" si="183"/>
        <v>0</v>
      </c>
      <c r="AG90" s="250"/>
      <c r="AH90" s="250"/>
      <c r="AI90" s="250"/>
      <c r="AJ90" s="250"/>
    </row>
    <row r="91" spans="1:36" ht="15.75" thickBot="1" x14ac:dyDescent="0.3">
      <c r="A91" s="11"/>
      <c r="B91" s="57"/>
      <c r="C91" s="154"/>
      <c r="D91" s="11"/>
      <c r="E91" s="11"/>
      <c r="F91" s="11"/>
      <c r="G91" s="11"/>
      <c r="H91" s="11"/>
      <c r="I91" s="11"/>
      <c r="J91" s="11"/>
      <c r="K91" s="11"/>
      <c r="L91" s="11"/>
      <c r="M91" s="11"/>
      <c r="N91" s="11"/>
      <c r="O91" s="11"/>
      <c r="P91" s="11"/>
      <c r="Q91" s="11"/>
      <c r="R91" s="11"/>
      <c r="S91" s="11"/>
      <c r="T91" s="11"/>
      <c r="U91" s="11"/>
      <c r="V91" s="11"/>
      <c r="W91" s="11"/>
      <c r="X91" s="11"/>
      <c r="Y91" s="11"/>
      <c r="Z91" s="11"/>
      <c r="AA91" s="11"/>
      <c r="AB91" s="11"/>
      <c r="AC91" s="11"/>
      <c r="AD91" s="11"/>
      <c r="AE91" s="11"/>
      <c r="AF91" s="11"/>
      <c r="AG91" s="226"/>
      <c r="AH91" s="226"/>
      <c r="AI91" s="226"/>
      <c r="AJ91" s="226"/>
    </row>
    <row r="92" spans="1:36" ht="15.75" thickBot="1" x14ac:dyDescent="0.3">
      <c r="A92" s="26">
        <v>4000</v>
      </c>
      <c r="B92" s="89" t="s">
        <v>44</v>
      </c>
      <c r="C92" s="155">
        <v>111</v>
      </c>
      <c r="D92" s="42" t="s">
        <v>65</v>
      </c>
      <c r="E92" s="103" t="s">
        <v>49</v>
      </c>
      <c r="F92" s="42" t="s">
        <v>48</v>
      </c>
      <c r="G92" s="98" t="s">
        <v>47</v>
      </c>
      <c r="H92" s="90"/>
      <c r="I92" s="163"/>
      <c r="J92" s="163"/>
      <c r="K92" s="91">
        <f ca="1">Factory!J36</f>
        <v>80</v>
      </c>
      <c r="L92" s="91">
        <f ca="1">Factory!K36</f>
        <v>71</v>
      </c>
      <c r="M92" s="91">
        <f ca="1">Factory!L36</f>
        <v>99</v>
      </c>
      <c r="N92" s="91">
        <f ca="1">Factory!M36</f>
        <v>105</v>
      </c>
      <c r="O92" s="91">
        <f ca="1">Factory!N36</f>
        <v>163</v>
      </c>
      <c r="P92" s="91">
        <f ca="1">Factory!O36</f>
        <v>28</v>
      </c>
      <c r="Q92" s="91">
        <f ca="1">Factory!P36</f>
        <v>121</v>
      </c>
      <c r="R92" s="91">
        <f ca="1">Factory!Q36</f>
        <v>199</v>
      </c>
      <c r="S92" s="91">
        <f ca="1">Factory!R36</f>
        <v>115</v>
      </c>
      <c r="T92" s="91">
        <f ca="1">Factory!S36</f>
        <v>168</v>
      </c>
      <c r="U92" s="91">
        <f ca="1">Factory!T36</f>
        <v>168</v>
      </c>
      <c r="V92" s="91">
        <f ca="1">Factory!U36</f>
        <v>132</v>
      </c>
      <c r="W92" s="91">
        <f ca="1">Factory!V36</f>
        <v>160</v>
      </c>
      <c r="X92" s="91">
        <f ca="1">Factory!W36</f>
        <v>136</v>
      </c>
      <c r="Y92" s="91">
        <f ca="1">Factory!X36</f>
        <v>152</v>
      </c>
      <c r="Z92" s="91">
        <f ca="1">Factory!Y36</f>
        <v>56</v>
      </c>
      <c r="AA92" s="91">
        <f ca="1">Factory!Z36</f>
        <v>131</v>
      </c>
      <c r="AB92" s="91">
        <f ca="1">Factory!AA36</f>
        <v>115</v>
      </c>
      <c r="AC92" s="91">
        <f ca="1">Factory!AB36</f>
        <v>17</v>
      </c>
      <c r="AD92" s="91">
        <f ca="1">Factory!AC36</f>
        <v>56</v>
      </c>
      <c r="AE92" s="91">
        <f ca="1">Factory!AD36</f>
        <v>153</v>
      </c>
      <c r="AF92" s="91">
        <f ca="1">Factory!AE36</f>
        <v>113</v>
      </c>
      <c r="AG92" s="247"/>
      <c r="AH92" s="247"/>
      <c r="AI92" s="247"/>
      <c r="AJ92" s="247"/>
    </row>
    <row r="93" spans="1:36" ht="15.75" thickBot="1" x14ac:dyDescent="0.3">
      <c r="A93" s="26">
        <v>4000</v>
      </c>
      <c r="B93" s="89" t="s">
        <v>44</v>
      </c>
      <c r="C93" s="155">
        <v>111</v>
      </c>
      <c r="D93" s="42" t="s">
        <v>65</v>
      </c>
      <c r="E93" s="103" t="s">
        <v>49</v>
      </c>
      <c r="F93" s="42" t="s">
        <v>48</v>
      </c>
      <c r="G93" s="35" t="s">
        <v>73</v>
      </c>
      <c r="H93" s="31"/>
      <c r="I93" s="36">
        <f>MJ_Initialisation!D50</f>
        <v>160</v>
      </c>
      <c r="J93" s="36">
        <f>MJ_Initialisation!E50</f>
        <v>60</v>
      </c>
      <c r="K93" s="153"/>
      <c r="L93" s="153"/>
      <c r="M93" s="153"/>
      <c r="N93" s="153"/>
      <c r="O93" s="153"/>
      <c r="P93" s="153"/>
      <c r="Q93" s="153"/>
      <c r="R93" s="153"/>
      <c r="S93" s="153"/>
      <c r="T93" s="153"/>
      <c r="U93" s="153"/>
      <c r="V93" s="153"/>
      <c r="W93" s="153"/>
      <c r="X93" s="153"/>
      <c r="Y93" s="153"/>
      <c r="Z93" s="153"/>
      <c r="AA93" s="153"/>
      <c r="AB93" s="153"/>
      <c r="AC93" s="153"/>
      <c r="AD93" s="153"/>
      <c r="AE93" s="153"/>
      <c r="AF93" s="153"/>
      <c r="AG93" s="260"/>
      <c r="AH93" s="260"/>
      <c r="AI93" s="260"/>
      <c r="AJ93" s="260"/>
    </row>
    <row r="94" spans="1:36" ht="15.75" thickBot="1" x14ac:dyDescent="0.3">
      <c r="A94" s="26">
        <v>4000</v>
      </c>
      <c r="B94" s="89" t="s">
        <v>44</v>
      </c>
      <c r="C94" s="155">
        <v>111</v>
      </c>
      <c r="D94" s="42" t="s">
        <v>65</v>
      </c>
      <c r="E94" s="103" t="s">
        <v>49</v>
      </c>
      <c r="F94" s="42" t="s">
        <v>48</v>
      </c>
      <c r="G94" s="106" t="s">
        <v>127</v>
      </c>
      <c r="H94" s="42"/>
      <c r="I94" s="87">
        <f>I92+I93</f>
        <v>160</v>
      </c>
      <c r="J94" s="87">
        <f t="shared" ref="J94" si="184">J92+J93</f>
        <v>60</v>
      </c>
      <c r="K94" s="87">
        <f t="shared" ref="K94" ca="1" si="185">K92+K93</f>
        <v>80</v>
      </c>
      <c r="L94" s="87">
        <f t="shared" ref="L94" ca="1" si="186">L92+L93</f>
        <v>71</v>
      </c>
      <c r="M94" s="87">
        <f t="shared" ref="M94" ca="1" si="187">M92+M93</f>
        <v>99</v>
      </c>
      <c r="N94" s="87">
        <f t="shared" ref="N94" ca="1" si="188">N92+N93</f>
        <v>105</v>
      </c>
      <c r="O94" s="87">
        <f t="shared" ref="O94" ca="1" si="189">O92+O93</f>
        <v>163</v>
      </c>
      <c r="P94" s="87">
        <f t="shared" ref="P94" ca="1" si="190">P92+P93</f>
        <v>28</v>
      </c>
      <c r="Q94" s="87">
        <f t="shared" ref="Q94" ca="1" si="191">Q92+Q93</f>
        <v>121</v>
      </c>
      <c r="R94" s="87">
        <f t="shared" ref="R94" ca="1" si="192">R92+R93</f>
        <v>199</v>
      </c>
      <c r="S94" s="87">
        <f t="shared" ref="S94" ca="1" si="193">S92+S93</f>
        <v>115</v>
      </c>
      <c r="T94" s="87">
        <f t="shared" ref="T94" ca="1" si="194">T92+T93</f>
        <v>168</v>
      </c>
      <c r="U94" s="87">
        <f t="shared" ref="U94" ca="1" si="195">U92+U93</f>
        <v>168</v>
      </c>
      <c r="V94" s="87">
        <f t="shared" ref="V94" ca="1" si="196">V92+V93</f>
        <v>132</v>
      </c>
      <c r="W94" s="87">
        <f t="shared" ref="W94" ca="1" si="197">W92+W93</f>
        <v>160</v>
      </c>
      <c r="X94" s="87">
        <f t="shared" ref="X94" ca="1" si="198">X92+X93</f>
        <v>136</v>
      </c>
      <c r="Y94" s="87">
        <f t="shared" ref="Y94" ca="1" si="199">Y92+Y93</f>
        <v>152</v>
      </c>
      <c r="Z94" s="87">
        <f t="shared" ref="Z94" ca="1" si="200">Z92+Z93</f>
        <v>56</v>
      </c>
      <c r="AA94" s="87">
        <f t="shared" ref="AA94" ca="1" si="201">AA92+AA93</f>
        <v>131</v>
      </c>
      <c r="AB94" s="87">
        <f t="shared" ref="AB94" ca="1" si="202">AB92+AB93</f>
        <v>115</v>
      </c>
      <c r="AC94" s="87">
        <f t="shared" ref="AC94" ca="1" si="203">AC92+AC93</f>
        <v>17</v>
      </c>
      <c r="AD94" s="87">
        <f t="shared" ref="AD94" ca="1" si="204">AD92+AD93</f>
        <v>56</v>
      </c>
      <c r="AE94" s="87">
        <f t="shared" ref="AE94" ca="1" si="205">AE92+AE93</f>
        <v>153</v>
      </c>
      <c r="AF94" s="87">
        <f t="shared" ref="AF94" ca="1" si="206">AF92+AF93</f>
        <v>113</v>
      </c>
      <c r="AG94" s="246"/>
      <c r="AH94" s="246"/>
      <c r="AI94" s="246"/>
      <c r="AJ94" s="246"/>
    </row>
    <row r="95" spans="1:36" ht="15.75" thickBot="1" x14ac:dyDescent="0.3">
      <c r="A95" s="26">
        <v>4000</v>
      </c>
      <c r="B95" s="123" t="s">
        <v>44</v>
      </c>
      <c r="C95" s="103" t="s">
        <v>49</v>
      </c>
      <c r="D95" s="42" t="s">
        <v>48</v>
      </c>
      <c r="E95" s="103" t="s">
        <v>49</v>
      </c>
      <c r="F95" s="42" t="s">
        <v>48</v>
      </c>
      <c r="G95" s="168" t="s">
        <v>120</v>
      </c>
      <c r="H95" s="19">
        <f>CBN_CDC!H50</f>
        <v>200</v>
      </c>
      <c r="I95" s="177"/>
      <c r="J95" s="176"/>
      <c r="K95" s="176"/>
      <c r="L95" s="176"/>
      <c r="M95" s="176"/>
      <c r="N95" s="176"/>
      <c r="O95" s="176"/>
      <c r="P95" s="176"/>
      <c r="Q95" s="176"/>
      <c r="R95" s="176"/>
      <c r="S95" s="176"/>
      <c r="T95" s="176"/>
      <c r="U95" s="176"/>
      <c r="V95" s="176"/>
      <c r="W95" s="176"/>
      <c r="X95" s="176"/>
      <c r="Y95" s="176"/>
      <c r="Z95" s="176"/>
      <c r="AA95" s="176"/>
      <c r="AB95" s="176"/>
      <c r="AC95" s="176"/>
      <c r="AD95" s="176"/>
      <c r="AE95" s="176"/>
      <c r="AF95" s="176"/>
      <c r="AG95" s="267"/>
      <c r="AH95" s="267"/>
      <c r="AI95" s="267"/>
      <c r="AJ95" s="267"/>
    </row>
    <row r="96" spans="1:36" ht="15.75" thickBot="1" x14ac:dyDescent="0.3">
      <c r="A96" s="26">
        <v>4000</v>
      </c>
      <c r="B96" s="89" t="s">
        <v>44</v>
      </c>
      <c r="C96" s="155" t="s">
        <v>50</v>
      </c>
      <c r="D96" s="116" t="s">
        <v>33</v>
      </c>
      <c r="E96" s="103" t="s">
        <v>49</v>
      </c>
      <c r="F96" s="42" t="s">
        <v>48</v>
      </c>
      <c r="G96" s="98" t="s">
        <v>57</v>
      </c>
      <c r="H96" s="12"/>
      <c r="I96" s="13">
        <f>France!J42</f>
        <v>60</v>
      </c>
      <c r="J96" s="13">
        <f>France!K42</f>
        <v>60</v>
      </c>
      <c r="K96" s="13">
        <f>France!L42</f>
        <v>80</v>
      </c>
      <c r="L96" s="13">
        <f>France!M42</f>
        <v>10</v>
      </c>
      <c r="M96" s="13">
        <f>France!N42</f>
        <v>160</v>
      </c>
      <c r="N96" s="13">
        <f>France!O42</f>
        <v>80</v>
      </c>
      <c r="O96" s="13">
        <f>France!P42</f>
        <v>40</v>
      </c>
      <c r="P96" s="13">
        <f>France!Q42</f>
        <v>120</v>
      </c>
      <c r="Q96" s="13">
        <f>France!R42</f>
        <v>170</v>
      </c>
      <c r="R96" s="13">
        <f>France!S42</f>
        <v>80</v>
      </c>
      <c r="S96" s="13">
        <f>France!T42</f>
        <v>150</v>
      </c>
      <c r="T96" s="13">
        <f>France!U42</f>
        <v>40</v>
      </c>
      <c r="U96" s="13">
        <f>France!V42</f>
        <v>40</v>
      </c>
      <c r="V96" s="13">
        <f>France!W42</f>
        <v>70</v>
      </c>
      <c r="W96" s="13">
        <f>France!X42</f>
        <v>120</v>
      </c>
      <c r="X96" s="13">
        <f>France!Y42</f>
        <v>170</v>
      </c>
      <c r="Y96" s="13">
        <f>France!Z42</f>
        <v>170</v>
      </c>
      <c r="Z96" s="13">
        <f>France!AA42</f>
        <v>180</v>
      </c>
      <c r="AA96" s="13">
        <f>France!AB42</f>
        <v>10</v>
      </c>
      <c r="AB96" s="13">
        <f>France!AC42</f>
        <v>130</v>
      </c>
      <c r="AC96" s="13">
        <f>France!AD42</f>
        <v>10</v>
      </c>
      <c r="AD96" s="13">
        <f>France!AE42</f>
        <v>190</v>
      </c>
      <c r="AE96" s="13">
        <f>France!AF42</f>
        <v>110</v>
      </c>
      <c r="AF96" s="13">
        <f>France!AG42</f>
        <v>100</v>
      </c>
      <c r="AG96" s="227"/>
      <c r="AH96" s="227"/>
      <c r="AI96" s="227"/>
      <c r="AJ96" s="227"/>
    </row>
    <row r="97" spans="1:36" ht="15" customHeight="1" thickBot="1" x14ac:dyDescent="0.3">
      <c r="A97" s="26">
        <v>4000</v>
      </c>
      <c r="B97" s="89" t="s">
        <v>44</v>
      </c>
      <c r="C97" s="155" t="s">
        <v>49</v>
      </c>
      <c r="D97" s="42" t="s">
        <v>48</v>
      </c>
      <c r="E97" s="103" t="s">
        <v>50</v>
      </c>
      <c r="F97" s="116" t="s">
        <v>33</v>
      </c>
      <c r="G97" s="99" t="s">
        <v>54</v>
      </c>
      <c r="H97" s="12"/>
      <c r="I97" s="21">
        <f>MJ_Initialisation!D26</f>
        <v>60</v>
      </c>
      <c r="J97" s="21">
        <f>MJ_Initialisation!E26</f>
        <v>60</v>
      </c>
      <c r="K97" s="21">
        <f>MJ_Initialisation!F26</f>
        <v>80</v>
      </c>
      <c r="L97" s="21">
        <f>MJ_Initialisation!G26</f>
        <v>10</v>
      </c>
      <c r="M97" s="21">
        <f>MJ_Initialisation!H26</f>
        <v>160</v>
      </c>
      <c r="N97" s="21">
        <f>MJ_Initialisation!I26</f>
        <v>80</v>
      </c>
      <c r="O97" s="21">
        <f>MJ_Initialisation!J26</f>
        <v>40</v>
      </c>
      <c r="P97" s="21">
        <f>MJ_Initialisation!K26</f>
        <v>120</v>
      </c>
      <c r="Q97" s="21">
        <f>MJ_Initialisation!L26</f>
        <v>170</v>
      </c>
      <c r="R97" s="21">
        <f>MJ_Initialisation!M26</f>
        <v>80</v>
      </c>
      <c r="S97" s="21">
        <f>MJ_Initialisation!N26</f>
        <v>150</v>
      </c>
      <c r="T97" s="21">
        <f>MJ_Initialisation!O26</f>
        <v>40</v>
      </c>
      <c r="U97" s="21">
        <f>MJ_Initialisation!P26</f>
        <v>40</v>
      </c>
      <c r="V97" s="21">
        <f>MJ_Initialisation!Q26</f>
        <v>70</v>
      </c>
      <c r="W97" s="21">
        <f>MJ_Initialisation!R26</f>
        <v>120</v>
      </c>
      <c r="X97" s="21">
        <f>MJ_Initialisation!S26</f>
        <v>170</v>
      </c>
      <c r="Y97" s="21">
        <f>MJ_Initialisation!T26</f>
        <v>170</v>
      </c>
      <c r="Z97" s="21">
        <f>MJ_Initialisation!U26</f>
        <v>180</v>
      </c>
      <c r="AA97" s="21">
        <f>MJ_Initialisation!V26</f>
        <v>10</v>
      </c>
      <c r="AB97" s="21">
        <f>MJ_Initialisation!W26</f>
        <v>130</v>
      </c>
      <c r="AC97" s="21">
        <f>MJ_Initialisation!X26</f>
        <v>10</v>
      </c>
      <c r="AD97" s="21">
        <f>MJ_Initialisation!Y26</f>
        <v>190</v>
      </c>
      <c r="AE97" s="21">
        <f>MJ_Initialisation!Z26</f>
        <v>110</v>
      </c>
      <c r="AF97" s="21">
        <f>MJ_Initialisation!AA26</f>
        <v>100</v>
      </c>
      <c r="AG97" s="232"/>
      <c r="AH97" s="232"/>
      <c r="AI97" s="232"/>
      <c r="AJ97" s="232"/>
    </row>
    <row r="98" spans="1:36" ht="15.75" thickBot="1" x14ac:dyDescent="0.3">
      <c r="A98" s="26">
        <v>4000</v>
      </c>
      <c r="B98" s="89" t="s">
        <v>44</v>
      </c>
      <c r="C98" s="155" t="s">
        <v>49</v>
      </c>
      <c r="D98" s="42" t="s">
        <v>48</v>
      </c>
      <c r="E98" s="103" t="s">
        <v>50</v>
      </c>
      <c r="F98" s="116" t="s">
        <v>33</v>
      </c>
      <c r="G98" s="105" t="s">
        <v>55</v>
      </c>
      <c r="H98" s="12"/>
      <c r="I98" s="21">
        <f>MJ_Initialisation!D27</f>
        <v>0</v>
      </c>
      <c r="J98" s="21">
        <f>MJ_Initialisation!E27</f>
        <v>0</v>
      </c>
      <c r="K98" s="21">
        <f>MJ_Initialisation!F27</f>
        <v>0</v>
      </c>
      <c r="L98" s="21">
        <f>MJ_Initialisation!G27</f>
        <v>0</v>
      </c>
      <c r="M98" s="21">
        <f>MJ_Initialisation!H27</f>
        <v>0</v>
      </c>
      <c r="N98" s="21">
        <f>MJ_Initialisation!I27</f>
        <v>0</v>
      </c>
      <c r="O98" s="21">
        <f>MJ_Initialisation!J27</f>
        <v>0</v>
      </c>
      <c r="P98" s="21">
        <f>MJ_Initialisation!K27</f>
        <v>0</v>
      </c>
      <c r="Q98" s="21">
        <f>MJ_Initialisation!L27</f>
        <v>0</v>
      </c>
      <c r="R98" s="21">
        <f>MJ_Initialisation!M27</f>
        <v>0</v>
      </c>
      <c r="S98" s="21">
        <f>MJ_Initialisation!N27</f>
        <v>0</v>
      </c>
      <c r="T98" s="21">
        <f>MJ_Initialisation!O27</f>
        <v>0</v>
      </c>
      <c r="U98" s="21">
        <f>MJ_Initialisation!P27</f>
        <v>0</v>
      </c>
      <c r="V98" s="21">
        <f>MJ_Initialisation!Q27</f>
        <v>0</v>
      </c>
      <c r="W98" s="21">
        <f>MJ_Initialisation!R27</f>
        <v>0</v>
      </c>
      <c r="X98" s="21">
        <f>MJ_Initialisation!S27</f>
        <v>0</v>
      </c>
      <c r="Y98" s="21">
        <f>MJ_Initialisation!T27</f>
        <v>0</v>
      </c>
      <c r="Z98" s="21">
        <f>MJ_Initialisation!U27</f>
        <v>0</v>
      </c>
      <c r="AA98" s="21">
        <f>MJ_Initialisation!V27</f>
        <v>0</v>
      </c>
      <c r="AB98" s="21">
        <f>MJ_Initialisation!W27</f>
        <v>0</v>
      </c>
      <c r="AC98" s="21">
        <f>MJ_Initialisation!X27</f>
        <v>0</v>
      </c>
      <c r="AD98" s="21">
        <f>MJ_Initialisation!Y27</f>
        <v>0</v>
      </c>
      <c r="AE98" s="21">
        <f>MJ_Initialisation!Z27</f>
        <v>0</v>
      </c>
      <c r="AF98" s="21">
        <f>MJ_Initialisation!AA27</f>
        <v>0</v>
      </c>
      <c r="AG98" s="232"/>
      <c r="AH98" s="232"/>
      <c r="AI98" s="232"/>
      <c r="AJ98" s="232"/>
    </row>
    <row r="99" spans="1:36" ht="15.75" thickBot="1" x14ac:dyDescent="0.3">
      <c r="A99" s="26">
        <v>4000</v>
      </c>
      <c r="B99" s="89" t="s">
        <v>44</v>
      </c>
      <c r="C99" s="155" t="s">
        <v>49</v>
      </c>
      <c r="D99" s="42" t="s">
        <v>48</v>
      </c>
      <c r="E99" s="103" t="s">
        <v>50</v>
      </c>
      <c r="F99" s="116" t="s">
        <v>33</v>
      </c>
      <c r="G99" s="106" t="s">
        <v>56</v>
      </c>
      <c r="H99" s="42"/>
      <c r="I99" s="97">
        <f>I97</f>
        <v>60</v>
      </c>
      <c r="J99" s="97">
        <f>J97</f>
        <v>60</v>
      </c>
      <c r="K99" s="97">
        <f ca="1">IF(K98=0, MAX(MIN(K96+J100,K92+J101),0),K98)</f>
        <v>80</v>
      </c>
      <c r="L99" s="250">
        <f t="shared" ref="L99:AF99" ca="1" si="207">IF(L98=0, MAX(MIN(L96+K100,L92+K101),0),L98)</f>
        <v>10</v>
      </c>
      <c r="M99" s="250">
        <f t="shared" ca="1" si="207"/>
        <v>160</v>
      </c>
      <c r="N99" s="250">
        <f t="shared" ca="1" si="207"/>
        <v>80</v>
      </c>
      <c r="O99" s="250">
        <f t="shared" ca="1" si="207"/>
        <v>40</v>
      </c>
      <c r="P99" s="250">
        <f t="shared" ca="1" si="207"/>
        <v>120</v>
      </c>
      <c r="Q99" s="250">
        <f t="shared" ca="1" si="207"/>
        <v>170</v>
      </c>
      <c r="R99" s="250">
        <f t="shared" ca="1" si="207"/>
        <v>80</v>
      </c>
      <c r="S99" s="250">
        <f t="shared" ca="1" si="207"/>
        <v>150</v>
      </c>
      <c r="T99" s="250">
        <f t="shared" ca="1" si="207"/>
        <v>40</v>
      </c>
      <c r="U99" s="250">
        <f t="shared" ca="1" si="207"/>
        <v>40</v>
      </c>
      <c r="V99" s="250">
        <f t="shared" ca="1" si="207"/>
        <v>70</v>
      </c>
      <c r="W99" s="250">
        <f t="shared" ca="1" si="207"/>
        <v>120</v>
      </c>
      <c r="X99" s="250">
        <f t="shared" ca="1" si="207"/>
        <v>170</v>
      </c>
      <c r="Y99" s="250">
        <f t="shared" ca="1" si="207"/>
        <v>170</v>
      </c>
      <c r="Z99" s="250">
        <f t="shared" ca="1" si="207"/>
        <v>180</v>
      </c>
      <c r="AA99" s="250">
        <f t="shared" ca="1" si="207"/>
        <v>10</v>
      </c>
      <c r="AB99" s="250">
        <f t="shared" ca="1" si="207"/>
        <v>130</v>
      </c>
      <c r="AC99" s="250">
        <f t="shared" ca="1" si="207"/>
        <v>10</v>
      </c>
      <c r="AD99" s="250">
        <f t="shared" ca="1" si="207"/>
        <v>190</v>
      </c>
      <c r="AE99" s="250">
        <f t="shared" ca="1" si="207"/>
        <v>110</v>
      </c>
      <c r="AF99" s="250">
        <f t="shared" ca="1" si="207"/>
        <v>100</v>
      </c>
      <c r="AG99" s="250"/>
      <c r="AH99" s="250"/>
      <c r="AI99" s="250"/>
      <c r="AJ99" s="250"/>
    </row>
    <row r="100" spans="1:36" ht="15.75" thickBot="1" x14ac:dyDescent="0.3">
      <c r="A100" s="26">
        <v>4000</v>
      </c>
      <c r="B100" s="89" t="s">
        <v>44</v>
      </c>
      <c r="C100" s="155" t="s">
        <v>49</v>
      </c>
      <c r="D100" s="42" t="s">
        <v>48</v>
      </c>
      <c r="E100" s="103" t="s">
        <v>50</v>
      </c>
      <c r="F100" s="116" t="s">
        <v>33</v>
      </c>
      <c r="G100" s="100" t="s">
        <v>60</v>
      </c>
      <c r="H100" s="92"/>
      <c r="I100" s="97">
        <f t="shared" ref="I100:AF100" si="208">I96+H100-I99</f>
        <v>0</v>
      </c>
      <c r="J100" s="97">
        <f>J96+I100-J99</f>
        <v>0</v>
      </c>
      <c r="K100" s="97">
        <f t="shared" ca="1" si="208"/>
        <v>0</v>
      </c>
      <c r="L100" s="97">
        <f t="shared" ca="1" si="208"/>
        <v>0</v>
      </c>
      <c r="M100" s="97">
        <f t="shared" ca="1" si="208"/>
        <v>0</v>
      </c>
      <c r="N100" s="97">
        <f t="shared" ca="1" si="208"/>
        <v>0</v>
      </c>
      <c r="O100" s="97">
        <f t="shared" ca="1" si="208"/>
        <v>0</v>
      </c>
      <c r="P100" s="97">
        <f t="shared" ca="1" si="208"/>
        <v>0</v>
      </c>
      <c r="Q100" s="97">
        <f t="shared" ca="1" si="208"/>
        <v>0</v>
      </c>
      <c r="R100" s="97">
        <f t="shared" ca="1" si="208"/>
        <v>0</v>
      </c>
      <c r="S100" s="97">
        <f t="shared" ca="1" si="208"/>
        <v>0</v>
      </c>
      <c r="T100" s="97">
        <f t="shared" ca="1" si="208"/>
        <v>0</v>
      </c>
      <c r="U100" s="97">
        <f t="shared" ca="1" si="208"/>
        <v>0</v>
      </c>
      <c r="V100" s="97">
        <f t="shared" ca="1" si="208"/>
        <v>0</v>
      </c>
      <c r="W100" s="97">
        <f t="shared" ca="1" si="208"/>
        <v>0</v>
      </c>
      <c r="X100" s="97">
        <f t="shared" ca="1" si="208"/>
        <v>0</v>
      </c>
      <c r="Y100" s="97">
        <f t="shared" ca="1" si="208"/>
        <v>0</v>
      </c>
      <c r="Z100" s="97">
        <f t="shared" ca="1" si="208"/>
        <v>0</v>
      </c>
      <c r="AA100" s="97">
        <f t="shared" ca="1" si="208"/>
        <v>0</v>
      </c>
      <c r="AB100" s="97">
        <f t="shared" ca="1" si="208"/>
        <v>0</v>
      </c>
      <c r="AC100" s="97">
        <f t="shared" ca="1" si="208"/>
        <v>0</v>
      </c>
      <c r="AD100" s="97">
        <f t="shared" ca="1" si="208"/>
        <v>0</v>
      </c>
      <c r="AE100" s="97">
        <f t="shared" ca="1" si="208"/>
        <v>0</v>
      </c>
      <c r="AF100" s="97">
        <f t="shared" ca="1" si="208"/>
        <v>0</v>
      </c>
      <c r="AG100" s="250"/>
      <c r="AH100" s="250"/>
      <c r="AI100" s="250"/>
      <c r="AJ100" s="250"/>
    </row>
    <row r="101" spans="1:36" ht="15.75" thickBot="1" x14ac:dyDescent="0.3">
      <c r="A101" s="26">
        <v>4000</v>
      </c>
      <c r="B101" s="89" t="s">
        <v>44</v>
      </c>
      <c r="C101" s="103" t="s">
        <v>49</v>
      </c>
      <c r="D101" s="42" t="s">
        <v>48</v>
      </c>
      <c r="E101" s="103" t="s">
        <v>49</v>
      </c>
      <c r="F101" s="42" t="s">
        <v>48</v>
      </c>
      <c r="G101" s="100" t="s">
        <v>37</v>
      </c>
      <c r="H101" s="92"/>
      <c r="I101" s="97">
        <f>H95+I92+I93-I99</f>
        <v>300</v>
      </c>
      <c r="J101" s="97">
        <f t="shared" ref="J101:AF101" si="209">I101+J92+J93-J99</f>
        <v>300</v>
      </c>
      <c r="K101" s="97">
        <f t="shared" ca="1" si="209"/>
        <v>300</v>
      </c>
      <c r="L101" s="97">
        <f t="shared" ca="1" si="209"/>
        <v>361</v>
      </c>
      <c r="M101" s="97">
        <f t="shared" ca="1" si="209"/>
        <v>300</v>
      </c>
      <c r="N101" s="97">
        <f t="shared" ca="1" si="209"/>
        <v>325</v>
      </c>
      <c r="O101" s="97">
        <f t="shared" ca="1" si="209"/>
        <v>448</v>
      </c>
      <c r="P101" s="97">
        <f t="shared" ca="1" si="209"/>
        <v>356</v>
      </c>
      <c r="Q101" s="97">
        <f t="shared" ca="1" si="209"/>
        <v>307</v>
      </c>
      <c r="R101" s="97">
        <f t="shared" ca="1" si="209"/>
        <v>426</v>
      </c>
      <c r="S101" s="97">
        <f t="shared" ca="1" si="209"/>
        <v>391</v>
      </c>
      <c r="T101" s="97">
        <f t="shared" ca="1" si="209"/>
        <v>519</v>
      </c>
      <c r="U101" s="97">
        <f t="shared" ca="1" si="209"/>
        <v>647</v>
      </c>
      <c r="V101" s="97">
        <f t="shared" ca="1" si="209"/>
        <v>709</v>
      </c>
      <c r="W101" s="97">
        <f t="shared" ca="1" si="209"/>
        <v>749</v>
      </c>
      <c r="X101" s="97">
        <f t="shared" ca="1" si="209"/>
        <v>715</v>
      </c>
      <c r="Y101" s="97">
        <f t="shared" ca="1" si="209"/>
        <v>697</v>
      </c>
      <c r="Z101" s="97">
        <f t="shared" ca="1" si="209"/>
        <v>573</v>
      </c>
      <c r="AA101" s="97">
        <f t="shared" ca="1" si="209"/>
        <v>694</v>
      </c>
      <c r="AB101" s="97">
        <f t="shared" ca="1" si="209"/>
        <v>679</v>
      </c>
      <c r="AC101" s="97">
        <f t="shared" ca="1" si="209"/>
        <v>686</v>
      </c>
      <c r="AD101" s="97">
        <f t="shared" ca="1" si="209"/>
        <v>552</v>
      </c>
      <c r="AE101" s="97">
        <f t="shared" ca="1" si="209"/>
        <v>595</v>
      </c>
      <c r="AF101" s="97">
        <f t="shared" ca="1" si="209"/>
        <v>608</v>
      </c>
      <c r="AG101" s="250"/>
      <c r="AH101" s="250"/>
      <c r="AI101" s="250"/>
      <c r="AJ101" s="250"/>
    </row>
    <row r="102" spans="1:36" x14ac:dyDescent="0.25">
      <c r="A102" s="26">
        <v>4000</v>
      </c>
      <c r="B102" s="89" t="s">
        <v>44</v>
      </c>
      <c r="C102" s="103" t="s">
        <v>49</v>
      </c>
      <c r="D102" s="42" t="s">
        <v>48</v>
      </c>
      <c r="E102" s="103" t="s">
        <v>49</v>
      </c>
      <c r="F102" s="42" t="s">
        <v>48</v>
      </c>
      <c r="G102" s="100" t="s">
        <v>24</v>
      </c>
      <c r="H102" s="12"/>
      <c r="I102" s="6">
        <f>CBN_CDC!I52</f>
        <v>300</v>
      </c>
      <c r="J102" s="6">
        <f>CBN_CDC!J52</f>
        <v>300</v>
      </c>
      <c r="K102" s="6">
        <f>CBN_CDC!K52</f>
        <v>300</v>
      </c>
      <c r="L102" s="6">
        <f>CBN_CDC!L52</f>
        <v>300</v>
      </c>
      <c r="M102" s="6">
        <f>CBN_CDC!M52</f>
        <v>300</v>
      </c>
      <c r="N102" s="6">
        <f>CBN_CDC!N52</f>
        <v>300</v>
      </c>
      <c r="O102" s="6">
        <f>CBN_CDC!O52</f>
        <v>300</v>
      </c>
      <c r="P102" s="6">
        <f>CBN_CDC!P52</f>
        <v>300</v>
      </c>
      <c r="Q102" s="6">
        <f>CBN_CDC!Q52</f>
        <v>300</v>
      </c>
      <c r="R102" s="6">
        <f>CBN_CDC!R52</f>
        <v>300</v>
      </c>
      <c r="S102" s="6">
        <f>CBN_CDC!S52</f>
        <v>300</v>
      </c>
      <c r="T102" s="6">
        <f>CBN_CDC!T52</f>
        <v>300</v>
      </c>
      <c r="U102" s="6">
        <f>CBN_CDC!U52</f>
        <v>300</v>
      </c>
      <c r="V102" s="6">
        <f>CBN_CDC!V52</f>
        <v>300</v>
      </c>
      <c r="W102" s="6">
        <f>CBN_CDC!W52</f>
        <v>300</v>
      </c>
      <c r="X102" s="6">
        <f>CBN_CDC!X52</f>
        <v>300</v>
      </c>
      <c r="Y102" s="6">
        <f>CBN_CDC!Y52</f>
        <v>300</v>
      </c>
      <c r="Z102" s="6">
        <f>CBN_CDC!Z52</f>
        <v>300</v>
      </c>
      <c r="AA102" s="6">
        <f>CBN_CDC!AA52</f>
        <v>300</v>
      </c>
      <c r="AB102" s="6">
        <f>CBN_CDC!AB52</f>
        <v>300</v>
      </c>
      <c r="AC102" s="6">
        <f>CBN_CDC!AC52</f>
        <v>300</v>
      </c>
      <c r="AD102" s="6">
        <f>CBN_CDC!AD52</f>
        <v>300</v>
      </c>
      <c r="AE102" s="6">
        <f>CBN_CDC!AE52</f>
        <v>300</v>
      </c>
      <c r="AF102" s="6">
        <f>CBN_CDC!AF52</f>
        <v>300</v>
      </c>
      <c r="AG102" s="223"/>
      <c r="AH102" s="223"/>
      <c r="AI102" s="223"/>
      <c r="AJ102" s="223"/>
    </row>
  </sheetData>
  <phoneticPr fontId="17" type="noConversion"/>
  <conditionalFormatting sqref="I35:AJ35">
    <cfRule type="expression" dxfId="5" priority="30">
      <formula>I$35&lt;=0</formula>
    </cfRule>
    <cfRule type="expression" dxfId="4" priority="31">
      <formula>I$35&lt;#REF!</formula>
    </cfRule>
  </conditionalFormatting>
  <conditionalFormatting sqref="I64:AJ64">
    <cfRule type="expression" dxfId="3" priority="3">
      <formula>I$35&lt;=0</formula>
    </cfRule>
    <cfRule type="expression" dxfId="2" priority="4">
      <formula>I$35&lt;#REF!</formula>
    </cfRule>
  </conditionalFormatting>
  <conditionalFormatting sqref="I88:AJ88">
    <cfRule type="expression" dxfId="1" priority="1">
      <formula>I$35&lt;=0</formula>
    </cfRule>
    <cfRule type="expression" dxfId="0" priority="2">
      <formula>I$35&lt;#REF!</formula>
    </cfRule>
  </conditionalFormatting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8</vt:i4>
      </vt:variant>
    </vt:vector>
  </HeadingPairs>
  <TitlesOfParts>
    <vt:vector size="8" baseType="lpstr">
      <vt:lpstr>MJ_Initialisation</vt:lpstr>
      <vt:lpstr>France</vt:lpstr>
      <vt:lpstr>Espagne</vt:lpstr>
      <vt:lpstr>Chili</vt:lpstr>
      <vt:lpstr>Australie</vt:lpstr>
      <vt:lpstr>CBN_CDC</vt:lpstr>
      <vt:lpstr>Factory</vt:lpstr>
      <vt:lpstr>PA_CDC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Sanaa Tiss</dc:creator>
  <cp:lastModifiedBy>Sanaa Tiss</cp:lastModifiedBy>
  <dcterms:created xsi:type="dcterms:W3CDTF">2020-09-21T12:53:33Z</dcterms:created>
  <dcterms:modified xsi:type="dcterms:W3CDTF">2021-11-21T12:34:16Z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1f314723-a73f-4ff4-916e-0c53c2ce292c</vt:lpwstr>
  </property>
</Properties>
</file>